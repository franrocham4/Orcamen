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EstaPastaDeTrabalho" hidePivotFieldList="1"/>
  <mc:AlternateContent xmlns:mc="http://schemas.openxmlformats.org/markup-compatibility/2006">
    <mc:Choice Requires="x15">
      <x15ac:absPath xmlns:x15ac="http://schemas.microsoft.com/office/spreadsheetml/2010/11/ac" url="C:\Users\danielcoelho\Desktop\"/>
    </mc:Choice>
  </mc:AlternateContent>
  <xr:revisionPtr revIDLastSave="0" documentId="8_{A253020F-2C1D-406D-894E-3347953D9613}" xr6:coauthVersionLast="47" xr6:coauthVersionMax="47" xr10:uidLastSave="{00000000-0000-0000-0000-000000000000}"/>
  <bookViews>
    <workbookView xWindow="-120" yWindow="-120" windowWidth="25440" windowHeight="15270" tabRatio="599" activeTab="3" xr2:uid="{00000000-000D-0000-FFFF-FFFF00000000}"/>
  </bookViews>
  <sheets>
    <sheet name="PROJETO" sheetId="14" r:id="rId1"/>
    <sheet name="RESERVA" sheetId="27" r:id="rId2"/>
    <sheet name="EMPENHO " sheetId="25" r:id="rId3"/>
    <sheet name="LIQUIDAÇÃO 2025" sheetId="11" r:id="rId4"/>
    <sheet name="ALT. ORÇ. E PROJ." sheetId="28" r:id="rId5"/>
    <sheet name="MEDIÇÃO " sheetId="33" r:id="rId6"/>
    <sheet name="VALIDAÇÕES" sheetId="16" r:id="rId7"/>
  </sheets>
  <definedNames>
    <definedName name="_xlnm._FilterDatabase" localSheetId="4" hidden="1">'ALT. ORÇ. E PROJ.'!$C$5:$I$160</definedName>
    <definedName name="_xlnm._FilterDatabase" localSheetId="2" hidden="1">'EMPENHO '!$A$3:$N$328</definedName>
    <definedName name="_xlnm._FilterDatabase" localSheetId="0" hidden="1">PROJETO!$A$3:$Q$109</definedName>
    <definedName name="_xlnm.Print_Area" localSheetId="3">'LIQUIDAÇÃO 2025'!$A$1:$S$5</definedName>
    <definedName name="controle_pagto" localSheetId="3">Tabela13[]</definedName>
    <definedName name="controle_pagto">#REF!</definedName>
    <definedName name="LIQUIDAÇÃO" localSheetId="4">Tabela13[]</definedName>
    <definedName name="LIQUIDAÇÃO" localSheetId="5">Tabela13[]</definedName>
    <definedName name="LIQUIDAÇÃO" localSheetId="1">Tabela13[]</definedName>
    <definedName name="LIQUIDAÇÃO">Tabela13[]</definedName>
    <definedName name="PAGAMENTO">#REF!</definedName>
    <definedName name="pesquisa">'MEDIÇÃO '!$F$2</definedName>
    <definedName name="_xlnm.Print_Titles" localSheetId="3">'LIQUIDAÇÃO 2025'!$5:$5</definedName>
    <definedName name="_xlnm.Print_Titles" localSheetId="0">PROJETO!$3:$3</definedName>
    <definedName name="validações">VALIDAÇÕES!$A$5</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36" i="11" l="1"/>
  <c r="M636" i="11"/>
  <c r="L636" i="11" s="1"/>
  <c r="Q636" i="11" a="1"/>
  <c r="Q636" i="11" s="1"/>
  <c r="C630" i="11"/>
  <c r="M630" i="11"/>
  <c r="L630" i="11" s="1"/>
  <c r="Q630" i="11" a="1"/>
  <c r="Q630" i="11" s="1"/>
  <c r="Q632" i="11" a="1"/>
  <c r="Q632" i="11" s="1"/>
  <c r="R632" i="11" s="1"/>
  <c r="Q633" i="11" a="1"/>
  <c r="Q633" i="11" s="1"/>
  <c r="R633" i="11" s="1"/>
  <c r="Q634" i="11" a="1"/>
  <c r="Q634" i="11" s="1"/>
  <c r="R634" i="11" s="1"/>
  <c r="Q635" i="11" a="1"/>
  <c r="Q635" i="11" s="1"/>
  <c r="R635" i="11" s="1"/>
  <c r="Q610" i="11" a="1"/>
  <c r="Q610" i="11" s="1"/>
  <c r="R610" i="11" s="1"/>
  <c r="C610" i="11"/>
  <c r="M610" i="11"/>
  <c r="L610" i="11" s="1"/>
  <c r="C635" i="11"/>
  <c r="C634" i="11"/>
  <c r="C633" i="11"/>
  <c r="C632" i="11"/>
  <c r="M632" i="11"/>
  <c r="L632" i="11" s="1"/>
  <c r="C622" i="11"/>
  <c r="M622" i="11"/>
  <c r="L622" i="11" s="1"/>
  <c r="Q622" i="11" a="1"/>
  <c r="Q622" i="11" s="1"/>
  <c r="R622" i="11" s="1"/>
  <c r="L623" i="11"/>
  <c r="C624" i="11"/>
  <c r="M624" i="11"/>
  <c r="Q624" i="11" a="1"/>
  <c r="Q624" i="11" s="1"/>
  <c r="C631" i="11"/>
  <c r="M631" i="11"/>
  <c r="L631" i="11" s="1"/>
  <c r="Q631" i="11" a="1"/>
  <c r="Q631" i="11" s="1"/>
  <c r="R631" i="11" s="1"/>
  <c r="C623" i="11"/>
  <c r="M623" i="11"/>
  <c r="Q623" i="11" a="1"/>
  <c r="Q623" i="11" s="1"/>
  <c r="R636" i="11" l="1"/>
  <c r="U636" i="11"/>
  <c r="U630" i="11"/>
  <c r="R630" i="11"/>
  <c r="U610" i="11"/>
  <c r="U632" i="11"/>
  <c r="U622" i="11"/>
  <c r="R624" i="11"/>
  <c r="U624" i="11"/>
  <c r="U631" i="11"/>
  <c r="R623" i="11"/>
  <c r="U623" i="11"/>
  <c r="C543" i="11" l="1"/>
  <c r="M543" i="11"/>
  <c r="L543" i="11" s="1"/>
  <c r="Q543" i="11" a="1"/>
  <c r="Q543" i="11" s="1"/>
  <c r="C542" i="11"/>
  <c r="M542" i="11"/>
  <c r="L542" i="11" s="1"/>
  <c r="Q542" i="11" a="1"/>
  <c r="Q542" i="11" s="1"/>
  <c r="U542" i="11" s="1"/>
  <c r="C619" i="11"/>
  <c r="M619" i="11"/>
  <c r="L619" i="11" s="1"/>
  <c r="Q619" i="11" a="1"/>
  <c r="Q619" i="11" s="1"/>
  <c r="C629" i="11"/>
  <c r="M629" i="11"/>
  <c r="L629" i="11" s="1"/>
  <c r="Q629" i="11" a="1"/>
  <c r="Q629" i="11" s="1"/>
  <c r="C628" i="11"/>
  <c r="M628" i="11"/>
  <c r="L628" i="11" s="1"/>
  <c r="Q628" i="11" a="1"/>
  <c r="Q628" i="11" s="1"/>
  <c r="R628" i="11" s="1"/>
  <c r="C627" i="11"/>
  <c r="M627" i="11"/>
  <c r="L627" i="11" s="1"/>
  <c r="Q627" i="11" a="1"/>
  <c r="Q627" i="11" s="1"/>
  <c r="R627" i="11" s="1"/>
  <c r="C626" i="11"/>
  <c r="M626" i="11"/>
  <c r="L626" i="11" s="1"/>
  <c r="Q626" i="11" a="1"/>
  <c r="Q626" i="11" s="1"/>
  <c r="C625" i="11"/>
  <c r="M625" i="11"/>
  <c r="L625" i="11" s="1"/>
  <c r="Q625" i="11" a="1"/>
  <c r="Q625" i="11" s="1"/>
  <c r="J329" i="25"/>
  <c r="K329" i="25"/>
  <c r="C621" i="11"/>
  <c r="M621" i="11"/>
  <c r="L621" i="11" s="1"/>
  <c r="Q621" i="11" a="1"/>
  <c r="Q621" i="11" s="1"/>
  <c r="C620" i="11"/>
  <c r="M620" i="11"/>
  <c r="L620" i="11" s="1"/>
  <c r="Q620" i="11" a="1"/>
  <c r="Q620" i="11" s="1"/>
  <c r="L578" i="11"/>
  <c r="C579" i="11"/>
  <c r="M579" i="11"/>
  <c r="Q579" i="11" a="1"/>
  <c r="Q579" i="11" s="1"/>
  <c r="C618" i="11"/>
  <c r="M618" i="11"/>
  <c r="L618" i="11" s="1"/>
  <c r="Q618" i="11" a="1"/>
  <c r="Q618" i="11" s="1"/>
  <c r="C615" i="11"/>
  <c r="M615" i="11"/>
  <c r="L615" i="11" s="1"/>
  <c r="Q615" i="11" a="1"/>
  <c r="Q615" i="11" s="1"/>
  <c r="R615" i="11" s="1"/>
  <c r="C617" i="11"/>
  <c r="M617" i="11"/>
  <c r="L617" i="11" s="1"/>
  <c r="Q617" i="11" a="1"/>
  <c r="Q617" i="11" s="1"/>
  <c r="C616" i="11"/>
  <c r="M616" i="11"/>
  <c r="L616" i="11" s="1"/>
  <c r="Q616" i="11" a="1"/>
  <c r="Q616" i="11" s="1"/>
  <c r="C611" i="11"/>
  <c r="M611" i="11"/>
  <c r="L611" i="11" s="1"/>
  <c r="Q611" i="11" a="1"/>
  <c r="Q611" i="11" s="1"/>
  <c r="C614" i="11"/>
  <c r="M614" i="11"/>
  <c r="L614" i="11" s="1"/>
  <c r="Q614" i="11" a="1"/>
  <c r="Q614" i="11" s="1"/>
  <c r="C613" i="11"/>
  <c r="M613" i="11"/>
  <c r="L613" i="11" s="1"/>
  <c r="Q613" i="11" a="1"/>
  <c r="Q613" i="11" s="1"/>
  <c r="C612" i="11"/>
  <c r="M612" i="11"/>
  <c r="L612" i="11" s="1"/>
  <c r="Q612" i="11" a="1"/>
  <c r="Q612" i="11" s="1"/>
  <c r="E271" i="25"/>
  <c r="E270" i="25"/>
  <c r="E269" i="25"/>
  <c r="E268" i="25"/>
  <c r="E267" i="25"/>
  <c r="E266" i="25"/>
  <c r="E265" i="25"/>
  <c r="E264" i="25"/>
  <c r="E263" i="25"/>
  <c r="E262" i="25"/>
  <c r="E261" i="25"/>
  <c r="E260" i="25"/>
  <c r="E259" i="25"/>
  <c r="E258" i="25"/>
  <c r="E257" i="25"/>
  <c r="E256" i="25"/>
  <c r="E255" i="25"/>
  <c r="E254" i="25"/>
  <c r="E253" i="25"/>
  <c r="E252" i="25"/>
  <c r="E251" i="25"/>
  <c r="E250" i="25"/>
  <c r="E249" i="25"/>
  <c r="E248" i="25"/>
  <c r="E247" i="25"/>
  <c r="E246" i="25"/>
  <c r="E245" i="25"/>
  <c r="M256" i="25"/>
  <c r="M260" i="25"/>
  <c r="M261" i="25"/>
  <c r="M268" i="25"/>
  <c r="M270" i="25"/>
  <c r="B268" i="25"/>
  <c r="C268" i="25"/>
  <c r="D268" i="25"/>
  <c r="L268" i="25"/>
  <c r="B269" i="25"/>
  <c r="C269" i="25"/>
  <c r="D269" i="25"/>
  <c r="L269" i="25"/>
  <c r="B270" i="25"/>
  <c r="C270" i="25"/>
  <c r="D270" i="25"/>
  <c r="L270" i="25"/>
  <c r="B258" i="25"/>
  <c r="C258" i="25"/>
  <c r="D258" i="25"/>
  <c r="L258" i="25"/>
  <c r="B259" i="25"/>
  <c r="C259" i="25"/>
  <c r="D259" i="25"/>
  <c r="L259" i="25"/>
  <c r="B260" i="25"/>
  <c r="C260" i="25"/>
  <c r="D260" i="25"/>
  <c r="L260" i="25"/>
  <c r="B261" i="25"/>
  <c r="C261" i="25"/>
  <c r="D261" i="25"/>
  <c r="L261" i="25"/>
  <c r="B262" i="25"/>
  <c r="C262" i="25"/>
  <c r="D262" i="25"/>
  <c r="L262" i="25"/>
  <c r="B257" i="25"/>
  <c r="C257" i="25"/>
  <c r="D257" i="25"/>
  <c r="L257" i="25"/>
  <c r="B263" i="25"/>
  <c r="C263" i="25"/>
  <c r="D263" i="25"/>
  <c r="L263" i="25"/>
  <c r="B264" i="25"/>
  <c r="C264" i="25"/>
  <c r="D264" i="25"/>
  <c r="L264" i="25"/>
  <c r="B265" i="25"/>
  <c r="C265" i="25"/>
  <c r="D265" i="25"/>
  <c r="L265" i="25"/>
  <c r="B266" i="25"/>
  <c r="C266" i="25"/>
  <c r="D266" i="25"/>
  <c r="L266" i="25"/>
  <c r="B252" i="25"/>
  <c r="B251" i="25"/>
  <c r="B250" i="25"/>
  <c r="B249" i="25"/>
  <c r="B248" i="25"/>
  <c r="B247" i="25"/>
  <c r="B246" i="25"/>
  <c r="B245" i="25"/>
  <c r="B244" i="25"/>
  <c r="B243" i="25"/>
  <c r="B242" i="25"/>
  <c r="M252" i="25"/>
  <c r="M249" i="25"/>
  <c r="M248" i="25"/>
  <c r="M244" i="25"/>
  <c r="C242" i="25"/>
  <c r="D242" i="25"/>
  <c r="E242" i="25"/>
  <c r="L242" i="25"/>
  <c r="C243" i="25"/>
  <c r="D243" i="25"/>
  <c r="E243" i="25"/>
  <c r="L243" i="25"/>
  <c r="C244" i="25"/>
  <c r="D244" i="25"/>
  <c r="E244" i="25"/>
  <c r="L244" i="25"/>
  <c r="C245" i="25"/>
  <c r="D245" i="25"/>
  <c r="L245" i="25"/>
  <c r="C246" i="25"/>
  <c r="D246" i="25"/>
  <c r="L246" i="25"/>
  <c r="C247" i="25"/>
  <c r="D247" i="25"/>
  <c r="L247" i="25"/>
  <c r="C248" i="25"/>
  <c r="D248" i="25"/>
  <c r="L248" i="25"/>
  <c r="C249" i="25"/>
  <c r="D249" i="25"/>
  <c r="L249" i="25"/>
  <c r="C250" i="25"/>
  <c r="D250" i="25"/>
  <c r="L250" i="25"/>
  <c r="C251" i="25"/>
  <c r="D251" i="25"/>
  <c r="L251" i="25"/>
  <c r="J214" i="27"/>
  <c r="I214" i="27"/>
  <c r="M271" i="25"/>
  <c r="M267" i="25"/>
  <c r="M254" i="25"/>
  <c r="M253" i="25"/>
  <c r="C252" i="25"/>
  <c r="D252" i="25"/>
  <c r="L252" i="25"/>
  <c r="B253" i="25"/>
  <c r="C253" i="25"/>
  <c r="D253" i="25"/>
  <c r="L253" i="25"/>
  <c r="B254" i="25"/>
  <c r="C254" i="25"/>
  <c r="D254" i="25"/>
  <c r="L254" i="25"/>
  <c r="B255" i="25"/>
  <c r="C255" i="25"/>
  <c r="D255" i="25"/>
  <c r="L255" i="25"/>
  <c r="B256" i="25"/>
  <c r="C256" i="25"/>
  <c r="D256" i="25"/>
  <c r="L256" i="25"/>
  <c r="B267" i="25"/>
  <c r="C267" i="25"/>
  <c r="D267" i="25"/>
  <c r="L267" i="25"/>
  <c r="B271" i="25"/>
  <c r="C271" i="25"/>
  <c r="D271" i="25"/>
  <c r="L271" i="25"/>
  <c r="K214" i="27"/>
  <c r="C609" i="11"/>
  <c r="M609" i="11"/>
  <c r="L609" i="11" s="1"/>
  <c r="Q609" i="11" a="1"/>
  <c r="Q609" i="11" s="1"/>
  <c r="R543" i="11" l="1"/>
  <c r="U543" i="11"/>
  <c r="R542" i="11"/>
  <c r="U619" i="11"/>
  <c r="R619" i="11"/>
  <c r="R629" i="11"/>
  <c r="U629" i="11"/>
  <c r="U627" i="11"/>
  <c r="U628" i="11"/>
  <c r="U626" i="11"/>
  <c r="R626" i="11"/>
  <c r="U625" i="11"/>
  <c r="R625" i="11"/>
  <c r="N268" i="25"/>
  <c r="R621" i="11"/>
  <c r="U621" i="11"/>
  <c r="U579" i="11"/>
  <c r="R579" i="11"/>
  <c r="R620" i="11"/>
  <c r="U620" i="11"/>
  <c r="R618" i="11"/>
  <c r="U618" i="11"/>
  <c r="U615" i="11"/>
  <c r="R617" i="11"/>
  <c r="U617" i="11"/>
  <c r="R616" i="11"/>
  <c r="U616" i="11"/>
  <c r="R611" i="11"/>
  <c r="U611" i="11"/>
  <c r="R614" i="11"/>
  <c r="U614" i="11"/>
  <c r="R613" i="11"/>
  <c r="U613" i="11"/>
  <c r="R612" i="11"/>
  <c r="U612" i="11"/>
  <c r="N270" i="25"/>
  <c r="N260" i="25"/>
  <c r="N261" i="25"/>
  <c r="N244" i="25"/>
  <c r="N256" i="25"/>
  <c r="N248" i="25"/>
  <c r="N249" i="25"/>
  <c r="N252" i="25"/>
  <c r="N253" i="25"/>
  <c r="N254" i="25"/>
  <c r="N267" i="25"/>
  <c r="N271" i="25"/>
  <c r="R609" i="11"/>
  <c r="U609" i="11"/>
  <c r="N54" i="14"/>
  <c r="L204" i="25"/>
  <c r="E204" i="25"/>
  <c r="D204" i="25"/>
  <c r="C204" i="25"/>
  <c r="B204" i="25"/>
  <c r="C561" i="11"/>
  <c r="C531" i="11"/>
  <c r="C480" i="11"/>
  <c r="C479" i="11"/>
  <c r="C478" i="11"/>
  <c r="C477" i="11"/>
  <c r="C422" i="11"/>
  <c r="L4" i="14"/>
  <c r="C364" i="11"/>
  <c r="C365" i="11"/>
  <c r="C366" i="11"/>
  <c r="C367" i="11"/>
  <c r="C368" i="11"/>
  <c r="C369" i="11"/>
  <c r="C370" i="11"/>
  <c r="C363" i="11"/>
  <c r="C372" i="11"/>
  <c r="M15" i="14"/>
  <c r="M16" i="14"/>
  <c r="M17" i="14"/>
  <c r="N4" i="14"/>
  <c r="L195" i="25"/>
  <c r="M163" i="25"/>
  <c r="M170" i="25"/>
  <c r="M181" i="25"/>
  <c r="M273" i="25"/>
  <c r="M285" i="25"/>
  <c r="M286" i="25"/>
  <c r="M287" i="25"/>
  <c r="M297" i="25"/>
  <c r="L113" i="25"/>
  <c r="L114" i="25"/>
  <c r="L115" i="25"/>
  <c r="L116" i="25"/>
  <c r="L117" i="25"/>
  <c r="L118" i="25"/>
  <c r="L119" i="25"/>
  <c r="L120" i="25"/>
  <c r="L121" i="25"/>
  <c r="L122" i="25"/>
  <c r="L123" i="25"/>
  <c r="L124" i="25"/>
  <c r="L125" i="25"/>
  <c r="L126" i="25"/>
  <c r="L127" i="25"/>
  <c r="L128" i="25"/>
  <c r="L129" i="25"/>
  <c r="L130" i="25"/>
  <c r="L131" i="25"/>
  <c r="L132" i="25"/>
  <c r="L133" i="25"/>
  <c r="L134" i="25"/>
  <c r="L135" i="25"/>
  <c r="L136" i="25"/>
  <c r="L137" i="25"/>
  <c r="L138" i="25"/>
  <c r="L139" i="25"/>
  <c r="L140" i="25"/>
  <c r="L141" i="25"/>
  <c r="L142" i="25"/>
  <c r="L143" i="25"/>
  <c r="L144" i="25"/>
  <c r="L145" i="25"/>
  <c r="L146" i="25"/>
  <c r="L147" i="25"/>
  <c r="L148" i="25"/>
  <c r="L149" i="25"/>
  <c r="L150" i="25"/>
  <c r="L151" i="25"/>
  <c r="L152" i="25"/>
  <c r="L153" i="25"/>
  <c r="L154" i="25"/>
  <c r="L155" i="25"/>
  <c r="L156" i="25"/>
  <c r="L157" i="25"/>
  <c r="L158" i="25"/>
  <c r="L159" i="25"/>
  <c r="L160" i="25"/>
  <c r="L161" i="25"/>
  <c r="L162" i="25"/>
  <c r="L163" i="25"/>
  <c r="L164" i="25"/>
  <c r="L165" i="25"/>
  <c r="L166" i="25"/>
  <c r="L167" i="25"/>
  <c r="L168" i="25"/>
  <c r="L169" i="25"/>
  <c r="L170" i="25"/>
  <c r="L171" i="25"/>
  <c r="L172" i="25"/>
  <c r="L173" i="25"/>
  <c r="L174" i="25"/>
  <c r="L175" i="25"/>
  <c r="L176" i="25"/>
  <c r="L177" i="25"/>
  <c r="L178" i="25"/>
  <c r="L179" i="25"/>
  <c r="L180" i="25"/>
  <c r="L181" i="25"/>
  <c r="L182" i="25"/>
  <c r="L183" i="25"/>
  <c r="L184" i="25"/>
  <c r="L185" i="25"/>
  <c r="L186" i="25"/>
  <c r="L187" i="25"/>
  <c r="L188" i="25"/>
  <c r="L189" i="25"/>
  <c r="L190" i="25"/>
  <c r="L191" i="25"/>
  <c r="L192" i="25"/>
  <c r="L193" i="25"/>
  <c r="L194" i="25"/>
  <c r="L196" i="25"/>
  <c r="L197" i="25"/>
  <c r="L198" i="25"/>
  <c r="L199" i="25"/>
  <c r="L200" i="25"/>
  <c r="L201" i="25"/>
  <c r="L202" i="25"/>
  <c r="L203" i="25"/>
  <c r="L205" i="25"/>
  <c r="L206" i="25"/>
  <c r="L207" i="25"/>
  <c r="L208" i="25"/>
  <c r="L209" i="25"/>
  <c r="L210" i="25"/>
  <c r="L211" i="25"/>
  <c r="L212" i="25"/>
  <c r="L213" i="25"/>
  <c r="L214" i="25"/>
  <c r="L215" i="25"/>
  <c r="L216" i="25"/>
  <c r="L217" i="25"/>
  <c r="L218" i="25"/>
  <c r="L219" i="25"/>
  <c r="L220" i="25"/>
  <c r="L221" i="25"/>
  <c r="L222" i="25"/>
  <c r="L223" i="25"/>
  <c r="L224" i="25"/>
  <c r="L225" i="25"/>
  <c r="L226" i="25"/>
  <c r="L227" i="25"/>
  <c r="L228" i="25"/>
  <c r="L229" i="25"/>
  <c r="L230" i="25"/>
  <c r="L231" i="25"/>
  <c r="L232" i="25"/>
  <c r="L233" i="25"/>
  <c r="L234" i="25"/>
  <c r="L235" i="25"/>
  <c r="L236" i="25"/>
  <c r="L237" i="25"/>
  <c r="L238" i="25"/>
  <c r="L239" i="25"/>
  <c r="L240" i="25"/>
  <c r="L241" i="25"/>
  <c r="L272" i="25"/>
  <c r="L273" i="25"/>
  <c r="L274" i="25"/>
  <c r="L275" i="25"/>
  <c r="L276" i="25"/>
  <c r="L277" i="25"/>
  <c r="L278" i="25"/>
  <c r="L279" i="25"/>
  <c r="L280" i="25"/>
  <c r="L281" i="25"/>
  <c r="L282" i="25"/>
  <c r="L283" i="25"/>
  <c r="L284" i="25"/>
  <c r="L285" i="25"/>
  <c r="L286" i="25"/>
  <c r="L287" i="25"/>
  <c r="L288" i="25"/>
  <c r="L289" i="25"/>
  <c r="L290" i="25"/>
  <c r="L291" i="25"/>
  <c r="L292" i="25"/>
  <c r="L293" i="25"/>
  <c r="L294" i="25"/>
  <c r="L295" i="25"/>
  <c r="L296" i="25"/>
  <c r="L297" i="25"/>
  <c r="L298" i="25"/>
  <c r="L299" i="25"/>
  <c r="L300" i="25"/>
  <c r="L301" i="25"/>
  <c r="L302" i="25"/>
  <c r="L303" i="25"/>
  <c r="L304" i="25"/>
  <c r="L305" i="25"/>
  <c r="L306" i="25"/>
  <c r="L307" i="25"/>
  <c r="L308" i="25"/>
  <c r="L309" i="25"/>
  <c r="L310" i="25"/>
  <c r="L311" i="25"/>
  <c r="L312" i="25"/>
  <c r="L313" i="25"/>
  <c r="L314" i="25"/>
  <c r="L315" i="25"/>
  <c r="L316" i="25"/>
  <c r="L317" i="25"/>
  <c r="L318" i="25"/>
  <c r="L319" i="25"/>
  <c r="L320" i="25"/>
  <c r="L321" i="25"/>
  <c r="L322" i="25"/>
  <c r="L323" i="25"/>
  <c r="L324" i="25"/>
  <c r="L325" i="25"/>
  <c r="L326" i="25"/>
  <c r="L327" i="25"/>
  <c r="L328" i="25"/>
  <c r="C319" i="11"/>
  <c r="C318" i="11"/>
  <c r="C313" i="11"/>
  <c r="C312" i="11"/>
  <c r="L57" i="14"/>
  <c r="L26" i="14"/>
  <c r="M26" i="14"/>
  <c r="N26" i="14"/>
  <c r="B305" i="25"/>
  <c r="C305" i="25"/>
  <c r="D305" i="25"/>
  <c r="E305" i="25"/>
  <c r="B52" i="25"/>
  <c r="C52" i="25"/>
  <c r="D52" i="25"/>
  <c r="E52" i="25"/>
  <c r="L52" i="25"/>
  <c r="C470" i="11"/>
  <c r="M470" i="11"/>
  <c r="L470" i="11" s="1"/>
  <c r="Q470" i="11" a="1"/>
  <c r="Q470" i="11" s="1"/>
  <c r="C469" i="11"/>
  <c r="M469" i="11"/>
  <c r="L469" i="11" s="1"/>
  <c r="Q469" i="11" a="1"/>
  <c r="Q469" i="11" s="1"/>
  <c r="L525" i="11"/>
  <c r="C526" i="11"/>
  <c r="M526" i="11"/>
  <c r="Q526" i="11" a="1"/>
  <c r="Q526" i="11" s="1"/>
  <c r="L440" i="11"/>
  <c r="C441" i="11"/>
  <c r="M441" i="11"/>
  <c r="Q441" i="11" a="1"/>
  <c r="Q441" i="11" s="1"/>
  <c r="L331" i="11"/>
  <c r="C332" i="11"/>
  <c r="M332" i="11"/>
  <c r="Q332" i="11" a="1"/>
  <c r="Q332" i="11" s="1"/>
  <c r="C608" i="11"/>
  <c r="M608" i="11"/>
  <c r="L608" i="11" s="1"/>
  <c r="Q608" i="11" a="1"/>
  <c r="Q608" i="11" s="1"/>
  <c r="R608" i="11" s="1"/>
  <c r="B328" i="25"/>
  <c r="D328" i="25"/>
  <c r="E328" i="25"/>
  <c r="C607" i="11"/>
  <c r="M607" i="11"/>
  <c r="L607" i="11" s="1"/>
  <c r="Q607" i="11" a="1"/>
  <c r="Q607" i="11" s="1"/>
  <c r="B327" i="25"/>
  <c r="C327" i="25"/>
  <c r="D327" i="25"/>
  <c r="E327" i="25"/>
  <c r="B326" i="25"/>
  <c r="C326" i="25"/>
  <c r="D326" i="25"/>
  <c r="E326" i="25"/>
  <c r="C606" i="11"/>
  <c r="M275" i="25" s="1"/>
  <c r="M606" i="11"/>
  <c r="L606" i="11" s="1"/>
  <c r="Q606" i="11" a="1"/>
  <c r="Q606" i="11" s="1"/>
  <c r="B325" i="25"/>
  <c r="C325" i="25"/>
  <c r="D325" i="25"/>
  <c r="E325" i="25"/>
  <c r="C605" i="11"/>
  <c r="M605" i="11"/>
  <c r="L605" i="11" s="1"/>
  <c r="Q605" i="11" a="1"/>
  <c r="Q605" i="11" s="1"/>
  <c r="C604" i="11"/>
  <c r="M604" i="11"/>
  <c r="L604" i="11" s="1"/>
  <c r="Q604" i="11" a="1"/>
  <c r="Q604" i="11" s="1"/>
  <c r="M298" i="25" l="1"/>
  <c r="R470" i="11"/>
  <c r="U470" i="11"/>
  <c r="R469" i="11"/>
  <c r="U469" i="11"/>
  <c r="R526" i="11"/>
  <c r="U526" i="11"/>
  <c r="R441" i="11"/>
  <c r="U441" i="11"/>
  <c r="R332" i="11"/>
  <c r="U332" i="11"/>
  <c r="U608" i="11"/>
  <c r="R607" i="11"/>
  <c r="U607" i="11"/>
  <c r="U606" i="11"/>
  <c r="R606" i="11"/>
  <c r="R605" i="11"/>
  <c r="U605" i="11"/>
  <c r="U604" i="11"/>
  <c r="R604" i="11"/>
  <c r="C603" i="11"/>
  <c r="M603" i="11"/>
  <c r="L603" i="11" s="1"/>
  <c r="Q603" i="11" a="1"/>
  <c r="Q603" i="11" s="1"/>
  <c r="C602" i="11"/>
  <c r="M602" i="11"/>
  <c r="L602" i="11" s="1"/>
  <c r="Q602" i="11" a="1"/>
  <c r="Q602" i="11" s="1"/>
  <c r="R603" i="11" l="1"/>
  <c r="U603" i="11"/>
  <c r="R602" i="11"/>
  <c r="U602" i="11"/>
  <c r="L508" i="11"/>
  <c r="C511" i="11"/>
  <c r="M511" i="11"/>
  <c r="Q511" i="11" a="1"/>
  <c r="Q511" i="11" s="1"/>
  <c r="B324" i="25"/>
  <c r="C324" i="25"/>
  <c r="D324" i="25"/>
  <c r="E324" i="25"/>
  <c r="C601" i="11"/>
  <c r="M601" i="11"/>
  <c r="L601" i="11" s="1"/>
  <c r="Q601" i="11" a="1"/>
  <c r="Q601" i="11" s="1"/>
  <c r="R601" i="11" s="1"/>
  <c r="C510" i="11"/>
  <c r="M510" i="11"/>
  <c r="Q510" i="11" a="1"/>
  <c r="Q510" i="11" s="1"/>
  <c r="C580" i="11"/>
  <c r="M580" i="11"/>
  <c r="L580" i="11" s="1"/>
  <c r="Q580" i="11" a="1"/>
  <c r="Q580" i="11" s="1"/>
  <c r="Q461" i="11" a="1"/>
  <c r="Q461" i="11" s="1"/>
  <c r="C551" i="11"/>
  <c r="M551" i="11"/>
  <c r="L551" i="11" s="1"/>
  <c r="Q551" i="11" a="1"/>
  <c r="Q551" i="11" s="1"/>
  <c r="C599" i="11"/>
  <c r="M288" i="25" s="1"/>
  <c r="M599" i="11"/>
  <c r="L599" i="11" s="1"/>
  <c r="Q599" i="11" a="1"/>
  <c r="Q599" i="11" s="1"/>
  <c r="R599" i="11" s="1"/>
  <c r="C589" i="11"/>
  <c r="M589" i="11"/>
  <c r="L589" i="11" s="1"/>
  <c r="Q589" i="11" a="1"/>
  <c r="Q589" i="11" s="1"/>
  <c r="C588" i="11"/>
  <c r="M588" i="11"/>
  <c r="L588" i="11" s="1"/>
  <c r="Q588" i="11" a="1"/>
  <c r="Q588" i="11" s="1"/>
  <c r="R588" i="11" s="1"/>
  <c r="C594" i="11"/>
  <c r="M594" i="11"/>
  <c r="L594" i="11" s="1"/>
  <c r="Q594" i="11" a="1"/>
  <c r="Q594" i="11" s="1"/>
  <c r="C600" i="11"/>
  <c r="M600" i="11"/>
  <c r="L600" i="11" s="1"/>
  <c r="Q600" i="11" a="1"/>
  <c r="Q600" i="11" s="1"/>
  <c r="R600" i="11" s="1"/>
  <c r="C598" i="11"/>
  <c r="M598" i="11"/>
  <c r="L598" i="11" s="1"/>
  <c r="Q598" i="11" a="1"/>
  <c r="Q598" i="11" s="1"/>
  <c r="R598" i="11" s="1"/>
  <c r="C597" i="11"/>
  <c r="M597" i="11"/>
  <c r="L597" i="11" s="1"/>
  <c r="Q597" i="11" a="1"/>
  <c r="Q597" i="11" s="1"/>
  <c r="R597" i="11" s="1"/>
  <c r="C587" i="11"/>
  <c r="M587" i="11"/>
  <c r="L587" i="11" s="1"/>
  <c r="Q587" i="11" a="1"/>
  <c r="Q587" i="11" s="1"/>
  <c r="C596" i="11"/>
  <c r="M596" i="11"/>
  <c r="L596" i="11" s="1"/>
  <c r="Q596" i="11" a="1"/>
  <c r="Q596" i="11" s="1"/>
  <c r="C595" i="11"/>
  <c r="M595" i="11"/>
  <c r="L595" i="11" s="1"/>
  <c r="Q595" i="11" a="1"/>
  <c r="Q595" i="11" s="1"/>
  <c r="C586" i="11"/>
  <c r="M586" i="11"/>
  <c r="L586" i="11" s="1"/>
  <c r="Q586" i="11" a="1"/>
  <c r="Q586" i="11" s="1"/>
  <c r="U586" i="11" s="1"/>
  <c r="C593" i="11"/>
  <c r="M593" i="11"/>
  <c r="L593" i="11" s="1"/>
  <c r="Q593" i="11" a="1"/>
  <c r="Q593" i="11" s="1"/>
  <c r="R593" i="11" s="1"/>
  <c r="B323" i="25"/>
  <c r="C323" i="25"/>
  <c r="D323" i="25"/>
  <c r="E323" i="25"/>
  <c r="C592" i="11"/>
  <c r="M592" i="11"/>
  <c r="L592" i="11" s="1"/>
  <c r="Q592" i="11" a="1"/>
  <c r="Q592" i="11" s="1"/>
  <c r="C585" i="11"/>
  <c r="M585" i="11"/>
  <c r="L585" i="11" s="1"/>
  <c r="Q585" i="11" a="1"/>
  <c r="Q585" i="11" s="1"/>
  <c r="C584" i="11"/>
  <c r="M584" i="11"/>
  <c r="L584" i="11" s="1"/>
  <c r="Q584" i="11" a="1"/>
  <c r="Q584" i="11" s="1"/>
  <c r="U584" i="11" s="1"/>
  <c r="C583" i="11"/>
  <c r="M583" i="11"/>
  <c r="L583" i="11" s="1"/>
  <c r="Q583" i="11" a="1"/>
  <c r="Q583" i="11" s="1"/>
  <c r="R583" i="11" s="1"/>
  <c r="C582" i="11"/>
  <c r="M582" i="11"/>
  <c r="L582" i="11" s="1"/>
  <c r="Q582" i="11" a="1"/>
  <c r="Q582" i="11" s="1"/>
  <c r="C581" i="11"/>
  <c r="M581" i="11"/>
  <c r="L581" i="11" s="1"/>
  <c r="Q581" i="11" a="1"/>
  <c r="Q581" i="11" s="1"/>
  <c r="C591" i="11"/>
  <c r="M591" i="11"/>
  <c r="Q591" i="11" a="1"/>
  <c r="Q591" i="11" s="1"/>
  <c r="C590" i="11"/>
  <c r="M590" i="11"/>
  <c r="L590" i="11" s="1"/>
  <c r="Q590" i="11" a="1"/>
  <c r="Q590" i="11" s="1"/>
  <c r="C578" i="11"/>
  <c r="M578" i="11"/>
  <c r="Q578" i="11" a="1"/>
  <c r="Q578" i="11" s="1"/>
  <c r="C577" i="11"/>
  <c r="M577" i="11"/>
  <c r="L577" i="11" s="1"/>
  <c r="Q577" i="11" a="1"/>
  <c r="Q577" i="11" s="1"/>
  <c r="R577" i="11" s="1"/>
  <c r="C576" i="11"/>
  <c r="M576" i="11"/>
  <c r="L576" i="11" s="1"/>
  <c r="Q576" i="11" a="1"/>
  <c r="Q576" i="11" s="1"/>
  <c r="C575" i="11"/>
  <c r="M575" i="11"/>
  <c r="L575" i="11" s="1"/>
  <c r="Q575" i="11" a="1"/>
  <c r="Q575" i="11" s="1"/>
  <c r="C574" i="11"/>
  <c r="M574" i="11"/>
  <c r="L574" i="11" s="1"/>
  <c r="Q574" i="11" a="1"/>
  <c r="Q574" i="11" s="1"/>
  <c r="C573" i="11"/>
  <c r="M573" i="11"/>
  <c r="L573" i="11" s="1"/>
  <c r="Q573" i="11" a="1"/>
  <c r="Q573" i="11" s="1"/>
  <c r="R573" i="11" s="1"/>
  <c r="B300" i="25"/>
  <c r="C300" i="25"/>
  <c r="D300" i="25"/>
  <c r="E300" i="25"/>
  <c r="C572" i="11"/>
  <c r="M300" i="25" s="1"/>
  <c r="M572" i="11"/>
  <c r="L572" i="11" s="1"/>
  <c r="Q572" i="11" a="1"/>
  <c r="Q572" i="11" s="1"/>
  <c r="C571" i="11"/>
  <c r="M571" i="11"/>
  <c r="L571" i="11" s="1"/>
  <c r="Q571" i="11" a="1"/>
  <c r="Q571" i="11" s="1"/>
  <c r="R571" i="11" s="1"/>
  <c r="C570" i="11"/>
  <c r="M570" i="11"/>
  <c r="L570" i="11" s="1"/>
  <c r="Q570" i="11" a="1"/>
  <c r="Q570" i="11" s="1"/>
  <c r="R570" i="11" s="1"/>
  <c r="C569" i="11"/>
  <c r="M569" i="11"/>
  <c r="L569" i="11" s="1"/>
  <c r="Q569" i="11" a="1"/>
  <c r="Q569" i="11" s="1"/>
  <c r="R569" i="11" s="1"/>
  <c r="C568" i="11"/>
  <c r="M568" i="11"/>
  <c r="L568" i="11" s="1"/>
  <c r="Q568" i="11" a="1"/>
  <c r="Q568" i="11" s="1"/>
  <c r="C567" i="11"/>
  <c r="M567" i="11"/>
  <c r="L567" i="11" s="1"/>
  <c r="Q567" i="11" a="1"/>
  <c r="Q567" i="11" s="1"/>
  <c r="C473" i="11"/>
  <c r="M473" i="11"/>
  <c r="Q473" i="11" a="1"/>
  <c r="Q473" i="11" s="1"/>
  <c r="C566" i="11"/>
  <c r="M566" i="11"/>
  <c r="L566" i="11" s="1"/>
  <c r="Q566" i="11" a="1"/>
  <c r="Q566" i="11" s="1"/>
  <c r="C562" i="11"/>
  <c r="M562" i="11"/>
  <c r="L562" i="11" s="1"/>
  <c r="Q562" i="11" a="1"/>
  <c r="Q562" i="11" s="1"/>
  <c r="C563" i="11"/>
  <c r="M563" i="11"/>
  <c r="L563" i="11" s="1"/>
  <c r="Q563" i="11" a="1"/>
  <c r="Q563" i="11" s="1"/>
  <c r="R563" i="11" s="1"/>
  <c r="C565" i="11"/>
  <c r="M565" i="11"/>
  <c r="L565" i="11" s="1"/>
  <c r="Q565" i="11" a="1"/>
  <c r="Q565" i="11" s="1"/>
  <c r="C564" i="11"/>
  <c r="M564" i="11"/>
  <c r="L564" i="11" s="1"/>
  <c r="Q564" i="11" a="1"/>
  <c r="Q564" i="11" s="1"/>
  <c r="R564" i="11" s="1"/>
  <c r="M561" i="11"/>
  <c r="L561" i="11" s="1"/>
  <c r="Q561" i="11" a="1"/>
  <c r="Q561" i="11" s="1"/>
  <c r="C560" i="11"/>
  <c r="M560" i="11"/>
  <c r="L560" i="11" s="1"/>
  <c r="Q560" i="11" a="1"/>
  <c r="Q560" i="11" s="1"/>
  <c r="C559" i="11"/>
  <c r="M559" i="11"/>
  <c r="L559" i="11" s="1"/>
  <c r="Q559" i="11" a="1"/>
  <c r="Q559" i="11" s="1"/>
  <c r="C558" i="11"/>
  <c r="M558" i="11"/>
  <c r="L558" i="11" s="1"/>
  <c r="Q558" i="11" a="1"/>
  <c r="Q558" i="11" s="1"/>
  <c r="R558" i="11" s="1"/>
  <c r="C509" i="11"/>
  <c r="Q509" i="11" a="1"/>
  <c r="Q509" i="11" s="1"/>
  <c r="C557" i="11"/>
  <c r="M557" i="11"/>
  <c r="L557" i="11" s="1"/>
  <c r="Q557" i="11" a="1"/>
  <c r="Q557" i="11" s="1"/>
  <c r="C556" i="11"/>
  <c r="M556" i="11"/>
  <c r="L556" i="11" s="1"/>
  <c r="Q556" i="11" a="1"/>
  <c r="Q556" i="11" s="1"/>
  <c r="C555" i="11"/>
  <c r="M555" i="11"/>
  <c r="L555" i="11" s="1"/>
  <c r="Q555" i="11" a="1"/>
  <c r="Q555" i="11" s="1"/>
  <c r="C554" i="11"/>
  <c r="M554" i="11"/>
  <c r="L554" i="11" s="1"/>
  <c r="Q554" i="11" a="1"/>
  <c r="Q554" i="11" s="1"/>
  <c r="L591" i="11" l="1"/>
  <c r="M295" i="25"/>
  <c r="M247" i="25"/>
  <c r="N247" i="25" s="1"/>
  <c r="M296" i="25"/>
  <c r="M325" i="25"/>
  <c r="N325" i="25" s="1"/>
  <c r="M158" i="25"/>
  <c r="M293" i="25"/>
  <c r="R511" i="11"/>
  <c r="U511" i="11"/>
  <c r="N300" i="25"/>
  <c r="U601" i="11"/>
  <c r="U599" i="11"/>
  <c r="U510" i="11"/>
  <c r="R510" i="11"/>
  <c r="R580" i="11"/>
  <c r="U580" i="11"/>
  <c r="U551" i="11"/>
  <c r="R551" i="11"/>
  <c r="R589" i="11"/>
  <c r="U589" i="11"/>
  <c r="U588" i="11"/>
  <c r="R594" i="11"/>
  <c r="U594" i="11"/>
  <c r="U600" i="11"/>
  <c r="U598" i="11"/>
  <c r="U597" i="11"/>
  <c r="R587" i="11"/>
  <c r="U587" i="11"/>
  <c r="R596" i="11"/>
  <c r="U596" i="11"/>
  <c r="R595" i="11"/>
  <c r="U595" i="11"/>
  <c r="R586" i="11"/>
  <c r="U593" i="11"/>
  <c r="U592" i="11"/>
  <c r="R592" i="11"/>
  <c r="R585" i="11"/>
  <c r="U585" i="11"/>
  <c r="R584" i="11"/>
  <c r="U583" i="11"/>
  <c r="R582" i="11"/>
  <c r="U582" i="11"/>
  <c r="R581" i="11"/>
  <c r="U581" i="11"/>
  <c r="R591" i="11"/>
  <c r="U591" i="11"/>
  <c r="R590" i="11"/>
  <c r="U590" i="11"/>
  <c r="R578" i="11"/>
  <c r="U578" i="11"/>
  <c r="U577" i="11"/>
  <c r="R576" i="11"/>
  <c r="U576" i="11"/>
  <c r="R575" i="11"/>
  <c r="U575" i="11"/>
  <c r="U574" i="11"/>
  <c r="R574" i="11"/>
  <c r="U573" i="11"/>
  <c r="R572" i="11"/>
  <c r="U572" i="11"/>
  <c r="U571" i="11"/>
  <c r="U570" i="11"/>
  <c r="U569" i="11"/>
  <c r="R568" i="11"/>
  <c r="U568" i="11"/>
  <c r="R567" i="11"/>
  <c r="U567" i="11"/>
  <c r="R473" i="11"/>
  <c r="U473" i="11"/>
  <c r="R566" i="11"/>
  <c r="U566" i="11"/>
  <c r="R562" i="11"/>
  <c r="U562" i="11"/>
  <c r="U563" i="11"/>
  <c r="U565" i="11"/>
  <c r="R565" i="11"/>
  <c r="U564" i="11"/>
  <c r="R561" i="11"/>
  <c r="U561" i="11"/>
  <c r="R560" i="11"/>
  <c r="U560" i="11"/>
  <c r="R559" i="11"/>
  <c r="U559" i="11"/>
  <c r="U558" i="11"/>
  <c r="R509" i="11"/>
  <c r="U509" i="11"/>
  <c r="R557" i="11"/>
  <c r="U557" i="11"/>
  <c r="R556" i="11"/>
  <c r="U556" i="11"/>
  <c r="R555" i="11"/>
  <c r="U555" i="11"/>
  <c r="R554" i="11"/>
  <c r="U554" i="11"/>
  <c r="C553" i="11"/>
  <c r="M553" i="11"/>
  <c r="L553" i="11" s="1"/>
  <c r="Q553" i="11" a="1"/>
  <c r="Q553" i="11" s="1"/>
  <c r="C552" i="11"/>
  <c r="M552" i="11"/>
  <c r="L552" i="11" s="1"/>
  <c r="Q552" i="11" a="1"/>
  <c r="Q552" i="11" s="1"/>
  <c r="C467" i="11"/>
  <c r="M467" i="11"/>
  <c r="L467" i="11" s="1"/>
  <c r="Q467" i="11" a="1"/>
  <c r="Q467" i="11" s="1"/>
  <c r="C550" i="11"/>
  <c r="M550" i="11"/>
  <c r="L550" i="11" s="1"/>
  <c r="Q550" i="11" a="1"/>
  <c r="Q550" i="11" s="1"/>
  <c r="C549" i="11"/>
  <c r="M549" i="11"/>
  <c r="L549" i="11" s="1"/>
  <c r="Q549" i="11" a="1"/>
  <c r="Q549" i="11" s="1"/>
  <c r="C548" i="11"/>
  <c r="M548" i="11"/>
  <c r="L548" i="11" s="1"/>
  <c r="Q548" i="11" a="1"/>
  <c r="Q548" i="11" s="1"/>
  <c r="M318" i="25"/>
  <c r="M541" i="11"/>
  <c r="L541" i="11" s="1"/>
  <c r="Q541" i="11" a="1"/>
  <c r="Q541" i="11" s="1"/>
  <c r="B296" i="25"/>
  <c r="C296" i="25"/>
  <c r="D296" i="25"/>
  <c r="E296" i="25"/>
  <c r="B295" i="25"/>
  <c r="C295" i="25"/>
  <c r="D295" i="25"/>
  <c r="E295" i="25"/>
  <c r="B313" i="25"/>
  <c r="C313" i="25"/>
  <c r="D313" i="25"/>
  <c r="E313" i="25"/>
  <c r="B303" i="25"/>
  <c r="C303" i="25"/>
  <c r="D303" i="25"/>
  <c r="E303" i="25"/>
  <c r="B302" i="25"/>
  <c r="C302" i="25"/>
  <c r="D302" i="25"/>
  <c r="E302" i="25"/>
  <c r="B310" i="25"/>
  <c r="C310" i="25"/>
  <c r="D310" i="25"/>
  <c r="E310" i="25"/>
  <c r="B320" i="25"/>
  <c r="C320" i="25"/>
  <c r="D320" i="25"/>
  <c r="E320" i="25"/>
  <c r="B319" i="25"/>
  <c r="C319" i="25"/>
  <c r="D319" i="25"/>
  <c r="E319" i="25"/>
  <c r="B317" i="25"/>
  <c r="C317" i="25"/>
  <c r="D317" i="25"/>
  <c r="E317" i="25"/>
  <c r="B318" i="25"/>
  <c r="C318" i="25"/>
  <c r="D318" i="25"/>
  <c r="E318" i="25"/>
  <c r="B315" i="25"/>
  <c r="C315" i="25"/>
  <c r="D315" i="25"/>
  <c r="E315" i="25"/>
  <c r="B322" i="25"/>
  <c r="C322" i="25"/>
  <c r="D322" i="25"/>
  <c r="E322" i="25"/>
  <c r="B321" i="25"/>
  <c r="C321" i="25"/>
  <c r="D321" i="25"/>
  <c r="E321" i="25"/>
  <c r="B316" i="25"/>
  <c r="C316" i="25"/>
  <c r="D316" i="25"/>
  <c r="E316" i="25"/>
  <c r="B314" i="25"/>
  <c r="C314" i="25"/>
  <c r="D314" i="25"/>
  <c r="E314" i="25"/>
  <c r="B304" i="25"/>
  <c r="C304" i="25"/>
  <c r="D304" i="25"/>
  <c r="E304" i="25"/>
  <c r="B301" i="25"/>
  <c r="C301" i="25"/>
  <c r="D301" i="25"/>
  <c r="E301" i="25"/>
  <c r="N295" i="25" l="1"/>
  <c r="U553" i="11"/>
  <c r="R553" i="11"/>
  <c r="R552" i="11"/>
  <c r="U552" i="11"/>
  <c r="R467" i="11"/>
  <c r="U467" i="11"/>
  <c r="R550" i="11"/>
  <c r="U550" i="11"/>
  <c r="U549" i="11"/>
  <c r="R549" i="11"/>
  <c r="R548" i="11"/>
  <c r="U548" i="11"/>
  <c r="R541" i="11"/>
  <c r="U541" i="11"/>
  <c r="N296" i="25"/>
  <c r="N318" i="25"/>
  <c r="C546" i="11"/>
  <c r="M546" i="11"/>
  <c r="L546" i="11" s="1"/>
  <c r="Q546" i="11" a="1"/>
  <c r="Q546" i="11" s="1"/>
  <c r="C547" i="11"/>
  <c r="M294" i="25" s="1"/>
  <c r="M547" i="11"/>
  <c r="L547" i="11" s="1"/>
  <c r="Q547" i="11" a="1"/>
  <c r="Q547" i="11" s="1"/>
  <c r="L438" i="11"/>
  <c r="C439" i="11"/>
  <c r="M439" i="11"/>
  <c r="Q439" i="11" a="1"/>
  <c r="Q439" i="11" s="1"/>
  <c r="C545" i="11"/>
  <c r="M239" i="25" s="1"/>
  <c r="M545" i="11"/>
  <c r="Q545" i="11" a="1"/>
  <c r="Q545" i="11" s="1"/>
  <c r="L545" i="11" l="1"/>
  <c r="R546" i="11"/>
  <c r="U546" i="11"/>
  <c r="R547" i="11"/>
  <c r="U547" i="11"/>
  <c r="R439" i="11"/>
  <c r="U439" i="11"/>
  <c r="R545" i="11"/>
  <c r="U545" i="11"/>
  <c r="B306" i="25"/>
  <c r="C306" i="25"/>
  <c r="D306" i="25"/>
  <c r="E306" i="25"/>
  <c r="M544" i="11"/>
  <c r="L544" i="11" s="1"/>
  <c r="Q544" i="11" a="1"/>
  <c r="Q544" i="11" s="1"/>
  <c r="M539" i="11"/>
  <c r="L539" i="11" s="1"/>
  <c r="Q539" i="11" a="1"/>
  <c r="Q539" i="11" s="1"/>
  <c r="M538" i="11"/>
  <c r="L538" i="11" s="1"/>
  <c r="Q538" i="11" a="1"/>
  <c r="Q538" i="11" s="1"/>
  <c r="C460" i="11"/>
  <c r="M460" i="11"/>
  <c r="L460" i="11" s="1"/>
  <c r="Q460" i="11" a="1"/>
  <c r="Q460" i="11" s="1"/>
  <c r="C536" i="11"/>
  <c r="M536" i="11"/>
  <c r="L536" i="11" s="1"/>
  <c r="Q536" i="11" a="1"/>
  <c r="Q536" i="11" s="1"/>
  <c r="C535" i="11"/>
  <c r="M535" i="11"/>
  <c r="L535" i="11" s="1"/>
  <c r="Q535" i="11" a="1"/>
  <c r="Q535" i="11" s="1"/>
  <c r="C519" i="11"/>
  <c r="M519" i="11"/>
  <c r="L519" i="11" s="1"/>
  <c r="Q519" i="11" a="1"/>
  <c r="Q519" i="11" s="1"/>
  <c r="C537" i="11"/>
  <c r="M537" i="11"/>
  <c r="L537" i="11" s="1"/>
  <c r="Q537" i="11" a="1"/>
  <c r="Q537" i="11" s="1"/>
  <c r="C533" i="11"/>
  <c r="M533" i="11"/>
  <c r="L533" i="11" s="1"/>
  <c r="Q533" i="11" a="1"/>
  <c r="Q533" i="11" s="1"/>
  <c r="C532" i="11"/>
  <c r="M532" i="11"/>
  <c r="L532" i="11" s="1"/>
  <c r="Q532" i="11" a="1"/>
  <c r="Q532" i="11" s="1"/>
  <c r="R532" i="11" s="1"/>
  <c r="M531" i="11"/>
  <c r="L531" i="11" s="1"/>
  <c r="Q531" i="11" a="1"/>
  <c r="Q531" i="11" s="1"/>
  <c r="C530" i="11"/>
  <c r="M530" i="11"/>
  <c r="L530" i="11" s="1"/>
  <c r="Q530" i="11" a="1"/>
  <c r="Q530" i="11" s="1"/>
  <c r="C529" i="11"/>
  <c r="M529" i="11"/>
  <c r="L529" i="11" s="1"/>
  <c r="Q529" i="11" a="1"/>
  <c r="Q529" i="11" s="1"/>
  <c r="C528" i="11"/>
  <c r="M528" i="11"/>
  <c r="L528" i="11" s="1"/>
  <c r="Q528" i="11" a="1"/>
  <c r="Q528" i="11" s="1"/>
  <c r="R528" i="11" s="1"/>
  <c r="C527" i="11"/>
  <c r="M527" i="11"/>
  <c r="L527" i="11" s="1"/>
  <c r="Q527" i="11" a="1"/>
  <c r="Q527" i="11" s="1"/>
  <c r="C534" i="11"/>
  <c r="M534" i="11"/>
  <c r="L534" i="11" s="1"/>
  <c r="Q534" i="11" a="1"/>
  <c r="Q534" i="11" s="1"/>
  <c r="C520" i="11"/>
  <c r="C518" i="11"/>
  <c r="C514" i="11"/>
  <c r="C513" i="11"/>
  <c r="C512" i="11"/>
  <c r="C508" i="11"/>
  <c r="C507" i="11"/>
  <c r="C506" i="11"/>
  <c r="C505" i="11"/>
  <c r="C504" i="11"/>
  <c r="C503" i="11"/>
  <c r="C499" i="11"/>
  <c r="C492" i="11"/>
  <c r="C491" i="11"/>
  <c r="C490" i="11"/>
  <c r="C489" i="11"/>
  <c r="C488" i="11"/>
  <c r="C487" i="11"/>
  <c r="C486" i="11"/>
  <c r="C485" i="11"/>
  <c r="C484" i="11"/>
  <c r="C483" i="11"/>
  <c r="C482" i="11"/>
  <c r="C481" i="11"/>
  <c r="C474" i="11"/>
  <c r="C472" i="11"/>
  <c r="C466" i="11"/>
  <c r="C458" i="11"/>
  <c r="C455" i="11"/>
  <c r="C454" i="11"/>
  <c r="C453" i="11"/>
  <c r="C452" i="11"/>
  <c r="C451" i="11"/>
  <c r="C445" i="11"/>
  <c r="C444" i="11"/>
  <c r="C443" i="11"/>
  <c r="C442" i="11"/>
  <c r="C440" i="11"/>
  <c r="C438" i="11"/>
  <c r="C435" i="11"/>
  <c r="C434" i="11"/>
  <c r="C421" i="11"/>
  <c r="C420" i="11"/>
  <c r="C419" i="11"/>
  <c r="C414" i="11"/>
  <c r="C409" i="11"/>
  <c r="C403" i="11"/>
  <c r="C402" i="11"/>
  <c r="C386" i="11"/>
  <c r="C385" i="11"/>
  <c r="C383" i="11"/>
  <c r="C310" i="11"/>
  <c r="C124" i="11"/>
  <c r="C123" i="11"/>
  <c r="R544" i="11" l="1"/>
  <c r="U544" i="11"/>
  <c r="R539" i="11"/>
  <c r="U539" i="11"/>
  <c r="R538" i="11"/>
  <c r="U538" i="11"/>
  <c r="R460" i="11"/>
  <c r="U460" i="11"/>
  <c r="R536" i="11"/>
  <c r="U536" i="11"/>
  <c r="R535" i="11"/>
  <c r="U535" i="11"/>
  <c r="U519" i="11"/>
  <c r="R519" i="11"/>
  <c r="R537" i="11"/>
  <c r="U537" i="11"/>
  <c r="U533" i="11"/>
  <c r="R533" i="11"/>
  <c r="U532" i="11"/>
  <c r="R530" i="11"/>
  <c r="U530" i="11"/>
  <c r="U531" i="11"/>
  <c r="R531" i="11"/>
  <c r="R529" i="11"/>
  <c r="U529" i="11"/>
  <c r="R527" i="11"/>
  <c r="U527" i="11"/>
  <c r="U528" i="11"/>
  <c r="R534" i="11"/>
  <c r="U534" i="11"/>
  <c r="L358" i="11"/>
  <c r="L457" i="11"/>
  <c r="M458" i="11"/>
  <c r="Q458" i="11" a="1"/>
  <c r="Q458" i="11" s="1"/>
  <c r="Q472" i="11" a="1"/>
  <c r="Q472" i="11" s="1"/>
  <c r="R472" i="11" s="1"/>
  <c r="Q474" i="11" a="1"/>
  <c r="Q474" i="11" s="1"/>
  <c r="R474" i="11" s="1"/>
  <c r="Q475" i="11" a="1"/>
  <c r="Q475" i="11" s="1"/>
  <c r="R475" i="11" s="1"/>
  <c r="Q476" i="11" a="1"/>
  <c r="Q476" i="11" s="1"/>
  <c r="R476" i="11" s="1"/>
  <c r="R461" i="11"/>
  <c r="Q462" i="11" a="1"/>
  <c r="Q462" i="11" s="1"/>
  <c r="R462" i="11" s="1"/>
  <c r="Q463" i="11" a="1"/>
  <c r="Q463" i="11" s="1"/>
  <c r="R463" i="11" s="1"/>
  <c r="Q464" i="11" a="1"/>
  <c r="Q464" i="11" s="1"/>
  <c r="R464" i="11" s="1"/>
  <c r="Q465" i="11" a="1"/>
  <c r="Q465" i="11" s="1"/>
  <c r="R465" i="11" s="1"/>
  <c r="Q468" i="11" a="1"/>
  <c r="Q468" i="11" s="1"/>
  <c r="R468" i="11" s="1"/>
  <c r="Q454" i="11" a="1"/>
  <c r="Q454" i="11" s="1"/>
  <c r="R454" i="11" s="1"/>
  <c r="Q455" i="11" a="1"/>
  <c r="Q455" i="11" s="1"/>
  <c r="R455" i="11" s="1"/>
  <c r="Q456" i="11" a="1"/>
  <c r="Q456" i="11" s="1"/>
  <c r="R456" i="11" s="1"/>
  <c r="Q457" i="11" a="1"/>
  <c r="Q457" i="11" s="1"/>
  <c r="R457" i="11" s="1"/>
  <c r="C459" i="11"/>
  <c r="M459" i="11"/>
  <c r="L459" i="11" s="1"/>
  <c r="Q459" i="11" a="1"/>
  <c r="Q459" i="11" s="1"/>
  <c r="Q471" i="11" a="1"/>
  <c r="Q471" i="11" s="1"/>
  <c r="R471" i="11" s="1"/>
  <c r="Q453" i="11" a="1"/>
  <c r="Q453" i="11" s="1"/>
  <c r="R453" i="11" s="1"/>
  <c r="Q466" i="11" a="1"/>
  <c r="Q466" i="11" s="1"/>
  <c r="R466" i="11" s="1"/>
  <c r="C525" i="11"/>
  <c r="M525" i="11"/>
  <c r="Q525" i="11" a="1"/>
  <c r="Q525" i="11" s="1"/>
  <c r="C524" i="11"/>
  <c r="M524" i="11"/>
  <c r="L524" i="11" s="1"/>
  <c r="Q524" i="11" a="1"/>
  <c r="Q524" i="11" s="1"/>
  <c r="R524" i="11" s="1"/>
  <c r="C523" i="11"/>
  <c r="M523" i="11"/>
  <c r="L523" i="11" s="1"/>
  <c r="Q523" i="11" a="1"/>
  <c r="Q523" i="11" s="1"/>
  <c r="C517" i="11"/>
  <c r="M517" i="11"/>
  <c r="L517" i="11" s="1"/>
  <c r="Q517" i="11" a="1"/>
  <c r="Q517" i="11" s="1"/>
  <c r="C516" i="11"/>
  <c r="M516" i="11"/>
  <c r="L516" i="11" s="1"/>
  <c r="Q516" i="11" a="1"/>
  <c r="Q516" i="11" s="1"/>
  <c r="C522" i="11"/>
  <c r="M522" i="11"/>
  <c r="L522" i="11" s="1"/>
  <c r="Q522" i="11" a="1"/>
  <c r="Q522" i="11" s="1"/>
  <c r="R522" i="11" s="1"/>
  <c r="C521" i="11"/>
  <c r="M521" i="11"/>
  <c r="L521" i="11" s="1"/>
  <c r="Q521" i="11" a="1"/>
  <c r="Q521" i="11" s="1"/>
  <c r="M492" i="11"/>
  <c r="L492" i="11" s="1"/>
  <c r="Q492" i="11" a="1"/>
  <c r="Q492" i="11" s="1"/>
  <c r="M491" i="11"/>
  <c r="L491" i="11" s="1"/>
  <c r="Q491" i="11" a="1"/>
  <c r="Q491" i="11" s="1"/>
  <c r="M490" i="11"/>
  <c r="L490" i="11" s="1"/>
  <c r="Q490" i="11" a="1"/>
  <c r="Q490" i="11" s="1"/>
  <c r="M489" i="11"/>
  <c r="L489" i="11" s="1"/>
  <c r="Q489" i="11" a="1"/>
  <c r="Q489" i="11" s="1"/>
  <c r="M488" i="11"/>
  <c r="L488" i="11" s="1"/>
  <c r="Q488" i="11" a="1"/>
  <c r="Q488" i="11" s="1"/>
  <c r="R488" i="11" s="1"/>
  <c r="M487" i="11"/>
  <c r="L487" i="11" s="1"/>
  <c r="Q487" i="11" a="1"/>
  <c r="Q487" i="11" s="1"/>
  <c r="M486" i="11"/>
  <c r="L486" i="11" s="1"/>
  <c r="Q486" i="11" a="1"/>
  <c r="Q486" i="11" s="1"/>
  <c r="M485" i="11"/>
  <c r="L485" i="11" s="1"/>
  <c r="Q485" i="11" a="1"/>
  <c r="Q485" i="11" s="1"/>
  <c r="R485" i="11" s="1"/>
  <c r="M484" i="11"/>
  <c r="L484" i="11" s="1"/>
  <c r="Q484" i="11" a="1"/>
  <c r="Q484" i="11" s="1"/>
  <c r="M483" i="11"/>
  <c r="L483" i="11" s="1"/>
  <c r="Q483" i="11" a="1"/>
  <c r="Q483" i="11" s="1"/>
  <c r="M482" i="11"/>
  <c r="L482" i="11" s="1"/>
  <c r="Q482" i="11" a="1"/>
  <c r="Q482" i="11" s="1"/>
  <c r="R482" i="11" s="1"/>
  <c r="M481" i="11"/>
  <c r="L481" i="11" s="1"/>
  <c r="Q481" i="11" a="1"/>
  <c r="Q481" i="11" s="1"/>
  <c r="M480" i="11"/>
  <c r="L480" i="11" s="1"/>
  <c r="Q480" i="11" a="1"/>
  <c r="Q480" i="11" s="1"/>
  <c r="M479" i="11"/>
  <c r="L479" i="11" s="1"/>
  <c r="Q479" i="11" a="1"/>
  <c r="Q479" i="11" s="1"/>
  <c r="M478" i="11"/>
  <c r="L478" i="11" s="1"/>
  <c r="Q478" i="11" a="1"/>
  <c r="Q478" i="11" s="1"/>
  <c r="R478" i="11" s="1"/>
  <c r="M477" i="11"/>
  <c r="L477" i="11" s="1"/>
  <c r="Q477" i="11" a="1"/>
  <c r="Q477" i="11" s="1"/>
  <c r="M540" i="11"/>
  <c r="Q540" i="11" a="1"/>
  <c r="Q540" i="11" s="1"/>
  <c r="C515" i="11"/>
  <c r="M515" i="11"/>
  <c r="L515" i="11" s="1"/>
  <c r="Q515" i="11" a="1"/>
  <c r="Q515" i="11" s="1"/>
  <c r="M518" i="11"/>
  <c r="L518" i="11" s="1"/>
  <c r="Q518" i="11" a="1"/>
  <c r="Q518" i="11" s="1"/>
  <c r="R518" i="11" s="1"/>
  <c r="M514" i="11"/>
  <c r="L514" i="11" s="1"/>
  <c r="Q514" i="11" a="1"/>
  <c r="Q514" i="11" s="1"/>
  <c r="M513" i="11"/>
  <c r="L513" i="11" s="1"/>
  <c r="Q513" i="11" a="1"/>
  <c r="Q513" i="11" s="1"/>
  <c r="M512" i="11"/>
  <c r="L512" i="11" s="1"/>
  <c r="Q512" i="11" a="1"/>
  <c r="Q512" i="11" s="1"/>
  <c r="M508" i="11"/>
  <c r="Q508" i="11" a="1"/>
  <c r="Q508" i="11" s="1"/>
  <c r="M507" i="11"/>
  <c r="L507" i="11" s="1"/>
  <c r="Q507" i="11" a="1"/>
  <c r="Q507" i="11" s="1"/>
  <c r="M506" i="11"/>
  <c r="L506" i="11" s="1"/>
  <c r="Q506" i="11" a="1"/>
  <c r="Q506" i="11" s="1"/>
  <c r="R506" i="11" s="1"/>
  <c r="M505" i="11"/>
  <c r="L505" i="11" s="1"/>
  <c r="Q505" i="11" a="1"/>
  <c r="Q505" i="11" s="1"/>
  <c r="M520" i="11"/>
  <c r="L520" i="11" s="1"/>
  <c r="Q520" i="11" a="1"/>
  <c r="Q520" i="11" s="1"/>
  <c r="R520" i="11" s="1"/>
  <c r="M504" i="11"/>
  <c r="L504" i="11" s="1"/>
  <c r="Q504" i="11" a="1"/>
  <c r="Q504" i="11" s="1"/>
  <c r="C502" i="11"/>
  <c r="M502" i="11"/>
  <c r="L502" i="11" s="1"/>
  <c r="Q502" i="11" a="1"/>
  <c r="Q502" i="11" s="1"/>
  <c r="C501" i="11"/>
  <c r="M501" i="11"/>
  <c r="L501" i="11" s="1"/>
  <c r="Q501" i="11" a="1"/>
  <c r="Q501" i="11" s="1"/>
  <c r="C500" i="11"/>
  <c r="M500" i="11"/>
  <c r="L500" i="11" s="1"/>
  <c r="Q500" i="11" a="1"/>
  <c r="Q500" i="11" s="1"/>
  <c r="M503" i="11"/>
  <c r="L503" i="11" s="1"/>
  <c r="Q503" i="11" a="1"/>
  <c r="Q503" i="11" s="1"/>
  <c r="M499" i="11"/>
  <c r="L499" i="11" s="1"/>
  <c r="Q499" i="11" a="1"/>
  <c r="Q499" i="11" s="1"/>
  <c r="C498" i="11"/>
  <c r="M498" i="11"/>
  <c r="L498" i="11" s="1"/>
  <c r="Q498" i="11" a="1"/>
  <c r="Q498" i="11" s="1"/>
  <c r="C497" i="11"/>
  <c r="M497" i="11"/>
  <c r="L497" i="11" s="1"/>
  <c r="Q497" i="11" a="1"/>
  <c r="Q497" i="11" s="1"/>
  <c r="C496" i="11"/>
  <c r="M496" i="11"/>
  <c r="L496" i="11" s="1"/>
  <c r="Q496" i="11" a="1"/>
  <c r="Q496" i="11" s="1"/>
  <c r="C495" i="11"/>
  <c r="M495" i="11"/>
  <c r="L495" i="11" s="1"/>
  <c r="Q495" i="11" a="1"/>
  <c r="Q495" i="11" s="1"/>
  <c r="C494" i="11"/>
  <c r="M494" i="11"/>
  <c r="L494" i="11" s="1"/>
  <c r="Q494" i="11" a="1"/>
  <c r="Q494" i="11" s="1"/>
  <c r="C493" i="11"/>
  <c r="M493" i="11"/>
  <c r="L493" i="11" s="1"/>
  <c r="Q493" i="11" a="1"/>
  <c r="Q493" i="11" s="1"/>
  <c r="B299" i="25"/>
  <c r="C299" i="25"/>
  <c r="D299" i="25"/>
  <c r="E299" i="25"/>
  <c r="B53" i="25"/>
  <c r="C53" i="25"/>
  <c r="D53" i="25"/>
  <c r="E53" i="25"/>
  <c r="L53" i="25"/>
  <c r="B294" i="25"/>
  <c r="C294" i="25"/>
  <c r="D294" i="25"/>
  <c r="E294" i="25"/>
  <c r="L15" i="14"/>
  <c r="L96" i="25"/>
  <c r="M304" i="11"/>
  <c r="L304" i="11" s="1"/>
  <c r="B298" i="25"/>
  <c r="C298" i="25"/>
  <c r="D298" i="25"/>
  <c r="E298" i="25"/>
  <c r="B297" i="25"/>
  <c r="C297" i="25"/>
  <c r="D297" i="25"/>
  <c r="E297" i="25"/>
  <c r="B287" i="25"/>
  <c r="C287" i="25"/>
  <c r="D287" i="25"/>
  <c r="E287" i="25"/>
  <c r="Q448" i="11" a="1"/>
  <c r="Q448" i="11" s="1"/>
  <c r="R448" i="11" s="1"/>
  <c r="Q449" i="11" a="1"/>
  <c r="Q449" i="11" s="1"/>
  <c r="R449" i="11" s="1"/>
  <c r="Q450" i="11" a="1"/>
  <c r="Q450" i="11" s="1"/>
  <c r="R450" i="11" s="1"/>
  <c r="Q451" i="11" a="1"/>
  <c r="Q451" i="11" s="1"/>
  <c r="R451" i="11" s="1"/>
  <c r="Q452" i="11" a="1"/>
  <c r="Q452" i="11" s="1"/>
  <c r="R452" i="11" s="1"/>
  <c r="B312" i="25"/>
  <c r="C312" i="25"/>
  <c r="D312" i="25"/>
  <c r="E312" i="25"/>
  <c r="B311" i="25"/>
  <c r="C311" i="25"/>
  <c r="D311" i="25"/>
  <c r="E311" i="25"/>
  <c r="B309" i="25"/>
  <c r="C309" i="25"/>
  <c r="D309" i="25"/>
  <c r="E309" i="25"/>
  <c r="B308" i="25"/>
  <c r="C308" i="25"/>
  <c r="D308" i="25"/>
  <c r="E308" i="25"/>
  <c r="B307" i="25"/>
  <c r="C307" i="25"/>
  <c r="D307" i="25"/>
  <c r="E307" i="25"/>
  <c r="B275" i="25"/>
  <c r="C275" i="25"/>
  <c r="D275" i="25"/>
  <c r="E275" i="25"/>
  <c r="Q446" i="11" a="1"/>
  <c r="Q446" i="11" s="1"/>
  <c r="R446" i="11" s="1"/>
  <c r="Q447" i="11" a="1"/>
  <c r="Q447" i="11" s="1"/>
  <c r="R447" i="11" s="1"/>
  <c r="Q398" i="11" a="1"/>
  <c r="Q398" i="11" s="1"/>
  <c r="R398" i="11" s="1"/>
  <c r="Q445" i="11" a="1"/>
  <c r="Q445" i="11" s="1"/>
  <c r="R445" i="11" s="1"/>
  <c r="Q442" i="11" a="1"/>
  <c r="Q442" i="11" s="1"/>
  <c r="R442" i="11" s="1"/>
  <c r="Q443" i="11" a="1"/>
  <c r="Q443" i="11" s="1"/>
  <c r="R443" i="11" s="1"/>
  <c r="Q444" i="11" a="1"/>
  <c r="Q444" i="11" s="1"/>
  <c r="R444" i="11" s="1"/>
  <c r="B292" i="25"/>
  <c r="C292" i="25"/>
  <c r="D292" i="25"/>
  <c r="E292" i="25"/>
  <c r="B291" i="25"/>
  <c r="C291" i="25"/>
  <c r="D291" i="25"/>
  <c r="E291" i="25"/>
  <c r="B290" i="25"/>
  <c r="C290" i="25"/>
  <c r="D290" i="25"/>
  <c r="E290" i="25"/>
  <c r="B289" i="25"/>
  <c r="C289" i="25"/>
  <c r="D289" i="25"/>
  <c r="E289" i="25"/>
  <c r="B293" i="25"/>
  <c r="C293" i="25"/>
  <c r="D293" i="25"/>
  <c r="E293" i="25"/>
  <c r="B288" i="25"/>
  <c r="C288" i="25"/>
  <c r="D288" i="25"/>
  <c r="E288" i="25"/>
  <c r="B284" i="25"/>
  <c r="C284" i="25"/>
  <c r="D284" i="25"/>
  <c r="E284" i="25"/>
  <c r="B285" i="25"/>
  <c r="C285" i="25"/>
  <c r="D285" i="25"/>
  <c r="E285" i="25"/>
  <c r="B286" i="25"/>
  <c r="C286" i="25"/>
  <c r="D286" i="25"/>
  <c r="E286" i="25"/>
  <c r="N286" i="25" l="1"/>
  <c r="N294" i="25"/>
  <c r="L540" i="11"/>
  <c r="R458" i="11"/>
  <c r="U458" i="11"/>
  <c r="R459" i="11"/>
  <c r="U459" i="11"/>
  <c r="R525" i="11"/>
  <c r="U525" i="11"/>
  <c r="U524" i="11"/>
  <c r="R523" i="11"/>
  <c r="U523" i="11"/>
  <c r="R517" i="11"/>
  <c r="U517" i="11"/>
  <c r="U516" i="11"/>
  <c r="R516" i="11"/>
  <c r="U522" i="11"/>
  <c r="U521" i="11"/>
  <c r="R521" i="11"/>
  <c r="R492" i="11"/>
  <c r="U492" i="11"/>
  <c r="U491" i="11"/>
  <c r="R491" i="11"/>
  <c r="R490" i="11"/>
  <c r="U490" i="11"/>
  <c r="R489" i="11"/>
  <c r="U489" i="11"/>
  <c r="U488" i="11"/>
  <c r="R487" i="11"/>
  <c r="U487" i="11"/>
  <c r="U486" i="11"/>
  <c r="R486" i="11"/>
  <c r="U485" i="11"/>
  <c r="R484" i="11"/>
  <c r="U484" i="11"/>
  <c r="R483" i="11"/>
  <c r="U483" i="11"/>
  <c r="U482" i="11"/>
  <c r="U481" i="11"/>
  <c r="R481" i="11"/>
  <c r="R480" i="11"/>
  <c r="U480" i="11"/>
  <c r="R479" i="11"/>
  <c r="U479" i="11"/>
  <c r="U477" i="11"/>
  <c r="R477" i="11"/>
  <c r="U540" i="11"/>
  <c r="R540" i="11"/>
  <c r="U478" i="11"/>
  <c r="R515" i="11"/>
  <c r="U515" i="11"/>
  <c r="R514" i="11"/>
  <c r="U514" i="11"/>
  <c r="U518" i="11"/>
  <c r="R513" i="11"/>
  <c r="U513" i="11"/>
  <c r="R512" i="11"/>
  <c r="U512" i="11"/>
  <c r="R508" i="11"/>
  <c r="U508" i="11"/>
  <c r="R507" i="11"/>
  <c r="U507" i="11"/>
  <c r="U506" i="11"/>
  <c r="U505" i="11"/>
  <c r="R505" i="11"/>
  <c r="U520" i="11"/>
  <c r="R504" i="11"/>
  <c r="U504" i="11"/>
  <c r="R502" i="11"/>
  <c r="U502" i="11"/>
  <c r="R501" i="11"/>
  <c r="U501" i="11"/>
  <c r="R500" i="11"/>
  <c r="U500" i="11"/>
  <c r="R503" i="11"/>
  <c r="U503" i="11"/>
  <c r="R499" i="11"/>
  <c r="U499" i="11"/>
  <c r="R498" i="11"/>
  <c r="U498" i="11"/>
  <c r="R497" i="11"/>
  <c r="U497" i="11"/>
  <c r="R496" i="11"/>
  <c r="U496" i="11"/>
  <c r="R495" i="11"/>
  <c r="U495" i="11"/>
  <c r="U494" i="11"/>
  <c r="R494" i="11"/>
  <c r="R493" i="11"/>
  <c r="U493" i="11"/>
  <c r="N297" i="25"/>
  <c r="N287" i="25"/>
  <c r="N298" i="25"/>
  <c r="N293" i="25"/>
  <c r="N285" i="25"/>
  <c r="N275" i="25"/>
  <c r="N288" i="25"/>
  <c r="B282" i="25"/>
  <c r="C282" i="25"/>
  <c r="D282" i="25"/>
  <c r="E282" i="25"/>
  <c r="B278" i="25"/>
  <c r="C278" i="25"/>
  <c r="D278" i="25"/>
  <c r="E278" i="25"/>
  <c r="B280" i="25"/>
  <c r="C280" i="25"/>
  <c r="D280" i="25"/>
  <c r="E280" i="25"/>
  <c r="B277" i="25"/>
  <c r="C277" i="25"/>
  <c r="D277" i="25"/>
  <c r="E277" i="25"/>
  <c r="B279" i="25"/>
  <c r="C279" i="25"/>
  <c r="D279" i="25"/>
  <c r="E279" i="25"/>
  <c r="B276" i="25"/>
  <c r="C276" i="25"/>
  <c r="D276" i="25"/>
  <c r="E276" i="25"/>
  <c r="B281" i="25"/>
  <c r="C281" i="25"/>
  <c r="D281" i="25"/>
  <c r="E281" i="25"/>
  <c r="B283" i="25"/>
  <c r="C283" i="25"/>
  <c r="D283" i="25"/>
  <c r="E283" i="25"/>
  <c r="Q397" i="11" a="1"/>
  <c r="Q397" i="11" s="1"/>
  <c r="R397" i="11" s="1"/>
  <c r="Q440" i="11" a="1"/>
  <c r="Q440" i="11" s="1"/>
  <c r="R440" i="11" s="1"/>
  <c r="M391" i="11"/>
  <c r="M390" i="11"/>
  <c r="M357" i="11"/>
  <c r="Q435" i="11" a="1"/>
  <c r="Q435" i="11" s="1"/>
  <c r="R435" i="11" s="1"/>
  <c r="Q438" i="11" a="1"/>
  <c r="Q438" i="11" s="1"/>
  <c r="R438" i="11" s="1"/>
  <c r="Q436" i="11" a="1"/>
  <c r="Q436" i="11" s="1"/>
  <c r="R436" i="11" s="1"/>
  <c r="Q437" i="11" a="1"/>
  <c r="Q437" i="11" s="1"/>
  <c r="R437" i="11" s="1"/>
  <c r="Q434" i="11" a="1"/>
  <c r="Q434" i="11" s="1"/>
  <c r="R434" i="11" s="1"/>
  <c r="C392" i="11"/>
  <c r="Q392" i="11" a="1"/>
  <c r="Q392" i="11" s="1"/>
  <c r="C391" i="11"/>
  <c r="Q391" i="11" a="1"/>
  <c r="Q391" i="11" s="1"/>
  <c r="Q428" i="11" a="1"/>
  <c r="Q428" i="11" s="1"/>
  <c r="R428" i="11" s="1"/>
  <c r="Q429" i="11" a="1"/>
  <c r="Q429" i="11" s="1"/>
  <c r="R429" i="11" s="1"/>
  <c r="Q430" i="11" a="1"/>
  <c r="Q430" i="11" s="1"/>
  <c r="R430" i="11" s="1"/>
  <c r="Q431" i="11" a="1"/>
  <c r="Q431" i="11" s="1"/>
  <c r="R431" i="11" s="1"/>
  <c r="Q432" i="11" a="1"/>
  <c r="Q432" i="11" s="1"/>
  <c r="R432" i="11" s="1"/>
  <c r="Q433" i="11" a="1"/>
  <c r="Q433" i="11" s="1"/>
  <c r="R433" i="11" s="1"/>
  <c r="Q423" i="11" a="1"/>
  <c r="Q423" i="11" s="1"/>
  <c r="R423" i="11" s="1"/>
  <c r="Q424" i="11" a="1"/>
  <c r="Q424" i="11" s="1"/>
  <c r="R424" i="11" s="1"/>
  <c r="Q425" i="11" a="1"/>
  <c r="Q425" i="11" s="1"/>
  <c r="R425" i="11" s="1"/>
  <c r="Q426" i="11" a="1"/>
  <c r="Q426" i="11" s="1"/>
  <c r="R426" i="11" s="1"/>
  <c r="Q427" i="11" a="1"/>
  <c r="Q427" i="11" s="1"/>
  <c r="R427" i="11" s="1"/>
  <c r="Q419" i="11" a="1"/>
  <c r="Q419" i="11" s="1"/>
  <c r="R419" i="11" s="1"/>
  <c r="Q420" i="11" a="1"/>
  <c r="Q420" i="11" s="1"/>
  <c r="R420" i="11" s="1"/>
  <c r="Q421" i="11" a="1"/>
  <c r="Q421" i="11" s="1"/>
  <c r="R421" i="11" s="1"/>
  <c r="Q422" i="11" a="1"/>
  <c r="Q422" i="11" s="1"/>
  <c r="R422" i="11" s="1"/>
  <c r="Q415" i="11" a="1"/>
  <c r="Q415" i="11" s="1"/>
  <c r="R415" i="11" s="1"/>
  <c r="Q416" i="11" a="1"/>
  <c r="Q416" i="11" s="1"/>
  <c r="R416" i="11" s="1"/>
  <c r="Q417" i="11" a="1"/>
  <c r="Q417" i="11" s="1"/>
  <c r="R417" i="11" s="1"/>
  <c r="Q418" i="11" a="1"/>
  <c r="Q418" i="11" s="1"/>
  <c r="R418" i="11" s="1"/>
  <c r="Q413" i="11" a="1"/>
  <c r="Q413" i="11" s="1"/>
  <c r="R413" i="11" s="1"/>
  <c r="Q414" i="11" a="1"/>
  <c r="Q414" i="11" s="1"/>
  <c r="R414" i="11" s="1"/>
  <c r="Q410" i="11" a="1"/>
  <c r="Q410" i="11" s="1"/>
  <c r="R410" i="11" s="1"/>
  <c r="Q411" i="11" a="1"/>
  <c r="Q411" i="11" s="1"/>
  <c r="R411" i="11" s="1"/>
  <c r="Q412" i="11" a="1"/>
  <c r="Q412" i="11" s="1"/>
  <c r="R412" i="11" s="1"/>
  <c r="Q409" i="11" a="1"/>
  <c r="Q409" i="11" s="1"/>
  <c r="R409" i="11" s="1"/>
  <c r="C399" i="11"/>
  <c r="M399" i="11"/>
  <c r="L399" i="11" s="1"/>
  <c r="Q399" i="11" a="1"/>
  <c r="Q399" i="11" s="1"/>
  <c r="C400" i="11"/>
  <c r="M400" i="11"/>
  <c r="L400" i="11" s="1"/>
  <c r="Q400" i="11" a="1"/>
  <c r="Q400" i="11" s="1"/>
  <c r="C401" i="11"/>
  <c r="M401" i="11"/>
  <c r="L401" i="11" s="1"/>
  <c r="Q401" i="11" a="1"/>
  <c r="Q401" i="11" s="1"/>
  <c r="B219" i="25"/>
  <c r="C219" i="25"/>
  <c r="D219" i="25"/>
  <c r="E219" i="25"/>
  <c r="B225" i="25"/>
  <c r="C225" i="25"/>
  <c r="D225" i="25"/>
  <c r="E225" i="25"/>
  <c r="B228" i="25"/>
  <c r="C228" i="25"/>
  <c r="D228" i="25"/>
  <c r="E228" i="25"/>
  <c r="B231" i="25"/>
  <c r="C231" i="25"/>
  <c r="D231" i="25"/>
  <c r="E231" i="25"/>
  <c r="B229" i="25"/>
  <c r="C229" i="25"/>
  <c r="D229" i="25"/>
  <c r="E229" i="25"/>
  <c r="B230" i="25"/>
  <c r="C230" i="25"/>
  <c r="D230" i="25"/>
  <c r="E230" i="25"/>
  <c r="B272" i="25"/>
  <c r="C272" i="25"/>
  <c r="D272" i="25"/>
  <c r="E272" i="25"/>
  <c r="Q408" i="11" a="1"/>
  <c r="Q408" i="11" s="1"/>
  <c r="R408" i="11" s="1"/>
  <c r="Q406" i="11" a="1"/>
  <c r="Q406" i="11" s="1"/>
  <c r="R406" i="11" s="1"/>
  <c r="Q407" i="11" a="1"/>
  <c r="Q407" i="11" s="1"/>
  <c r="R407" i="11" s="1"/>
  <c r="Q404" i="11" a="1"/>
  <c r="Q404" i="11" s="1"/>
  <c r="R404" i="11" s="1"/>
  <c r="R392" i="11" l="1"/>
  <c r="U392" i="11"/>
  <c r="R391" i="11"/>
  <c r="U391" i="11"/>
  <c r="R399" i="11"/>
  <c r="U399" i="11"/>
  <c r="R400" i="11"/>
  <c r="U400" i="11"/>
  <c r="R401" i="11"/>
  <c r="U401" i="11"/>
  <c r="Q405" i="11" a="1"/>
  <c r="Q405" i="11" s="1"/>
  <c r="R405" i="11" s="1"/>
  <c r="L69" i="25"/>
  <c r="O18" i="14"/>
  <c r="O20" i="14"/>
  <c r="M4" i="14"/>
  <c r="Q402" i="11" a="1"/>
  <c r="Q402" i="11" s="1"/>
  <c r="R402" i="11" s="1"/>
  <c r="Q403" i="11" a="1"/>
  <c r="Q403" i="11" s="1"/>
  <c r="R403" i="11" s="1"/>
  <c r="B274" i="25"/>
  <c r="C274" i="25"/>
  <c r="D274" i="25"/>
  <c r="E274" i="25"/>
  <c r="B273" i="25"/>
  <c r="C273" i="25"/>
  <c r="D273" i="25"/>
  <c r="E273" i="25"/>
  <c r="B241" i="25"/>
  <c r="C241" i="25"/>
  <c r="D241" i="25"/>
  <c r="E241" i="25"/>
  <c r="B239" i="25"/>
  <c r="C239" i="25"/>
  <c r="D239" i="25"/>
  <c r="E239" i="25"/>
  <c r="B240" i="25"/>
  <c r="C240" i="25"/>
  <c r="D240" i="25"/>
  <c r="E240" i="25"/>
  <c r="Q396" i="11" a="1"/>
  <c r="Q396" i="11" s="1"/>
  <c r="R396" i="11" s="1"/>
  <c r="E237" i="25"/>
  <c r="D237" i="25"/>
  <c r="C237" i="25"/>
  <c r="B237" i="25"/>
  <c r="Q335" i="11" a="1"/>
  <c r="Q335" i="11" s="1"/>
  <c r="R335" i="11" s="1"/>
  <c r="Q334" i="11" a="1"/>
  <c r="Q334" i="11" s="1"/>
  <c r="R334" i="11" s="1"/>
  <c r="Q333" i="11" a="1"/>
  <c r="Q333" i="11" s="1"/>
  <c r="R333" i="11" s="1"/>
  <c r="Q329" i="11" a="1"/>
  <c r="Q329" i="11" s="1"/>
  <c r="R329" i="11" s="1"/>
  <c r="Q328" i="11" a="1"/>
  <c r="Q328" i="11" s="1"/>
  <c r="R328" i="11" s="1"/>
  <c r="Q354" i="11" a="1"/>
  <c r="Q354" i="11" s="1"/>
  <c r="R354" i="11" s="1"/>
  <c r="Q353" i="11" a="1"/>
  <c r="Q353" i="11" s="1"/>
  <c r="R353" i="11" s="1"/>
  <c r="Q351" i="11" a="1"/>
  <c r="Q351" i="11" s="1"/>
  <c r="R351" i="11" s="1"/>
  <c r="Q352" i="11" a="1"/>
  <c r="Q352" i="11" s="1"/>
  <c r="R352" i="11" s="1"/>
  <c r="Q349" i="11" a="1"/>
  <c r="Q349" i="11" s="1"/>
  <c r="R349" i="11" s="1"/>
  <c r="Q350" i="11" a="1"/>
  <c r="Q350" i="11" s="1"/>
  <c r="R350" i="11" s="1"/>
  <c r="L337" i="11"/>
  <c r="Q395" i="11" a="1"/>
  <c r="Q395" i="11" s="1"/>
  <c r="R395" i="11" s="1"/>
  <c r="Q390" i="11" a="1"/>
  <c r="Q390" i="11" s="1"/>
  <c r="R390" i="11" s="1"/>
  <c r="Q393" i="11" a="1"/>
  <c r="Q393" i="11" s="1"/>
  <c r="R393" i="11" s="1"/>
  <c r="C390" i="11"/>
  <c r="Q394" i="11" a="1"/>
  <c r="Q394" i="11" s="1"/>
  <c r="R394" i="11" s="1"/>
  <c r="Q389" i="11" a="1"/>
  <c r="Q389" i="11" s="1"/>
  <c r="R389" i="11" s="1"/>
  <c r="Q384" i="11" a="1"/>
  <c r="Q384" i="11" s="1"/>
  <c r="R384" i="11" s="1"/>
  <c r="Q385" i="11" a="1"/>
  <c r="Q385" i="11" s="1"/>
  <c r="R385" i="11" s="1"/>
  <c r="Q386" i="11" a="1"/>
  <c r="Q386" i="11" s="1"/>
  <c r="R386" i="11" s="1"/>
  <c r="Q387" i="11" a="1"/>
  <c r="Q387" i="11" s="1"/>
  <c r="R387" i="11" s="1"/>
  <c r="Q388" i="11" a="1"/>
  <c r="Q388" i="11" s="1"/>
  <c r="R388" i="11" s="1"/>
  <c r="Q375" i="11" a="1"/>
  <c r="Q375" i="11" s="1"/>
  <c r="R375" i="11" s="1"/>
  <c r="Q376" i="11" a="1"/>
  <c r="Q376" i="11" s="1"/>
  <c r="R376" i="11" s="1"/>
  <c r="Q377" i="11" a="1"/>
  <c r="Q377" i="11" s="1"/>
  <c r="R377" i="11" s="1"/>
  <c r="Q378" i="11" a="1"/>
  <c r="Q378" i="11" s="1"/>
  <c r="R378" i="11" s="1"/>
  <c r="Q379" i="11" a="1"/>
  <c r="Q379" i="11" s="1"/>
  <c r="R379" i="11" s="1"/>
  <c r="Q380" i="11" a="1"/>
  <c r="Q380" i="11" s="1"/>
  <c r="R380" i="11" s="1"/>
  <c r="Q381" i="11" a="1"/>
  <c r="Q381" i="11" s="1"/>
  <c r="R381" i="11" s="1"/>
  <c r="Q382" i="11" a="1"/>
  <c r="Q382" i="11" s="1"/>
  <c r="R382" i="11" s="1"/>
  <c r="Q383" i="11" a="1"/>
  <c r="Q383" i="11" s="1"/>
  <c r="R383" i="11" s="1"/>
  <c r="Q362" i="11" a="1"/>
  <c r="Q362" i="11" s="1"/>
  <c r="R362" i="11" s="1"/>
  <c r="Q371" i="11" a="1"/>
  <c r="Q371" i="11" s="1"/>
  <c r="R371" i="11" s="1"/>
  <c r="Q363" i="11" a="1"/>
  <c r="Q363" i="11" s="1"/>
  <c r="R363" i="11" s="1"/>
  <c r="Q364" i="11" a="1"/>
  <c r="Q364" i="11" s="1"/>
  <c r="R364" i="11" s="1"/>
  <c r="Q365" i="11" a="1"/>
  <c r="Q365" i="11" s="1"/>
  <c r="R365" i="11" s="1"/>
  <c r="Q366" i="11" a="1"/>
  <c r="Q366" i="11" s="1"/>
  <c r="R366" i="11" s="1"/>
  <c r="Q367" i="11" a="1"/>
  <c r="Q367" i="11" s="1"/>
  <c r="R367" i="11" s="1"/>
  <c r="Q368" i="11" a="1"/>
  <c r="Q368" i="11" s="1"/>
  <c r="R368" i="11" s="1"/>
  <c r="Q369" i="11" a="1"/>
  <c r="Q369" i="11" s="1"/>
  <c r="R369" i="11" s="1"/>
  <c r="Q370" i="11" a="1"/>
  <c r="Q370" i="11" s="1"/>
  <c r="R370" i="11" s="1"/>
  <c r="Q372" i="11" a="1"/>
  <c r="Q372" i="11" s="1"/>
  <c r="R372" i="11" s="1"/>
  <c r="Q373" i="11" a="1"/>
  <c r="Q373" i="11" s="1"/>
  <c r="R373" i="11" s="1"/>
  <c r="Q374" i="11" a="1"/>
  <c r="Q374" i="11" s="1"/>
  <c r="R374" i="11" s="1"/>
  <c r="B216" i="25"/>
  <c r="B215" i="25"/>
  <c r="B217" i="25"/>
  <c r="E216" i="25"/>
  <c r="E215" i="25"/>
  <c r="E217" i="25"/>
  <c r="D216" i="25"/>
  <c r="D215" i="25"/>
  <c r="D217" i="25"/>
  <c r="D218" i="25"/>
  <c r="C216" i="25"/>
  <c r="C215" i="25"/>
  <c r="C217" i="25"/>
  <c r="C218" i="25"/>
  <c r="L356" i="11"/>
  <c r="C357" i="11"/>
  <c r="Q357" i="11" a="1"/>
  <c r="Q357" i="11" s="1"/>
  <c r="M85" i="14"/>
  <c r="N85" i="14"/>
  <c r="M86" i="14"/>
  <c r="L85" i="14"/>
  <c r="L251" i="11"/>
  <c r="C252" i="11"/>
  <c r="Q252" i="11" a="1"/>
  <c r="Q252" i="11" s="1"/>
  <c r="A33" i="33" a="1"/>
  <c r="A33" i="33" s="1"/>
  <c r="A34" i="33" a="1"/>
  <c r="A34" i="33" s="1"/>
  <c r="A35" i="33" a="1"/>
  <c r="A35" i="33" s="1"/>
  <c r="A36" i="33" a="1"/>
  <c r="A36" i="33" s="1"/>
  <c r="A37" i="33" a="1"/>
  <c r="A37" i="33" s="1"/>
  <c r="A38" i="33" a="1"/>
  <c r="A38" i="33" s="1"/>
  <c r="A39" i="33" a="1"/>
  <c r="A39" i="33" s="1"/>
  <c r="A40" i="33" a="1"/>
  <c r="A40" i="33" s="1"/>
  <c r="E17" i="25"/>
  <c r="E16" i="25"/>
  <c r="E15" i="25"/>
  <c r="E14" i="25"/>
  <c r="D17" i="25"/>
  <c r="D16" i="25"/>
  <c r="D15" i="25"/>
  <c r="D14" i="25"/>
  <c r="C17" i="25"/>
  <c r="C16" i="25"/>
  <c r="C15" i="25"/>
  <c r="C14" i="25"/>
  <c r="B17" i="25"/>
  <c r="B16" i="25"/>
  <c r="B15" i="25"/>
  <c r="B14" i="25"/>
  <c r="A221" i="33" a="1"/>
  <c r="A221" i="33" s="1"/>
  <c r="A222" i="33" a="1"/>
  <c r="A222" i="33" s="1"/>
  <c r="A223" i="33" a="1"/>
  <c r="A223" i="33" s="1"/>
  <c r="A224" i="33" a="1"/>
  <c r="A224" i="33" s="1"/>
  <c r="A225" i="33" a="1"/>
  <c r="A225" i="33" s="1"/>
  <c r="A226" i="33" a="1"/>
  <c r="A226" i="33" s="1"/>
  <c r="A227" i="33" a="1"/>
  <c r="A227" i="33" s="1"/>
  <c r="A228" i="33" a="1"/>
  <c r="A228" i="33" s="1"/>
  <c r="A229" i="33" a="1"/>
  <c r="A229" i="33" s="1"/>
  <c r="L14" i="25"/>
  <c r="L15" i="25"/>
  <c r="L16" i="25"/>
  <c r="L17" i="25"/>
  <c r="A220" i="33" a="1"/>
  <c r="A220" i="33" s="1"/>
  <c r="A24" i="33" a="1"/>
  <c r="A24" i="33" s="1"/>
  <c r="N273" i="25" l="1"/>
  <c r="N239" i="25"/>
  <c r="R357" i="11"/>
  <c r="U357" i="11"/>
  <c r="R252" i="11"/>
  <c r="U252" i="11"/>
  <c r="C148" i="25"/>
  <c r="C194" i="25"/>
  <c r="C202" i="25"/>
  <c r="C205" i="25"/>
  <c r="B148" i="25"/>
  <c r="B194" i="25"/>
  <c r="B202" i="25"/>
  <c r="E148" i="25"/>
  <c r="D148" i="25"/>
  <c r="M299" i="11" l="1"/>
  <c r="C184" i="25"/>
  <c r="B180" i="25"/>
  <c r="B174" i="25"/>
  <c r="B181" i="25"/>
  <c r="B184" i="25"/>
  <c r="E186" i="25"/>
  <c r="E187" i="25"/>
  <c r="E188" i="25"/>
  <c r="E189" i="25"/>
  <c r="E193" i="25"/>
  <c r="E192" i="25"/>
  <c r="E191" i="25"/>
  <c r="E190" i="25"/>
  <c r="E201" i="25"/>
  <c r="D186" i="25"/>
  <c r="D187" i="25"/>
  <c r="D188" i="25"/>
  <c r="D189" i="25"/>
  <c r="D193" i="25"/>
  <c r="D192" i="25"/>
  <c r="D191" i="25"/>
  <c r="D190" i="25"/>
  <c r="D201" i="25"/>
  <c r="D199" i="25"/>
  <c r="C186" i="25"/>
  <c r="C187" i="25"/>
  <c r="C188" i="25"/>
  <c r="C189" i="25"/>
  <c r="C193" i="25"/>
  <c r="C192" i="25"/>
  <c r="C191" i="25"/>
  <c r="C190" i="25"/>
  <c r="C201" i="25"/>
  <c r="C199" i="25"/>
  <c r="B186" i="25"/>
  <c r="B187" i="25"/>
  <c r="B188" i="25"/>
  <c r="B189" i="25"/>
  <c r="B193" i="25"/>
  <c r="B192" i="25"/>
  <c r="B191" i="25"/>
  <c r="B190" i="25"/>
  <c r="B201" i="25"/>
  <c r="C292" i="11" l="1"/>
  <c r="M292" i="11"/>
  <c r="L292" i="11" s="1"/>
  <c r="Q292" i="11" a="1"/>
  <c r="Q292" i="11" s="1"/>
  <c r="C293" i="11"/>
  <c r="M293" i="11"/>
  <c r="L293" i="11" s="1"/>
  <c r="Q293" i="11" a="1"/>
  <c r="Q293" i="11" s="1"/>
  <c r="C280" i="11"/>
  <c r="M280" i="11"/>
  <c r="L280" i="11" s="1"/>
  <c r="Q280" i="11" a="1"/>
  <c r="Q280" i="11" s="1"/>
  <c r="C281" i="11"/>
  <c r="M281" i="11"/>
  <c r="L281" i="11" s="1"/>
  <c r="Q281" i="11" a="1"/>
  <c r="Q281" i="11" s="1"/>
  <c r="U293" i="11" l="1"/>
  <c r="R293" i="11"/>
  <c r="U280" i="11"/>
  <c r="R280" i="11"/>
  <c r="U281" i="11"/>
  <c r="R281" i="11"/>
  <c r="U292" i="11"/>
  <c r="R292" i="11"/>
  <c r="Q270" i="11" a="1"/>
  <c r="Q270" i="11" s="1"/>
  <c r="R270" i="11" s="1"/>
  <c r="Q271" i="11" a="1"/>
  <c r="Q271" i="11" s="1"/>
  <c r="R271" i="11" s="1"/>
  <c r="Q269" i="11" a="1"/>
  <c r="Q269" i="11" s="1"/>
  <c r="R269" i="11" s="1"/>
  <c r="Q272" i="11" a="1"/>
  <c r="Q272" i="11" s="1"/>
  <c r="R272" i="11" s="1"/>
  <c r="Q273" i="11" a="1"/>
  <c r="Q273" i="11" s="1"/>
  <c r="R273" i="11" s="1"/>
  <c r="Q274" i="11" a="1"/>
  <c r="Q274" i="11" s="1"/>
  <c r="R274" i="11" s="1"/>
  <c r="Q275" i="11" a="1"/>
  <c r="Q275" i="11" s="1"/>
  <c r="R275" i="11" s="1"/>
  <c r="Q276" i="11" a="1"/>
  <c r="Q276" i="11" s="1"/>
  <c r="R276" i="11" s="1"/>
  <c r="Q277" i="11" a="1"/>
  <c r="Q277" i="11" s="1"/>
  <c r="R277" i="11" s="1"/>
  <c r="Q278" i="11" a="1"/>
  <c r="Q278" i="11" s="1"/>
  <c r="R278" i="11" s="1"/>
  <c r="Q279" i="11" a="1"/>
  <c r="Q279" i="11" s="1"/>
  <c r="R279" i="11" s="1"/>
  <c r="Q282" i="11" a="1"/>
  <c r="Q282" i="11" s="1"/>
  <c r="R282" i="11" s="1"/>
  <c r="Q283" i="11" a="1"/>
  <c r="Q283" i="11" s="1"/>
  <c r="R283" i="11" s="1"/>
  <c r="Q284" i="11" a="1"/>
  <c r="Q284" i="11" s="1"/>
  <c r="R284" i="11" s="1"/>
  <c r="Q285" i="11" a="1"/>
  <c r="Q285" i="11" s="1"/>
  <c r="R285" i="11" s="1"/>
  <c r="Q286" i="11" a="1"/>
  <c r="Q286" i="11" s="1"/>
  <c r="R286" i="11" s="1"/>
  <c r="Q287" i="11" a="1"/>
  <c r="Q287" i="11" s="1"/>
  <c r="R287" i="11" s="1"/>
  <c r="Q294" i="11" a="1"/>
  <c r="Q294" i="11" s="1"/>
  <c r="R294" i="11" s="1"/>
  <c r="Q288" i="11" a="1"/>
  <c r="Q288" i="11" s="1"/>
  <c r="R288" i="11" s="1"/>
  <c r="Q289" i="11" a="1"/>
  <c r="Q289" i="11" s="1"/>
  <c r="R289" i="11" s="1"/>
  <c r="Q295" i="11" a="1"/>
  <c r="Q295" i="11" s="1"/>
  <c r="R295" i="11" s="1"/>
  <c r="Q290" i="11" a="1"/>
  <c r="Q290" i="11" s="1"/>
  <c r="R290" i="11" s="1"/>
  <c r="Q296" i="11" a="1"/>
  <c r="Q296" i="11" s="1"/>
  <c r="R296" i="11" s="1"/>
  <c r="Q297" i="11" a="1"/>
  <c r="Q297" i="11" s="1"/>
  <c r="R297" i="11" s="1"/>
  <c r="Q298" i="11" a="1"/>
  <c r="Q298" i="11" s="1"/>
  <c r="R298" i="11" s="1"/>
  <c r="Q299" i="11" a="1"/>
  <c r="Q299" i="11" s="1"/>
  <c r="R299" i="11" s="1"/>
  <c r="Q300" i="11" a="1"/>
  <c r="Q300" i="11" s="1"/>
  <c r="R300" i="11" s="1"/>
  <c r="Q303" i="11" a="1"/>
  <c r="Q303" i="11" s="1"/>
  <c r="R303" i="11" s="1"/>
  <c r="Q301" i="11" a="1"/>
  <c r="Q301" i="11" s="1"/>
  <c r="R301" i="11" s="1"/>
  <c r="Q302" i="11" a="1"/>
  <c r="Q302" i="11" s="1"/>
  <c r="R302" i="11" s="1"/>
  <c r="Q291" i="11" a="1"/>
  <c r="Q291" i="11" s="1"/>
  <c r="R291" i="11" s="1"/>
  <c r="Q304" i="11" a="1"/>
  <c r="Q304" i="11" s="1"/>
  <c r="R304" i="11" s="1"/>
  <c r="Q305" i="11" a="1"/>
  <c r="Q305" i="11" s="1"/>
  <c r="R305" i="11" s="1"/>
  <c r="Q306" i="11" a="1"/>
  <c r="Q306" i="11" s="1"/>
  <c r="R306" i="11" s="1"/>
  <c r="Q307" i="11" a="1"/>
  <c r="Q307" i="11" s="1"/>
  <c r="R307" i="11" s="1"/>
  <c r="Q308" i="11" a="1"/>
  <c r="Q308" i="11" s="1"/>
  <c r="R308" i="11" s="1"/>
  <c r="Q309" i="11" a="1"/>
  <c r="Q309" i="11" s="1"/>
  <c r="R309" i="11" s="1"/>
  <c r="Q310" i="11" a="1"/>
  <c r="Q310" i="11" s="1"/>
  <c r="R310" i="11" s="1"/>
  <c r="Q311" i="11" a="1"/>
  <c r="Q311" i="11" s="1"/>
  <c r="R311" i="11" s="1"/>
  <c r="Q356" i="11" a="1"/>
  <c r="Q356" i="11" s="1"/>
  <c r="R356" i="11" s="1"/>
  <c r="Q315" i="11" a="1"/>
  <c r="Q315" i="11" s="1"/>
  <c r="R315" i="11" s="1"/>
  <c r="Q316" i="11" a="1"/>
  <c r="Q316" i="11" s="1"/>
  <c r="R316" i="11" s="1"/>
  <c r="Q317" i="11" a="1"/>
  <c r="Q317" i="11" s="1"/>
  <c r="R317" i="11" s="1"/>
  <c r="Q312" i="11" a="1"/>
  <c r="Q312" i="11" s="1"/>
  <c r="R312" i="11" s="1"/>
  <c r="Q313" i="11" a="1"/>
  <c r="Q313" i="11" s="1"/>
  <c r="R313" i="11" s="1"/>
  <c r="Q318" i="11" a="1"/>
  <c r="Q318" i="11" s="1"/>
  <c r="R318" i="11" s="1"/>
  <c r="Q319" i="11" a="1"/>
  <c r="Q319" i="11" s="1"/>
  <c r="R319" i="11" s="1"/>
  <c r="Q320" i="11" a="1"/>
  <c r="Q320" i="11" s="1"/>
  <c r="R320" i="11" s="1"/>
  <c r="Q321" i="11" a="1"/>
  <c r="Q321" i="11" s="1"/>
  <c r="R321" i="11" s="1"/>
  <c r="Q322" i="11" a="1"/>
  <c r="Q322" i="11" s="1"/>
  <c r="R322" i="11" s="1"/>
  <c r="Q314" i="11" a="1"/>
  <c r="Q314" i="11" s="1"/>
  <c r="R314" i="11" s="1"/>
  <c r="Q323" i="11" a="1"/>
  <c r="Q323" i="11" s="1"/>
  <c r="R323" i="11" s="1"/>
  <c r="Q324" i="11" a="1"/>
  <c r="Q324" i="11" s="1"/>
  <c r="R324" i="11" s="1"/>
  <c r="Q325" i="11" a="1"/>
  <c r="Q325" i="11" s="1"/>
  <c r="R325" i="11" s="1"/>
  <c r="Q326" i="11" a="1"/>
  <c r="Q326" i="11" s="1"/>
  <c r="R326" i="11" s="1"/>
  <c r="Q327" i="11" a="1"/>
  <c r="Q327" i="11" s="1"/>
  <c r="R327" i="11" s="1"/>
  <c r="Q330" i="11" a="1"/>
  <c r="Q330" i="11" s="1"/>
  <c r="R330" i="11" s="1"/>
  <c r="Q331" i="11" a="1"/>
  <c r="Q331" i="11" s="1"/>
  <c r="R331" i="11" s="1"/>
  <c r="Q337" i="11" a="1"/>
  <c r="Q337" i="11" s="1"/>
  <c r="R337" i="11" s="1"/>
  <c r="Q336" i="11" a="1"/>
  <c r="Q336" i="11" s="1"/>
  <c r="R336" i="11" s="1"/>
  <c r="Q338" i="11" a="1"/>
  <c r="Q338" i="11" s="1"/>
  <c r="R338" i="11" s="1"/>
  <c r="Q339" i="11" a="1"/>
  <c r="Q339" i="11" s="1"/>
  <c r="R339" i="11" s="1"/>
  <c r="Q355" i="11" a="1"/>
  <c r="Q355" i="11" s="1"/>
  <c r="R355" i="11" s="1"/>
  <c r="Q340" i="11" a="1"/>
  <c r="Q340" i="11" s="1"/>
  <c r="R340" i="11" s="1"/>
  <c r="Q341" i="11" a="1"/>
  <c r="Q341" i="11" s="1"/>
  <c r="R341" i="11" s="1"/>
  <c r="Q342" i="11" a="1"/>
  <c r="Q342" i="11" s="1"/>
  <c r="R342" i="11" s="1"/>
  <c r="Q343" i="11" a="1"/>
  <c r="Q343" i="11" s="1"/>
  <c r="R343" i="11" s="1"/>
  <c r="Q344" i="11" a="1"/>
  <c r="Q344" i="11" s="1"/>
  <c r="R344" i="11" s="1"/>
  <c r="Q345" i="11" a="1"/>
  <c r="Q345" i="11" s="1"/>
  <c r="R345" i="11" s="1"/>
  <c r="Q346" i="11" a="1"/>
  <c r="Q346" i="11" s="1"/>
  <c r="R346" i="11" s="1"/>
  <c r="Q347" i="11" a="1"/>
  <c r="Q347" i="11" s="1"/>
  <c r="R347" i="11" s="1"/>
  <c r="Q348" i="11" a="1"/>
  <c r="Q348" i="11" s="1"/>
  <c r="R348" i="11" s="1"/>
  <c r="Q358" i="11" a="1"/>
  <c r="Q358" i="11" s="1"/>
  <c r="R358" i="11" s="1"/>
  <c r="Q359" i="11" a="1"/>
  <c r="Q359" i="11" s="1"/>
  <c r="R359" i="11" s="1"/>
  <c r="Q360" i="11" a="1"/>
  <c r="Q360" i="11" s="1"/>
  <c r="R360" i="11" s="1"/>
  <c r="Q361" i="11" a="1"/>
  <c r="Q361" i="11" s="1"/>
  <c r="R361" i="11" s="1"/>
  <c r="C270" i="11"/>
  <c r="B156" i="25"/>
  <c r="C156" i="25"/>
  <c r="D156" i="25"/>
  <c r="E156" i="25"/>
  <c r="Q268" i="11" a="1"/>
  <c r="Q268" i="11" s="1"/>
  <c r="R268" i="11" s="1"/>
  <c r="Q247" i="11" a="1"/>
  <c r="Q247" i="11" s="1"/>
  <c r="R247" i="11" s="1"/>
  <c r="Q248" i="11" a="1"/>
  <c r="Q248" i="11" s="1"/>
  <c r="R248" i="11" s="1"/>
  <c r="Q249" i="11" a="1"/>
  <c r="Q249" i="11" s="1"/>
  <c r="R249" i="11" s="1"/>
  <c r="Q250" i="11" a="1"/>
  <c r="Q250" i="11" s="1"/>
  <c r="R250" i="11" s="1"/>
  <c r="Q266" i="11" l="1" a="1"/>
  <c r="Q266" i="11" s="1"/>
  <c r="Q267" i="11" a="1"/>
  <c r="Q267" i="11" s="1"/>
  <c r="Q264" i="11" a="1"/>
  <c r="Q264" i="11" s="1"/>
  <c r="Q265" i="11" a="1"/>
  <c r="Q265" i="11" s="1"/>
  <c r="Q263" i="11" a="1"/>
  <c r="Q263" i="11" s="1"/>
  <c r="Q262" i="11" a="1"/>
  <c r="Q262" i="11" s="1"/>
  <c r="R262" i="11" s="1"/>
  <c r="Q259" i="11" a="1"/>
  <c r="Q259" i="11" s="1"/>
  <c r="Q260" i="11" a="1"/>
  <c r="Q260" i="11" s="1"/>
  <c r="R260" i="11" s="1"/>
  <c r="C260" i="11"/>
  <c r="Q255" i="11" a="1"/>
  <c r="Q255" i="11" s="1"/>
  <c r="Q256" i="11" a="1"/>
  <c r="Q256" i="11" s="1"/>
  <c r="Q257" i="11" a="1"/>
  <c r="Q257" i="11" s="1"/>
  <c r="Q258" i="11" a="1"/>
  <c r="Q258" i="11" s="1"/>
  <c r="Q251" i="11" a="1"/>
  <c r="Q251" i="11" s="1"/>
  <c r="R251" i="11" s="1"/>
  <c r="Q253" i="11" a="1"/>
  <c r="Q253" i="11" s="1"/>
  <c r="R253" i="11" s="1"/>
  <c r="Q254" i="11" a="1"/>
  <c r="Q254" i="11" s="1"/>
  <c r="C253" i="11"/>
  <c r="Q261" i="11" a="1"/>
  <c r="Q261" i="11" s="1"/>
  <c r="R261" i="11" s="1"/>
  <c r="Q245" i="11" a="1"/>
  <c r="Q245" i="11" s="1"/>
  <c r="Q246" i="11" a="1"/>
  <c r="Q246" i="11" s="1"/>
  <c r="Q188" i="11" a="1"/>
  <c r="Q188" i="11" s="1"/>
  <c r="Q244" i="11" a="1"/>
  <c r="Q244" i="11" s="1"/>
  <c r="Q242" i="11" a="1"/>
  <c r="Q242" i="11" s="1"/>
  <c r="Q243" i="11" a="1"/>
  <c r="Q243" i="11" s="1"/>
  <c r="C243" i="11"/>
  <c r="C188" i="11"/>
  <c r="C244" i="11"/>
  <c r="C245" i="11"/>
  <c r="M115" i="25" s="1"/>
  <c r="C246" i="11"/>
  <c r="C251" i="11"/>
  <c r="C254" i="11"/>
  <c r="C255" i="11"/>
  <c r="C256" i="11"/>
  <c r="C257" i="11"/>
  <c r="C258" i="11"/>
  <c r="C259" i="11"/>
  <c r="C247" i="11"/>
  <c r="M162" i="25" s="1"/>
  <c r="C248" i="11"/>
  <c r="C249" i="11"/>
  <c r="C250" i="11"/>
  <c r="C262" i="11"/>
  <c r="M173" i="25" s="1"/>
  <c r="C263" i="11"/>
  <c r="C264" i="11"/>
  <c r="C265" i="11"/>
  <c r="C266" i="11"/>
  <c r="C267" i="11"/>
  <c r="C268" i="11"/>
  <c r="C269" i="11"/>
  <c r="C271" i="11"/>
  <c r="C272" i="11"/>
  <c r="C273" i="11"/>
  <c r="C274" i="11"/>
  <c r="C275" i="11"/>
  <c r="C276" i="11"/>
  <c r="C277" i="11"/>
  <c r="C278" i="11"/>
  <c r="C279" i="11"/>
  <c r="C282" i="11"/>
  <c r="C283" i="11"/>
  <c r="C284" i="11"/>
  <c r="C285" i="11"/>
  <c r="C286" i="11"/>
  <c r="C287" i="11"/>
  <c r="C294" i="11"/>
  <c r="C288" i="11"/>
  <c r="C289" i="11"/>
  <c r="C295" i="11"/>
  <c r="C290" i="11"/>
  <c r="C296" i="11"/>
  <c r="C297" i="11"/>
  <c r="C298" i="11"/>
  <c r="C299" i="11"/>
  <c r="C300" i="11"/>
  <c r="C303" i="11"/>
  <c r="C301" i="11"/>
  <c r="C302" i="11"/>
  <c r="C291" i="11"/>
  <c r="C305" i="11"/>
  <c r="C306" i="11"/>
  <c r="C307" i="11"/>
  <c r="C308" i="11"/>
  <c r="C309" i="11"/>
  <c r="C311" i="11"/>
  <c r="C356" i="11"/>
  <c r="C315" i="11"/>
  <c r="C316" i="11"/>
  <c r="C317" i="11"/>
  <c r="C320" i="11"/>
  <c r="C321" i="11"/>
  <c r="C322" i="11"/>
  <c r="C314" i="11"/>
  <c r="C323" i="11"/>
  <c r="C324" i="11"/>
  <c r="C325" i="11"/>
  <c r="C326" i="11"/>
  <c r="C327" i="11"/>
  <c r="C330" i="11"/>
  <c r="C331" i="11"/>
  <c r="C337" i="11"/>
  <c r="C336" i="11"/>
  <c r="C338" i="11"/>
  <c r="C339" i="11"/>
  <c r="C355" i="11"/>
  <c r="C340" i="11"/>
  <c r="C341" i="11"/>
  <c r="C342" i="11"/>
  <c r="C343" i="11"/>
  <c r="C344" i="11"/>
  <c r="C345" i="11"/>
  <c r="C346" i="11"/>
  <c r="C347" i="11"/>
  <c r="C348" i="11"/>
  <c r="C358" i="11"/>
  <c r="C359" i="11"/>
  <c r="C360" i="11"/>
  <c r="C361" i="11"/>
  <c r="C362" i="11"/>
  <c r="C371" i="11"/>
  <c r="M214" i="25"/>
  <c r="C373" i="11"/>
  <c r="C374" i="11"/>
  <c r="C375" i="11"/>
  <c r="C376" i="11"/>
  <c r="C377" i="11"/>
  <c r="C378" i="11"/>
  <c r="C379" i="11"/>
  <c r="C380" i="11"/>
  <c r="C381" i="11"/>
  <c r="C384" i="11"/>
  <c r="C387" i="11"/>
  <c r="C388" i="11"/>
  <c r="C389" i="11"/>
  <c r="C394" i="11"/>
  <c r="M182" i="25" s="1"/>
  <c r="C393" i="11"/>
  <c r="C395" i="11"/>
  <c r="C349" i="11"/>
  <c r="C350" i="11"/>
  <c r="C351" i="11"/>
  <c r="C352" i="11"/>
  <c r="C353" i="11"/>
  <c r="C354" i="11"/>
  <c r="C328" i="11"/>
  <c r="C329" i="11"/>
  <c r="C333" i="11"/>
  <c r="C334" i="11"/>
  <c r="C335" i="11"/>
  <c r="C396" i="11"/>
  <c r="C405" i="11"/>
  <c r="M210" i="25" s="1"/>
  <c r="C404" i="11"/>
  <c r="C406" i="11"/>
  <c r="C407" i="11"/>
  <c r="C408" i="11"/>
  <c r="C410" i="11"/>
  <c r="C411" i="11"/>
  <c r="C412" i="11"/>
  <c r="C413" i="11"/>
  <c r="C415" i="11"/>
  <c r="C416" i="11"/>
  <c r="C417" i="11"/>
  <c r="C418" i="11"/>
  <c r="C423" i="11"/>
  <c r="C424" i="11"/>
  <c r="C425" i="11"/>
  <c r="C426" i="11"/>
  <c r="C427" i="11"/>
  <c r="C428" i="11"/>
  <c r="C429" i="11"/>
  <c r="C430" i="11"/>
  <c r="C431" i="11"/>
  <c r="C432" i="11"/>
  <c r="C433" i="11"/>
  <c r="C436" i="11"/>
  <c r="C437" i="11"/>
  <c r="C397" i="11"/>
  <c r="C446" i="11"/>
  <c r="C447" i="11"/>
  <c r="C398" i="11"/>
  <c r="C448" i="11"/>
  <c r="C449" i="11"/>
  <c r="C456" i="11"/>
  <c r="C457" i="11"/>
  <c r="C461" i="11"/>
  <c r="C462" i="11"/>
  <c r="C463" i="11"/>
  <c r="C464" i="11"/>
  <c r="C465" i="11"/>
  <c r="C468" i="11"/>
  <c r="C471" i="11"/>
  <c r="C475" i="11"/>
  <c r="C476" i="11"/>
  <c r="M217" i="11"/>
  <c r="L217" i="11" s="1"/>
  <c r="M235" i="11"/>
  <c r="Q235" i="11" a="1"/>
  <c r="Q235" i="11" s="1"/>
  <c r="R235" i="11" s="1"/>
  <c r="Q236" i="11" a="1"/>
  <c r="Q236" i="11" s="1"/>
  <c r="E161" i="25"/>
  <c r="Q241" i="11" a="1"/>
  <c r="Q241" i="11" s="1"/>
  <c r="R241" i="11" s="1"/>
  <c r="C241" i="11"/>
  <c r="C235" i="11"/>
  <c r="C236" i="11"/>
  <c r="C242" i="11"/>
  <c r="Q237" i="11" a="1"/>
  <c r="Q237" i="11" s="1"/>
  <c r="R237" i="11" s="1"/>
  <c r="Q238" i="11" a="1"/>
  <c r="Q238" i="11" s="1"/>
  <c r="Q239" i="11" a="1"/>
  <c r="Q239" i="11" s="1"/>
  <c r="Q240" i="11" a="1"/>
  <c r="Q240" i="11" s="1"/>
  <c r="Q233" i="11" a="1"/>
  <c r="Q233" i="11" s="1"/>
  <c r="R233" i="11" s="1"/>
  <c r="Q234" i="11" a="1"/>
  <c r="Q234" i="11" s="1"/>
  <c r="R234" i="11" s="1"/>
  <c r="C234" i="11"/>
  <c r="Q232" i="11" a="1"/>
  <c r="Q232" i="11" s="1"/>
  <c r="Q231" i="11" a="1"/>
  <c r="Q231" i="11" s="1"/>
  <c r="L210" i="11"/>
  <c r="C211" i="11"/>
  <c r="M211" i="11"/>
  <c r="Q211" i="11" a="1"/>
  <c r="Q211" i="11" s="1"/>
  <c r="Q230" i="11" a="1"/>
  <c r="Q230" i="11" s="1"/>
  <c r="R230" i="11" s="1"/>
  <c r="Q218" i="11" a="1"/>
  <c r="Q218" i="11" s="1"/>
  <c r="Q223" i="11" a="1"/>
  <c r="Q223" i="11" s="1"/>
  <c r="Q224" i="11" a="1"/>
  <c r="Q224" i="11" s="1"/>
  <c r="Q221" i="11" a="1"/>
  <c r="Q221" i="11" s="1"/>
  <c r="Q222" i="11" a="1"/>
  <c r="Q222" i="11" s="1"/>
  <c r="R222" i="11" s="1"/>
  <c r="Q225" i="11" a="1"/>
  <c r="Q225" i="11" s="1"/>
  <c r="Q226" i="11" a="1"/>
  <c r="Q226" i="11" s="1"/>
  <c r="Q227" i="11" a="1"/>
  <c r="Q227" i="11" s="1"/>
  <c r="U227" i="11" s="1"/>
  <c r="Q228" i="11" a="1"/>
  <c r="Q228" i="11" s="1"/>
  <c r="Q229" i="11" a="1"/>
  <c r="Q229" i="11" s="1"/>
  <c r="Q219" i="11" a="1"/>
  <c r="Q219" i="11" s="1"/>
  <c r="Q220" i="11" a="1"/>
  <c r="Q220" i="11" s="1"/>
  <c r="Q215" i="11" a="1"/>
  <c r="Q215" i="11" s="1"/>
  <c r="Q216" i="11" a="1"/>
  <c r="Q216" i="11" s="1"/>
  <c r="Q217" i="11" a="1"/>
  <c r="Q217" i="11" s="1"/>
  <c r="Q207" i="11" a="1"/>
  <c r="Q207" i="11" s="1"/>
  <c r="Q214" i="11" a="1"/>
  <c r="Q214" i="11" s="1"/>
  <c r="R214" i="11" s="1"/>
  <c r="Q208" i="11" a="1"/>
  <c r="Q208" i="11" s="1"/>
  <c r="Q209" i="11" a="1"/>
  <c r="Q209" i="11" s="1"/>
  <c r="Q210" i="11" a="1"/>
  <c r="Q210" i="11" s="1"/>
  <c r="Q212" i="11" a="1"/>
  <c r="Q212" i="11" s="1"/>
  <c r="Q213" i="11" a="1"/>
  <c r="Q213" i="11" s="1"/>
  <c r="Q193" i="11" a="1"/>
  <c r="Q193" i="11" s="1"/>
  <c r="Q205" i="11" a="1"/>
  <c r="Q205" i="11" s="1"/>
  <c r="Q206" i="11" a="1"/>
  <c r="Q206" i="11" s="1"/>
  <c r="Q203" i="11" a="1"/>
  <c r="Q203" i="11" s="1"/>
  <c r="Q204" i="11" a="1"/>
  <c r="Q204" i="11" s="1"/>
  <c r="Q196" i="11" a="1"/>
  <c r="Q196" i="11" s="1"/>
  <c r="Q197" i="11" a="1"/>
  <c r="Q197" i="11" s="1"/>
  <c r="Q198" i="11" a="1"/>
  <c r="Q198" i="11" s="1"/>
  <c r="Q199" i="11" a="1"/>
  <c r="Q199" i="11" s="1"/>
  <c r="Q200" i="11" a="1"/>
  <c r="Q200" i="11" s="1"/>
  <c r="Q201" i="11" a="1"/>
  <c r="Q201" i="11" s="1"/>
  <c r="Q202" i="11" a="1"/>
  <c r="Q202" i="11" s="1"/>
  <c r="Q187" i="11" a="1"/>
  <c r="Q187" i="11" s="1"/>
  <c r="Q185" i="11" a="1"/>
  <c r="Q185" i="11" s="1"/>
  <c r="Q186" i="11" a="1"/>
  <c r="Q186" i="11" s="1"/>
  <c r="Q189" i="11" a="1"/>
  <c r="Q189" i="11" s="1"/>
  <c r="Q190" i="11" a="1"/>
  <c r="Q190" i="11" s="1"/>
  <c r="Q194" i="11" a="1"/>
  <c r="Q194" i="11" s="1"/>
  <c r="Q195" i="11" a="1"/>
  <c r="Q195" i="11" s="1"/>
  <c r="Q191" i="11" a="1"/>
  <c r="Q191" i="11" s="1"/>
  <c r="U191" i="11" s="1"/>
  <c r="Q192" i="11" a="1"/>
  <c r="Q192" i="11" s="1"/>
  <c r="Q182" i="11" a="1"/>
  <c r="Q182" i="11" s="1"/>
  <c r="Q183" i="11" a="1"/>
  <c r="Q183" i="11" s="1"/>
  <c r="Q184" i="11" a="1"/>
  <c r="Q184" i="11" s="1"/>
  <c r="O92" i="11"/>
  <c r="M92" i="11" s="1"/>
  <c r="Q181" i="11" a="1"/>
  <c r="Q181" i="11" s="1"/>
  <c r="Q180" i="11" a="1"/>
  <c r="Q180" i="11" s="1"/>
  <c r="Q179" i="11" a="1"/>
  <c r="Q179" i="11" s="1"/>
  <c r="Q178" i="11" a="1"/>
  <c r="Q178" i="11" s="1"/>
  <c r="Q177" i="11" a="1"/>
  <c r="Q177" i="11" s="1"/>
  <c r="R177" i="11" s="1"/>
  <c r="Q154" i="11" a="1"/>
  <c r="Q154" i="11" s="1"/>
  <c r="O154" i="11"/>
  <c r="M154" i="11" s="1"/>
  <c r="L154" i="11" s="1"/>
  <c r="Q153" i="11" a="1"/>
  <c r="Q153" i="11" s="1"/>
  <c r="Q175" i="11" a="1"/>
  <c r="Q175" i="11" s="1"/>
  <c r="Q172" i="11" a="1"/>
  <c r="Q172" i="11" s="1"/>
  <c r="Q173" i="11" a="1"/>
  <c r="Q173" i="11" s="1"/>
  <c r="Q176" i="11" a="1"/>
  <c r="Q176" i="11" s="1"/>
  <c r="Q174" i="11" a="1"/>
  <c r="Q174" i="11" s="1"/>
  <c r="L6" i="14"/>
  <c r="M6" i="14"/>
  <c r="N6" i="14"/>
  <c r="L51" i="14"/>
  <c r="M51" i="14"/>
  <c r="N51" i="14"/>
  <c r="L42" i="14"/>
  <c r="M42" i="14"/>
  <c r="N42" i="14"/>
  <c r="L40" i="14"/>
  <c r="M40" i="14"/>
  <c r="N40" i="14"/>
  <c r="L63" i="14"/>
  <c r="M63" i="14"/>
  <c r="N63" i="14"/>
  <c r="C117" i="11"/>
  <c r="L35" i="14"/>
  <c r="M35" i="14"/>
  <c r="N35" i="14"/>
  <c r="L36" i="14"/>
  <c r="M36" i="14"/>
  <c r="N36" i="14"/>
  <c r="M30" i="14"/>
  <c r="N30" i="14"/>
  <c r="Q170" i="11" a="1"/>
  <c r="Q170" i="11" s="1"/>
  <c r="Q171" i="11" a="1"/>
  <c r="Q171" i="11" s="1"/>
  <c r="Q169" i="11" a="1"/>
  <c r="Q169" i="11" s="1"/>
  <c r="Q168" i="11" a="1"/>
  <c r="Q168" i="11" s="1"/>
  <c r="Q167" i="11" a="1"/>
  <c r="Q167" i="11" s="1"/>
  <c r="Q165" i="11" a="1"/>
  <c r="Q165" i="11" s="1"/>
  <c r="Q166" i="11" a="1"/>
  <c r="Q166" i="11" s="1"/>
  <c r="Q163" i="11" a="1"/>
  <c r="Q163" i="11" s="1"/>
  <c r="Q164" i="11" a="1"/>
  <c r="Q164" i="11" s="1"/>
  <c r="Q158" i="11" a="1"/>
  <c r="Q158" i="11" s="1"/>
  <c r="Q159" i="11" a="1"/>
  <c r="Q159" i="11" s="1"/>
  <c r="Q160" i="11" a="1"/>
  <c r="Q160" i="11" s="1"/>
  <c r="Q161" i="11" a="1"/>
  <c r="Q161" i="11" s="1"/>
  <c r="Q162" i="11" a="1"/>
  <c r="Q162" i="11" s="1"/>
  <c r="C113" i="11"/>
  <c r="M113" i="11"/>
  <c r="L113" i="11" s="1"/>
  <c r="Q113" i="11" a="1"/>
  <c r="Q113" i="11" s="1"/>
  <c r="C114" i="11"/>
  <c r="M122" i="25" s="1"/>
  <c r="M114" i="11"/>
  <c r="L114" i="11" s="1"/>
  <c r="Q114" i="11" a="1"/>
  <c r="Q114" i="11" s="1"/>
  <c r="C115" i="11"/>
  <c r="M115" i="11"/>
  <c r="Q115" i="11" a="1"/>
  <c r="Q115" i="11" s="1"/>
  <c r="C6" i="11"/>
  <c r="M6" i="11"/>
  <c r="Q6" i="11" a="1"/>
  <c r="Q6" i="11" s="1"/>
  <c r="R6" i="11" s="1"/>
  <c r="C7" i="11"/>
  <c r="M7" i="11"/>
  <c r="Q7" i="11" a="1"/>
  <c r="Q7" i="11" s="1"/>
  <c r="C8" i="11"/>
  <c r="M8" i="11"/>
  <c r="L8" i="11" s="1"/>
  <c r="Q8" i="11" a="1"/>
  <c r="Q8" i="11" s="1"/>
  <c r="R8" i="11" s="1"/>
  <c r="C9" i="11"/>
  <c r="M9" i="11"/>
  <c r="Q9" i="11" a="1"/>
  <c r="Q9" i="11" s="1"/>
  <c r="R9" i="11" s="1"/>
  <c r="C10" i="11"/>
  <c r="M10" i="11"/>
  <c r="Q10" i="11" a="1"/>
  <c r="Q10" i="11" s="1"/>
  <c r="R10" i="11" s="1"/>
  <c r="C11" i="11"/>
  <c r="M11" i="11"/>
  <c r="L11" i="11" s="1"/>
  <c r="Q11" i="11" a="1"/>
  <c r="Q11" i="11" s="1"/>
  <c r="U11" i="11" s="1"/>
  <c r="C12" i="11"/>
  <c r="M12" i="11"/>
  <c r="Q12" i="11" a="1"/>
  <c r="Q12" i="11" s="1"/>
  <c r="C13" i="11"/>
  <c r="M13" i="11"/>
  <c r="L13" i="11" s="1"/>
  <c r="Q13" i="11" a="1"/>
  <c r="Q13" i="11" s="1"/>
  <c r="C14" i="11"/>
  <c r="M14" i="11"/>
  <c r="Q14" i="11" a="1"/>
  <c r="Q14" i="11" s="1"/>
  <c r="C15" i="11"/>
  <c r="M15" i="11"/>
  <c r="L15" i="11" s="1"/>
  <c r="Q15" i="11" a="1"/>
  <c r="Q15" i="11" s="1"/>
  <c r="R15" i="11" s="1"/>
  <c r="C16" i="11"/>
  <c r="M16" i="11"/>
  <c r="L16" i="11" s="1"/>
  <c r="Q16" i="11" a="1"/>
  <c r="Q16" i="11" s="1"/>
  <c r="R16" i="11" s="1"/>
  <c r="C17" i="11"/>
  <c r="M17" i="11"/>
  <c r="Q17" i="11" a="1"/>
  <c r="Q17" i="11" s="1"/>
  <c r="R17" i="11" s="1"/>
  <c r="C18" i="11"/>
  <c r="M18" i="11"/>
  <c r="L18" i="11" s="1"/>
  <c r="Q18" i="11" a="1"/>
  <c r="Q18" i="11" s="1"/>
  <c r="U18" i="11" s="1"/>
  <c r="C19" i="11"/>
  <c r="M19" i="11"/>
  <c r="Q19" i="11" a="1"/>
  <c r="Q19" i="11" s="1"/>
  <c r="C20" i="11"/>
  <c r="M20" i="11"/>
  <c r="L20" i="11" s="1"/>
  <c r="Q20" i="11" a="1"/>
  <c r="Q20" i="11" s="1"/>
  <c r="C21" i="11"/>
  <c r="M21" i="11"/>
  <c r="L21" i="11" s="1"/>
  <c r="Q21" i="11" a="1"/>
  <c r="Q21" i="11" s="1"/>
  <c r="C22" i="11"/>
  <c r="M22" i="11"/>
  <c r="Q22" i="11" a="1"/>
  <c r="Q22" i="11" s="1"/>
  <c r="C23" i="11"/>
  <c r="M23" i="11"/>
  <c r="L23" i="11" s="1"/>
  <c r="Q23" i="11" a="1"/>
  <c r="Q23" i="11" s="1"/>
  <c r="C24" i="11"/>
  <c r="M24" i="11"/>
  <c r="Q24" i="11" a="1"/>
  <c r="Q24" i="11" s="1"/>
  <c r="R24" i="11" s="1"/>
  <c r="C25" i="11"/>
  <c r="O25" i="11"/>
  <c r="L24" i="11" s="1"/>
  <c r="Q25" i="11" a="1"/>
  <c r="Q25" i="11" s="1"/>
  <c r="C26" i="11"/>
  <c r="M26" i="11"/>
  <c r="Q26" i="11" a="1"/>
  <c r="Q26" i="11" s="1"/>
  <c r="C27" i="11"/>
  <c r="M27" i="11"/>
  <c r="L27" i="11" s="1"/>
  <c r="Q27" i="11" a="1"/>
  <c r="Q27" i="11" s="1"/>
  <c r="R27" i="11" s="1"/>
  <c r="C28" i="11"/>
  <c r="M28" i="11"/>
  <c r="Q28" i="11" a="1"/>
  <c r="Q28" i="11" s="1"/>
  <c r="R28" i="11" s="1"/>
  <c r="C29" i="11"/>
  <c r="M29" i="11"/>
  <c r="L29" i="11" s="1"/>
  <c r="Q29" i="11" a="1"/>
  <c r="Q29" i="11" s="1"/>
  <c r="R29" i="11" s="1"/>
  <c r="C30" i="11"/>
  <c r="M30" i="11"/>
  <c r="L30" i="11" s="1"/>
  <c r="Q30" i="11" a="1"/>
  <c r="Q30" i="11" s="1"/>
  <c r="U30" i="11" s="1"/>
  <c r="C31" i="11"/>
  <c r="M31" i="11"/>
  <c r="L31" i="11" s="1"/>
  <c r="Q31" i="11" a="1"/>
  <c r="Q31" i="11" s="1"/>
  <c r="C32" i="11"/>
  <c r="M32" i="11"/>
  <c r="L32" i="11" s="1"/>
  <c r="Q32" i="11" a="1"/>
  <c r="Q32" i="11" s="1"/>
  <c r="C33" i="11"/>
  <c r="M33" i="11"/>
  <c r="L33" i="11" s="1"/>
  <c r="Q33" i="11" a="1"/>
  <c r="Q33" i="11" s="1"/>
  <c r="C34" i="11"/>
  <c r="M34" i="11"/>
  <c r="Q34" i="11" a="1"/>
  <c r="Q34" i="11" s="1"/>
  <c r="C35" i="11"/>
  <c r="M35" i="11"/>
  <c r="L35" i="11" s="1"/>
  <c r="Q35" i="11" a="1"/>
  <c r="Q35" i="11" s="1"/>
  <c r="C36" i="11"/>
  <c r="M36" i="11"/>
  <c r="L36" i="11" s="1"/>
  <c r="Q36" i="11" a="1"/>
  <c r="Q36" i="11" s="1"/>
  <c r="C37" i="11"/>
  <c r="M37" i="11"/>
  <c r="L37" i="11" s="1"/>
  <c r="Q37" i="11" a="1"/>
  <c r="Q37" i="11" s="1"/>
  <c r="R37" i="11" s="1"/>
  <c r="C38" i="11"/>
  <c r="O38" i="11"/>
  <c r="M38" i="11" s="1"/>
  <c r="Q38" i="11" a="1"/>
  <c r="Q38" i="11" s="1"/>
  <c r="C39" i="11"/>
  <c r="M39" i="11"/>
  <c r="L39" i="11" s="1"/>
  <c r="Q39" i="11" a="1"/>
  <c r="Q39" i="11" s="1"/>
  <c r="C40" i="11"/>
  <c r="M40" i="11"/>
  <c r="L40" i="11" s="1"/>
  <c r="Q40" i="11" a="1"/>
  <c r="Q40" i="11" s="1"/>
  <c r="C41" i="11"/>
  <c r="M41" i="11"/>
  <c r="L41" i="11" s="1"/>
  <c r="Q41" i="11" a="1"/>
  <c r="Q41" i="11" s="1"/>
  <c r="R41" i="11" s="1"/>
  <c r="C42" i="11"/>
  <c r="M42" i="11"/>
  <c r="L42" i="11" s="1"/>
  <c r="Q42" i="11" a="1"/>
  <c r="Q42" i="11" s="1"/>
  <c r="R42" i="11" s="1"/>
  <c r="C43" i="11"/>
  <c r="M43" i="11"/>
  <c r="L43" i="11" s="1"/>
  <c r="Q43" i="11" a="1"/>
  <c r="Q43" i="11" s="1"/>
  <c r="C44" i="11"/>
  <c r="M44" i="11"/>
  <c r="L44" i="11" s="1"/>
  <c r="Q44" i="11" a="1"/>
  <c r="Q44" i="11" s="1"/>
  <c r="R44" i="11" s="1"/>
  <c r="C45" i="11"/>
  <c r="M45" i="11"/>
  <c r="L45" i="11" s="1"/>
  <c r="Q45" i="11" a="1"/>
  <c r="Q45" i="11" s="1"/>
  <c r="R45" i="11" s="1"/>
  <c r="C46" i="11"/>
  <c r="M46" i="11"/>
  <c r="L46" i="11" s="1"/>
  <c r="Q46" i="11" a="1"/>
  <c r="Q46" i="11" s="1"/>
  <c r="R46" i="11" s="1"/>
  <c r="C47" i="11"/>
  <c r="M47" i="11"/>
  <c r="L47" i="11" s="1"/>
  <c r="Q47" i="11" a="1"/>
  <c r="Q47" i="11" s="1"/>
  <c r="C48" i="11"/>
  <c r="M48" i="11"/>
  <c r="L48" i="11" s="1"/>
  <c r="Q48" i="11" a="1"/>
  <c r="Q48" i="11" s="1"/>
  <c r="C49" i="11"/>
  <c r="M49" i="11"/>
  <c r="L49" i="11" s="1"/>
  <c r="Q49" i="11" a="1"/>
  <c r="Q49" i="11" s="1"/>
  <c r="C50" i="11"/>
  <c r="M50" i="11"/>
  <c r="L50" i="11" s="1"/>
  <c r="Q50" i="11" a="1"/>
  <c r="Q50" i="11" s="1"/>
  <c r="C51" i="11"/>
  <c r="M51" i="11"/>
  <c r="L51" i="11" s="1"/>
  <c r="Q51" i="11" a="1"/>
  <c r="Q51" i="11" s="1"/>
  <c r="C52" i="11"/>
  <c r="M52" i="11"/>
  <c r="L52" i="11" s="1"/>
  <c r="Q52" i="11" a="1"/>
  <c r="Q52" i="11" s="1"/>
  <c r="C53" i="11"/>
  <c r="O53" i="11"/>
  <c r="M53" i="11" s="1"/>
  <c r="L53" i="11" s="1"/>
  <c r="Q53" i="11" a="1"/>
  <c r="Q53" i="11" s="1"/>
  <c r="C54" i="11"/>
  <c r="O54" i="11"/>
  <c r="M54" i="11" s="1"/>
  <c r="L54" i="11" s="1"/>
  <c r="Q54" i="11" a="1"/>
  <c r="Q54" i="11" s="1"/>
  <c r="R54" i="11" s="1"/>
  <c r="C55" i="11"/>
  <c r="M55" i="11"/>
  <c r="L55" i="11" s="1"/>
  <c r="Q55" i="11" a="1"/>
  <c r="Q55" i="11" s="1"/>
  <c r="R55" i="11" s="1"/>
  <c r="C56" i="11"/>
  <c r="M312" i="25" s="1"/>
  <c r="M56" i="11"/>
  <c r="L56" i="11" s="1"/>
  <c r="Q56" i="11" a="1"/>
  <c r="Q56" i="11" s="1"/>
  <c r="R56" i="11" s="1"/>
  <c r="C57" i="11"/>
  <c r="M57" i="11"/>
  <c r="L57" i="11" s="1"/>
  <c r="Q57" i="11" a="1"/>
  <c r="Q57" i="11" s="1"/>
  <c r="C58" i="11"/>
  <c r="M58" i="11"/>
  <c r="L58" i="11" s="1"/>
  <c r="Q58" i="11" a="1"/>
  <c r="Q58" i="11" s="1"/>
  <c r="C59" i="11"/>
  <c r="M59" i="11"/>
  <c r="L59" i="11" s="1"/>
  <c r="Q59" i="11" a="1"/>
  <c r="Q59" i="11" s="1"/>
  <c r="C60" i="11"/>
  <c r="M60" i="11"/>
  <c r="L60" i="11" s="1"/>
  <c r="Q60" i="11" a="1"/>
  <c r="Q60" i="11" s="1"/>
  <c r="C61" i="11"/>
  <c r="M61" i="11"/>
  <c r="L61" i="11" s="1"/>
  <c r="Q61" i="11" a="1"/>
  <c r="Q61" i="11" s="1"/>
  <c r="C62" i="11"/>
  <c r="M62" i="11"/>
  <c r="L62" i="11" s="1"/>
  <c r="Q62" i="11" a="1"/>
  <c r="Q62" i="11" s="1"/>
  <c r="C63" i="11"/>
  <c r="M63" i="11"/>
  <c r="L63" i="11" s="1"/>
  <c r="Q63" i="11" a="1"/>
  <c r="Q63" i="11" s="1"/>
  <c r="R63" i="11" s="1"/>
  <c r="C64" i="11"/>
  <c r="M64" i="11"/>
  <c r="L64" i="11" s="1"/>
  <c r="Q64" i="11" a="1"/>
  <c r="Q64" i="11" s="1"/>
  <c r="R64" i="11" s="1"/>
  <c r="C65" i="11"/>
  <c r="M65" i="11"/>
  <c r="L65" i="11" s="1"/>
  <c r="Q65" i="11" a="1"/>
  <c r="Q65" i="11" s="1"/>
  <c r="C66" i="11"/>
  <c r="M66" i="11"/>
  <c r="L66" i="11" s="1"/>
  <c r="Q66" i="11" a="1"/>
  <c r="Q66" i="11" s="1"/>
  <c r="R66" i="11" s="1"/>
  <c r="C67" i="11"/>
  <c r="M67" i="11"/>
  <c r="L67" i="11" s="1"/>
  <c r="Q67" i="11" a="1"/>
  <c r="Q67" i="11" s="1"/>
  <c r="R67" i="11" s="1"/>
  <c r="C68" i="11"/>
  <c r="M68" i="11"/>
  <c r="L68" i="11" s="1"/>
  <c r="Q68" i="11" a="1"/>
  <c r="Q68" i="11" s="1"/>
  <c r="R68" i="11" s="1"/>
  <c r="C69" i="11"/>
  <c r="M69" i="11"/>
  <c r="L69" i="11" s="1"/>
  <c r="Q69" i="11" a="1"/>
  <c r="Q69" i="11" s="1"/>
  <c r="U69" i="11" s="1"/>
  <c r="C70" i="11"/>
  <c r="M70" i="11"/>
  <c r="L70" i="11" s="1"/>
  <c r="Q70" i="11" a="1"/>
  <c r="Q70" i="11" s="1"/>
  <c r="C71" i="11"/>
  <c r="M71" i="11"/>
  <c r="L71" i="11" s="1"/>
  <c r="Q71" i="11" a="1"/>
  <c r="Q71" i="11" s="1"/>
  <c r="C72" i="11"/>
  <c r="M72" i="11"/>
  <c r="L72" i="11" s="1"/>
  <c r="Q72" i="11" a="1"/>
  <c r="Q72" i="11" s="1"/>
  <c r="C73" i="11"/>
  <c r="M73" i="11"/>
  <c r="L73" i="11" s="1"/>
  <c r="Q73" i="11" a="1"/>
  <c r="Q73" i="11" s="1"/>
  <c r="C74" i="11"/>
  <c r="M74" i="11"/>
  <c r="L74" i="11" s="1"/>
  <c r="Q74" i="11" a="1"/>
  <c r="Q74" i="11" s="1"/>
  <c r="R74" i="11" s="1"/>
  <c r="C75" i="11"/>
  <c r="M75" i="11"/>
  <c r="Q75" i="11" a="1"/>
  <c r="Q75" i="11" s="1"/>
  <c r="C76" i="11"/>
  <c r="M76" i="11"/>
  <c r="Q76" i="11" a="1"/>
  <c r="Q76" i="11" s="1"/>
  <c r="R76" i="11" s="1"/>
  <c r="C77" i="11"/>
  <c r="M77" i="11"/>
  <c r="L77" i="11" s="1"/>
  <c r="Q77" i="11" a="1"/>
  <c r="Q77" i="11" s="1"/>
  <c r="C78" i="11"/>
  <c r="M78" i="11"/>
  <c r="L78" i="11" s="1"/>
  <c r="Q78" i="11" a="1"/>
  <c r="Q78" i="11" s="1"/>
  <c r="C79" i="11"/>
  <c r="M79" i="11"/>
  <c r="L79" i="11" s="1"/>
  <c r="Q79" i="11" a="1"/>
  <c r="Q79" i="11" s="1"/>
  <c r="C80" i="11"/>
  <c r="M80" i="11"/>
  <c r="L80" i="11" s="1"/>
  <c r="Q80" i="11" a="1"/>
  <c r="Q80" i="11" s="1"/>
  <c r="R80" i="11" s="1"/>
  <c r="C81" i="11"/>
  <c r="M81" i="11"/>
  <c r="L81" i="11" s="1"/>
  <c r="Q81" i="11" a="1"/>
  <c r="Q81" i="11" s="1"/>
  <c r="R81" i="11" s="1"/>
  <c r="C82" i="11"/>
  <c r="M82" i="11"/>
  <c r="L82" i="11" s="1"/>
  <c r="Q82" i="11" a="1"/>
  <c r="Q82" i="11" s="1"/>
  <c r="R82" i="11" s="1"/>
  <c r="C83" i="11"/>
  <c r="M83" i="11"/>
  <c r="L83" i="11" s="1"/>
  <c r="Q83" i="11" a="1"/>
  <c r="Q83" i="11" s="1"/>
  <c r="C84" i="11"/>
  <c r="M84" i="11"/>
  <c r="L84" i="11" s="1"/>
  <c r="Q84" i="11" a="1"/>
  <c r="Q84" i="11" s="1"/>
  <c r="C85" i="11"/>
  <c r="M85" i="11"/>
  <c r="L85" i="11" s="1"/>
  <c r="Q85" i="11" a="1"/>
  <c r="Q85" i="11" s="1"/>
  <c r="C86" i="11"/>
  <c r="M86" i="11"/>
  <c r="L86" i="11" s="1"/>
  <c r="Q86" i="11" a="1"/>
  <c r="Q86" i="11" s="1"/>
  <c r="C87" i="11"/>
  <c r="M87" i="11"/>
  <c r="L87" i="11" s="1"/>
  <c r="Q87" i="11" a="1"/>
  <c r="Q87" i="11" s="1"/>
  <c r="R87" i="11" s="1"/>
  <c r="C88" i="11"/>
  <c r="M88" i="11"/>
  <c r="L88" i="11" s="1"/>
  <c r="Q88" i="11" a="1"/>
  <c r="Q88" i="11" s="1"/>
  <c r="C89" i="11"/>
  <c r="M89" i="11"/>
  <c r="L89" i="11" s="1"/>
  <c r="Q89" i="11" a="1"/>
  <c r="Q89" i="11" s="1"/>
  <c r="C90" i="11"/>
  <c r="M90" i="11"/>
  <c r="L90" i="11" s="1"/>
  <c r="Q90" i="11" a="1"/>
  <c r="Q90" i="11" s="1"/>
  <c r="C91" i="11"/>
  <c r="M91" i="11"/>
  <c r="L91" i="11" s="1"/>
  <c r="Q91" i="11" a="1"/>
  <c r="Q91" i="11" s="1"/>
  <c r="R91" i="11" s="1"/>
  <c r="C92" i="11"/>
  <c r="Q92" i="11" a="1"/>
  <c r="Q92" i="11" s="1"/>
  <c r="C93" i="11"/>
  <c r="M93" i="11"/>
  <c r="L93" i="11" s="1"/>
  <c r="Q93" i="11" a="1"/>
  <c r="Q93" i="11" s="1"/>
  <c r="C94" i="11"/>
  <c r="M94" i="11"/>
  <c r="L94" i="11" s="1"/>
  <c r="Q94" i="11" a="1"/>
  <c r="Q94" i="11" s="1"/>
  <c r="R94" i="11" s="1"/>
  <c r="C95" i="11"/>
  <c r="M95" i="11"/>
  <c r="L95" i="11" s="1"/>
  <c r="Q95" i="11" a="1"/>
  <c r="Q95" i="11" s="1"/>
  <c r="C96" i="11"/>
  <c r="M96" i="11"/>
  <c r="L96" i="11" s="1"/>
  <c r="Q96" i="11" a="1"/>
  <c r="Q96" i="11" s="1"/>
  <c r="C97" i="11"/>
  <c r="M97" i="11"/>
  <c r="L97" i="11" s="1"/>
  <c r="Q97" i="11" a="1"/>
  <c r="Q97" i="11" s="1"/>
  <c r="C98" i="11"/>
  <c r="M98" i="11"/>
  <c r="L98" i="11" s="1"/>
  <c r="Q98" i="11" a="1"/>
  <c r="Q98" i="11" s="1"/>
  <c r="R98" i="11" s="1"/>
  <c r="C99" i="11"/>
  <c r="M99" i="11"/>
  <c r="L99" i="11" s="1"/>
  <c r="Q99" i="11" a="1"/>
  <c r="Q99" i="11" s="1"/>
  <c r="R99" i="11" s="1"/>
  <c r="C100" i="11"/>
  <c r="M100" i="11"/>
  <c r="L100" i="11" s="1"/>
  <c r="Q100" i="11" a="1"/>
  <c r="Q100" i="11" s="1"/>
  <c r="R100" i="11" s="1"/>
  <c r="C101" i="11"/>
  <c r="M101" i="11"/>
  <c r="L101" i="11" s="1"/>
  <c r="Q101" i="11" a="1"/>
  <c r="Q101" i="11" s="1"/>
  <c r="C102" i="11"/>
  <c r="M102" i="11"/>
  <c r="L102" i="11" s="1"/>
  <c r="Q102" i="11" a="1"/>
  <c r="Q102" i="11" s="1"/>
  <c r="C103" i="11"/>
  <c r="M103" i="11"/>
  <c r="L103" i="11" s="1"/>
  <c r="Q103" i="11" a="1"/>
  <c r="Q103" i="11" s="1"/>
  <c r="C104" i="11"/>
  <c r="M104" i="11"/>
  <c r="L104" i="11" s="1"/>
  <c r="Q104" i="11" a="1"/>
  <c r="Q104" i="11" s="1"/>
  <c r="C105" i="11"/>
  <c r="M105" i="11"/>
  <c r="L105" i="11" s="1"/>
  <c r="Q105" i="11" a="1"/>
  <c r="Q105" i="11" s="1"/>
  <c r="C106" i="11"/>
  <c r="M106" i="11"/>
  <c r="L106" i="11" s="1"/>
  <c r="Q106" i="11" a="1"/>
  <c r="Q106" i="11" s="1"/>
  <c r="R106" i="11" s="1"/>
  <c r="C107" i="11"/>
  <c r="M107" i="11"/>
  <c r="L107" i="11" s="1"/>
  <c r="Q107" i="11" a="1"/>
  <c r="Q107" i="11" s="1"/>
  <c r="C108" i="11"/>
  <c r="L108" i="11"/>
  <c r="M108" i="11"/>
  <c r="Q108" i="11" a="1"/>
  <c r="Q108" i="11" s="1"/>
  <c r="C109" i="11"/>
  <c r="M109" i="11"/>
  <c r="Q109" i="11" a="1"/>
  <c r="Q109" i="11" s="1"/>
  <c r="C110" i="11"/>
  <c r="L110" i="11"/>
  <c r="M110" i="11"/>
  <c r="Q110" i="11" a="1"/>
  <c r="Q110" i="11" s="1"/>
  <c r="M111" i="11"/>
  <c r="Q111" i="11" a="1"/>
  <c r="Q111" i="11" s="1"/>
  <c r="C112" i="11"/>
  <c r="M112" i="11"/>
  <c r="L112" i="11" s="1"/>
  <c r="Q112" i="11" a="1"/>
  <c r="Q112" i="11" s="1"/>
  <c r="C116" i="11"/>
  <c r="M116" i="11"/>
  <c r="L116" i="11" s="1"/>
  <c r="Q116" i="11" a="1"/>
  <c r="Q116" i="11" s="1"/>
  <c r="M117" i="11"/>
  <c r="L117" i="11" s="1"/>
  <c r="Q117" i="11" a="1"/>
  <c r="Q117" i="11" s="1"/>
  <c r="C118" i="11"/>
  <c r="M118" i="11"/>
  <c r="L118" i="11" s="1"/>
  <c r="Q118" i="11" a="1"/>
  <c r="Q118" i="11" s="1"/>
  <c r="C119" i="11"/>
  <c r="M119" i="11"/>
  <c r="L119" i="11" s="1"/>
  <c r="Q119" i="11" a="1"/>
  <c r="Q119" i="11" s="1"/>
  <c r="R119" i="11" s="1"/>
  <c r="C120" i="11"/>
  <c r="M120" i="11"/>
  <c r="L120" i="11" s="1"/>
  <c r="Q120" i="11" a="1"/>
  <c r="Q120" i="11" s="1"/>
  <c r="C121" i="11"/>
  <c r="M121" i="11"/>
  <c r="L121" i="11" s="1"/>
  <c r="Q121" i="11" a="1"/>
  <c r="Q121" i="11" s="1"/>
  <c r="C122" i="11"/>
  <c r="M122" i="11"/>
  <c r="L122" i="11" s="1"/>
  <c r="Q122" i="11" a="1"/>
  <c r="Q122" i="11" s="1"/>
  <c r="R122" i="11" s="1"/>
  <c r="M123" i="11"/>
  <c r="L123" i="11" s="1"/>
  <c r="Q123" i="11" a="1"/>
  <c r="Q123" i="11" s="1"/>
  <c r="R123" i="11" s="1"/>
  <c r="M124" i="11"/>
  <c r="L124" i="11" s="1"/>
  <c r="Q124" i="11" a="1"/>
  <c r="Q124" i="11" s="1"/>
  <c r="R124" i="11" s="1"/>
  <c r="C126" i="11"/>
  <c r="M126" i="11"/>
  <c r="L126" i="11" s="1"/>
  <c r="Q126" i="11" a="1"/>
  <c r="Q126" i="11" s="1"/>
  <c r="R126" i="11" s="1"/>
  <c r="C127" i="11"/>
  <c r="M127" i="11"/>
  <c r="L127" i="11" s="1"/>
  <c r="Q127" i="11" a="1"/>
  <c r="Q127" i="11" s="1"/>
  <c r="C128" i="11"/>
  <c r="M128" i="11"/>
  <c r="L128" i="11" s="1"/>
  <c r="Q128" i="11" a="1"/>
  <c r="Q128" i="11" s="1"/>
  <c r="C129" i="11"/>
  <c r="M129" i="11"/>
  <c r="L129" i="11" s="1"/>
  <c r="Q129" i="11" a="1"/>
  <c r="Q129" i="11" s="1"/>
  <c r="C125" i="11"/>
  <c r="M125" i="11"/>
  <c r="L125" i="11" s="1"/>
  <c r="Q125" i="11" a="1"/>
  <c r="Q125" i="11" s="1"/>
  <c r="C130" i="11"/>
  <c r="M130" i="11"/>
  <c r="L130" i="11" s="1"/>
  <c r="Q130" i="11" a="1"/>
  <c r="Q130" i="11" s="1"/>
  <c r="R130" i="11" s="1"/>
  <c r="C131" i="11"/>
  <c r="M131" i="11"/>
  <c r="L131" i="11" s="1"/>
  <c r="Q131" i="11" a="1"/>
  <c r="Q131" i="11" s="1"/>
  <c r="C134" i="11"/>
  <c r="M134" i="11"/>
  <c r="Q134" i="11" a="1"/>
  <c r="Q134" i="11" s="1"/>
  <c r="C135" i="11"/>
  <c r="M135" i="11"/>
  <c r="L135" i="11" s="1"/>
  <c r="Q135" i="11" a="1"/>
  <c r="Q135" i="11" s="1"/>
  <c r="C133" i="11"/>
  <c r="M133" i="11"/>
  <c r="L133" i="11" s="1"/>
  <c r="Q133" i="11" a="1"/>
  <c r="Q133" i="11" s="1"/>
  <c r="C132" i="11"/>
  <c r="M132" i="11"/>
  <c r="L132" i="11" s="1"/>
  <c r="Q132" i="11" a="1"/>
  <c r="Q132" i="11" s="1"/>
  <c r="R132" i="11" s="1"/>
  <c r="C136" i="11"/>
  <c r="M136" i="11"/>
  <c r="L136" i="11" s="1"/>
  <c r="Q136" i="11" a="1"/>
  <c r="Q136" i="11" s="1"/>
  <c r="R136" i="11" s="1"/>
  <c r="C137" i="11"/>
  <c r="M137" i="11"/>
  <c r="L137" i="11" s="1"/>
  <c r="Q137" i="11" a="1"/>
  <c r="Q137" i="11" s="1"/>
  <c r="C138" i="11"/>
  <c r="M138" i="11"/>
  <c r="L138" i="11" s="1"/>
  <c r="Q138" i="11" a="1"/>
  <c r="Q138" i="11" s="1"/>
  <c r="C139" i="11"/>
  <c r="M139" i="11"/>
  <c r="L139" i="11" s="1"/>
  <c r="Q139" i="11" a="1"/>
  <c r="Q139" i="11" s="1"/>
  <c r="C140" i="11"/>
  <c r="M140" i="11"/>
  <c r="L140" i="11" s="1"/>
  <c r="Q140" i="11" a="1"/>
  <c r="Q140" i="11" s="1"/>
  <c r="C141" i="11"/>
  <c r="M141" i="11"/>
  <c r="L141" i="11" s="1"/>
  <c r="Q141" i="11" a="1"/>
  <c r="Q141" i="11" s="1"/>
  <c r="R141" i="11" s="1"/>
  <c r="C142" i="11"/>
  <c r="M142" i="11"/>
  <c r="L142" i="11" s="1"/>
  <c r="Q142" i="11" a="1"/>
  <c r="Q142" i="11" s="1"/>
  <c r="C143" i="11"/>
  <c r="M143" i="11"/>
  <c r="L143" i="11" s="1"/>
  <c r="Q143" i="11" a="1"/>
  <c r="Q143" i="11" s="1"/>
  <c r="C144" i="11"/>
  <c r="M144" i="11"/>
  <c r="L144" i="11" s="1"/>
  <c r="Q144" i="11" a="1"/>
  <c r="Q144" i="11" s="1"/>
  <c r="C145" i="11"/>
  <c r="M145" i="11"/>
  <c r="L145" i="11" s="1"/>
  <c r="Q145" i="11" a="1"/>
  <c r="Q145" i="11" s="1"/>
  <c r="C146" i="11"/>
  <c r="M146" i="11"/>
  <c r="L146" i="11" s="1"/>
  <c r="Q146" i="11" a="1"/>
  <c r="Q146" i="11" s="1"/>
  <c r="C147" i="11"/>
  <c r="M147" i="11"/>
  <c r="L147" i="11" s="1"/>
  <c r="Q147" i="11" a="1"/>
  <c r="Q147" i="11" s="1"/>
  <c r="R147" i="11" s="1"/>
  <c r="C148" i="11"/>
  <c r="M148" i="11"/>
  <c r="L148" i="11" s="1"/>
  <c r="Q148" i="11" a="1"/>
  <c r="Q148" i="11" s="1"/>
  <c r="R148" i="11" s="1"/>
  <c r="C149" i="11"/>
  <c r="M149" i="11"/>
  <c r="L149" i="11" s="1"/>
  <c r="Q149" i="11" a="1"/>
  <c r="Q149" i="11" s="1"/>
  <c r="R149" i="11" s="1"/>
  <c r="C150" i="11"/>
  <c r="M150" i="11"/>
  <c r="L150" i="11" s="1"/>
  <c r="Q150" i="11" a="1"/>
  <c r="Q150" i="11" s="1"/>
  <c r="U150" i="11" s="1"/>
  <c r="C151" i="11"/>
  <c r="M151" i="11"/>
  <c r="L151" i="11" s="1"/>
  <c r="Q151" i="11" a="1"/>
  <c r="Q151" i="11" s="1"/>
  <c r="C152" i="11"/>
  <c r="M152" i="11"/>
  <c r="L152" i="11" s="1"/>
  <c r="Q152" i="11" a="1"/>
  <c r="Q152" i="11" s="1"/>
  <c r="C155" i="11"/>
  <c r="M155" i="11"/>
  <c r="L155" i="11" s="1"/>
  <c r="Q155" i="11" a="1"/>
  <c r="Q155" i="11" s="1"/>
  <c r="C156" i="11"/>
  <c r="M156" i="11"/>
  <c r="L156" i="11" s="1"/>
  <c r="Q156" i="11" a="1"/>
  <c r="Q156" i="11" s="1"/>
  <c r="R156" i="11" s="1"/>
  <c r="C157" i="11"/>
  <c r="M157" i="11"/>
  <c r="L157" i="11" s="1"/>
  <c r="Q157" i="11" a="1"/>
  <c r="Q157" i="11" s="1"/>
  <c r="R157" i="11" s="1"/>
  <c r="C158" i="11"/>
  <c r="M158" i="11"/>
  <c r="L158" i="11" s="1"/>
  <c r="C159" i="11"/>
  <c r="M159" i="11"/>
  <c r="L159" i="11" s="1"/>
  <c r="C160" i="11"/>
  <c r="M160" i="11"/>
  <c r="L160" i="11" s="1"/>
  <c r="C161" i="11"/>
  <c r="M161" i="11"/>
  <c r="L161" i="11" s="1"/>
  <c r="C162" i="11"/>
  <c r="M162" i="11"/>
  <c r="L162" i="11" s="1"/>
  <c r="C163" i="11"/>
  <c r="M163" i="11"/>
  <c r="L163" i="11" s="1"/>
  <c r="C164" i="11"/>
  <c r="M164" i="11"/>
  <c r="L164" i="11" s="1"/>
  <c r="C165" i="11"/>
  <c r="M165" i="11"/>
  <c r="L165" i="11" s="1"/>
  <c r="C166" i="11"/>
  <c r="M166" i="11"/>
  <c r="L166" i="11" s="1"/>
  <c r="C167" i="11"/>
  <c r="M167" i="11"/>
  <c r="L167" i="11" s="1"/>
  <c r="C168" i="11"/>
  <c r="M168" i="11"/>
  <c r="L168" i="11" s="1"/>
  <c r="C169" i="11"/>
  <c r="M169" i="11"/>
  <c r="L169" i="11" s="1"/>
  <c r="C170" i="11"/>
  <c r="M170" i="11"/>
  <c r="L170" i="11" s="1"/>
  <c r="C171" i="11"/>
  <c r="M171" i="11"/>
  <c r="L171" i="11" s="1"/>
  <c r="C172" i="11"/>
  <c r="M172" i="11"/>
  <c r="L172" i="11" s="1"/>
  <c r="C173" i="11"/>
  <c r="M173" i="11"/>
  <c r="L173" i="11" s="1"/>
  <c r="C176" i="11"/>
  <c r="M176" i="11"/>
  <c r="L176" i="11" s="1"/>
  <c r="C174" i="11"/>
  <c r="M174" i="11"/>
  <c r="L174" i="11" s="1"/>
  <c r="C175" i="11"/>
  <c r="M175" i="11"/>
  <c r="L175" i="11" s="1"/>
  <c r="C153" i="11"/>
  <c r="M153" i="11"/>
  <c r="L153" i="11" s="1"/>
  <c r="C154" i="11"/>
  <c r="C177" i="11"/>
  <c r="M177" i="11"/>
  <c r="L177" i="11" s="1"/>
  <c r="C178" i="11"/>
  <c r="M178" i="11"/>
  <c r="L178" i="11" s="1"/>
  <c r="C179" i="11"/>
  <c r="M179" i="11"/>
  <c r="L179" i="11" s="1"/>
  <c r="C180" i="11"/>
  <c r="M180" i="11"/>
  <c r="L180" i="11" s="1"/>
  <c r="C181" i="11"/>
  <c r="M181" i="11"/>
  <c r="L181" i="11" s="1"/>
  <c r="C182" i="11"/>
  <c r="M182" i="11"/>
  <c r="L182" i="11" s="1"/>
  <c r="C183" i="11"/>
  <c r="M183" i="11"/>
  <c r="L183" i="11" s="1"/>
  <c r="C184" i="11"/>
  <c r="M184" i="11"/>
  <c r="L184" i="11" s="1"/>
  <c r="C187" i="11"/>
  <c r="M187" i="11"/>
  <c r="L187" i="11" s="1"/>
  <c r="C185" i="11"/>
  <c r="M185" i="11"/>
  <c r="C186" i="11"/>
  <c r="M186" i="11"/>
  <c r="L186" i="11" s="1"/>
  <c r="M189" i="11"/>
  <c r="L189" i="11" s="1"/>
  <c r="C190" i="11"/>
  <c r="M190" i="11"/>
  <c r="L190" i="11" s="1"/>
  <c r="C194" i="11"/>
  <c r="M194" i="11"/>
  <c r="L194" i="11" s="1"/>
  <c r="C195" i="11"/>
  <c r="M195" i="11"/>
  <c r="L195" i="11" s="1"/>
  <c r="C191" i="11"/>
  <c r="M191" i="11"/>
  <c r="L191" i="11" s="1"/>
  <c r="C192" i="11"/>
  <c r="M192" i="11"/>
  <c r="L192" i="11" s="1"/>
  <c r="C196" i="11"/>
  <c r="M196" i="11"/>
  <c r="L196" i="11" s="1"/>
  <c r="C197" i="11"/>
  <c r="M197" i="11"/>
  <c r="L197" i="11" s="1"/>
  <c r="C198" i="11"/>
  <c r="M198" i="11"/>
  <c r="L198" i="11" s="1"/>
  <c r="C199" i="11"/>
  <c r="M199" i="11"/>
  <c r="L199" i="11" s="1"/>
  <c r="C200" i="11"/>
  <c r="M200" i="11"/>
  <c r="L200" i="11" s="1"/>
  <c r="C201" i="11"/>
  <c r="M201" i="11"/>
  <c r="L201" i="11" s="1"/>
  <c r="C202" i="11"/>
  <c r="M202" i="11"/>
  <c r="L202" i="11" s="1"/>
  <c r="C203" i="11"/>
  <c r="M203" i="11"/>
  <c r="L203" i="11" s="1"/>
  <c r="C204" i="11"/>
  <c r="M204" i="11"/>
  <c r="L204" i="11" s="1"/>
  <c r="C205" i="11"/>
  <c r="M205" i="11"/>
  <c r="L205" i="11" s="1"/>
  <c r="C206" i="11"/>
  <c r="M206" i="11"/>
  <c r="L206" i="11" s="1"/>
  <c r="C208" i="11"/>
  <c r="M208" i="11"/>
  <c r="L208" i="11" s="1"/>
  <c r="C209" i="11"/>
  <c r="M209" i="11"/>
  <c r="L209" i="11" s="1"/>
  <c r="C210" i="11"/>
  <c r="M210" i="11"/>
  <c r="C212" i="11"/>
  <c r="M212" i="11"/>
  <c r="L212" i="11" s="1"/>
  <c r="C213" i="11"/>
  <c r="M130" i="25" s="1"/>
  <c r="M213" i="11"/>
  <c r="L213" i="11" s="1"/>
  <c r="C193" i="11"/>
  <c r="M193" i="11"/>
  <c r="L193" i="11" s="1"/>
  <c r="C214" i="11"/>
  <c r="M114" i="25" s="1"/>
  <c r="M214" i="11"/>
  <c r="L214" i="11" s="1"/>
  <c r="C207" i="11"/>
  <c r="M207" i="11"/>
  <c r="L207" i="11" s="1"/>
  <c r="C215" i="11"/>
  <c r="M215" i="11"/>
  <c r="L215" i="11" s="1"/>
  <c r="C216" i="11"/>
  <c r="M216" i="11"/>
  <c r="L216" i="11" s="1"/>
  <c r="C217" i="11"/>
  <c r="C220" i="11"/>
  <c r="M220" i="11"/>
  <c r="L220" i="11" s="1"/>
  <c r="C219" i="11"/>
  <c r="M219" i="11"/>
  <c r="L219" i="11" s="1"/>
  <c r="C218" i="11"/>
  <c r="M241" i="25" s="1"/>
  <c r="M218" i="11"/>
  <c r="L218" i="11" s="1"/>
  <c r="C223" i="11"/>
  <c r="M223" i="11"/>
  <c r="L223" i="11" s="1"/>
  <c r="C224" i="11"/>
  <c r="M224" i="11"/>
  <c r="L224" i="11" s="1"/>
  <c r="C221" i="11"/>
  <c r="M221" i="11"/>
  <c r="L221" i="11" s="1"/>
  <c r="C222" i="11"/>
  <c r="M222" i="11"/>
  <c r="L222" i="11" s="1"/>
  <c r="C225" i="11"/>
  <c r="M225" i="11"/>
  <c r="L225" i="11" s="1"/>
  <c r="C226" i="11"/>
  <c r="M226" i="11"/>
  <c r="L226" i="11" s="1"/>
  <c r="C227" i="11"/>
  <c r="M227" i="11"/>
  <c r="L227" i="11" s="1"/>
  <c r="C228" i="11"/>
  <c r="M228" i="11"/>
  <c r="L228" i="11" s="1"/>
  <c r="C229" i="11"/>
  <c r="M229" i="11"/>
  <c r="L229" i="11" s="1"/>
  <c r="C230" i="11"/>
  <c r="M230" i="11"/>
  <c r="L230" i="11" s="1"/>
  <c r="M231" i="11"/>
  <c r="C232" i="11"/>
  <c r="M169" i="25" s="1"/>
  <c r="M232" i="11"/>
  <c r="L232" i="11" s="1"/>
  <c r="C233" i="11"/>
  <c r="M233" i="11"/>
  <c r="L233" i="11" s="1"/>
  <c r="M234" i="11"/>
  <c r="L234" i="11" s="1"/>
  <c r="C237" i="11"/>
  <c r="M237" i="11"/>
  <c r="L237" i="11" s="1"/>
  <c r="C238" i="11"/>
  <c r="M238" i="11"/>
  <c r="L238" i="11" s="1"/>
  <c r="C239" i="11"/>
  <c r="M239" i="11"/>
  <c r="L239" i="11" s="1"/>
  <c r="C240" i="11"/>
  <c r="M240" i="11"/>
  <c r="L240" i="11" s="1"/>
  <c r="M236" i="11"/>
  <c r="L236" i="11" s="1"/>
  <c r="M242" i="11"/>
  <c r="L242" i="11" s="1"/>
  <c r="M243" i="11"/>
  <c r="L243" i="11" s="1"/>
  <c r="M188" i="11"/>
  <c r="L188" i="11" s="1"/>
  <c r="M244" i="11"/>
  <c r="L244" i="11" s="1"/>
  <c r="M245" i="11"/>
  <c r="L245" i="11" s="1"/>
  <c r="M246" i="11"/>
  <c r="L246" i="11" s="1"/>
  <c r="M261" i="11"/>
  <c r="L261" i="11" s="1"/>
  <c r="M251" i="11"/>
  <c r="M253" i="11"/>
  <c r="L253" i="11" s="1"/>
  <c r="M254" i="11"/>
  <c r="L254" i="11" s="1"/>
  <c r="M255" i="11"/>
  <c r="L255" i="11" s="1"/>
  <c r="M256" i="11"/>
  <c r="L256" i="11" s="1"/>
  <c r="M257" i="11"/>
  <c r="L257" i="11" s="1"/>
  <c r="M258" i="11"/>
  <c r="L258" i="11" s="1"/>
  <c r="M259" i="11"/>
  <c r="L259" i="11" s="1"/>
  <c r="M260" i="11"/>
  <c r="L260" i="11" s="1"/>
  <c r="M247" i="11"/>
  <c r="L247" i="11" s="1"/>
  <c r="U247" i="11"/>
  <c r="M248" i="11"/>
  <c r="L248" i="11" s="1"/>
  <c r="U248" i="11"/>
  <c r="M249" i="11"/>
  <c r="L249" i="11" s="1"/>
  <c r="U249" i="11"/>
  <c r="M250" i="11"/>
  <c r="L250" i="11" s="1"/>
  <c r="U250" i="11"/>
  <c r="M262" i="11"/>
  <c r="L262" i="11" s="1"/>
  <c r="M263" i="11"/>
  <c r="L263" i="11" s="1"/>
  <c r="M264" i="11"/>
  <c r="L264" i="11" s="1"/>
  <c r="M265" i="11"/>
  <c r="L265" i="11" s="1"/>
  <c r="M266" i="11"/>
  <c r="L266" i="11" s="1"/>
  <c r="M267" i="11"/>
  <c r="L267" i="11" s="1"/>
  <c r="M268" i="11"/>
  <c r="L268" i="11" s="1"/>
  <c r="U268" i="11"/>
  <c r="M269" i="11"/>
  <c r="L269" i="11" s="1"/>
  <c r="U269" i="11"/>
  <c r="M270" i="11"/>
  <c r="L270" i="11" s="1"/>
  <c r="U270" i="11"/>
  <c r="M271" i="11"/>
  <c r="L271" i="11" s="1"/>
  <c r="U271" i="11"/>
  <c r="M272" i="11"/>
  <c r="L272" i="11" s="1"/>
  <c r="U272" i="11"/>
  <c r="M273" i="11"/>
  <c r="L273" i="11" s="1"/>
  <c r="U273" i="11"/>
  <c r="M274" i="11"/>
  <c r="L274" i="11" s="1"/>
  <c r="U274" i="11"/>
  <c r="M275" i="11"/>
  <c r="L275" i="11" s="1"/>
  <c r="U275" i="11"/>
  <c r="M276" i="11"/>
  <c r="L276" i="11" s="1"/>
  <c r="U276" i="11"/>
  <c r="M277" i="11"/>
  <c r="L277" i="11" s="1"/>
  <c r="U277" i="11"/>
  <c r="M278" i="11"/>
  <c r="L278" i="11" s="1"/>
  <c r="U278" i="11"/>
  <c r="M279" i="11"/>
  <c r="L279" i="11" s="1"/>
  <c r="U279" i="11"/>
  <c r="M282" i="11"/>
  <c r="L282" i="11" s="1"/>
  <c r="U282" i="11"/>
  <c r="M283" i="11"/>
  <c r="L283" i="11" s="1"/>
  <c r="U283" i="11"/>
  <c r="M284" i="11"/>
  <c r="L284" i="11" s="1"/>
  <c r="U284" i="11"/>
  <c r="M285" i="11"/>
  <c r="L285" i="11" s="1"/>
  <c r="U285" i="11"/>
  <c r="M286" i="11"/>
  <c r="L286" i="11" s="1"/>
  <c r="U286" i="11"/>
  <c r="M287" i="11"/>
  <c r="L287" i="11" s="1"/>
  <c r="U287" i="11"/>
  <c r="M294" i="11"/>
  <c r="L294" i="11" s="1"/>
  <c r="U294" i="11"/>
  <c r="M288" i="11"/>
  <c r="L288" i="11" s="1"/>
  <c r="U288" i="11"/>
  <c r="M289" i="11"/>
  <c r="L289" i="11" s="1"/>
  <c r="U289" i="11"/>
  <c r="M295" i="11"/>
  <c r="L295" i="11" s="1"/>
  <c r="U295" i="11"/>
  <c r="M290" i="11"/>
  <c r="L290" i="11" s="1"/>
  <c r="U290" i="11"/>
  <c r="M296" i="11"/>
  <c r="L296" i="11" s="1"/>
  <c r="U296" i="11"/>
  <c r="M297" i="11"/>
  <c r="L297" i="11" s="1"/>
  <c r="U297" i="11"/>
  <c r="M298" i="11"/>
  <c r="L298" i="11" s="1"/>
  <c r="U298" i="11"/>
  <c r="L299" i="11"/>
  <c r="U299" i="11"/>
  <c r="M300" i="11"/>
  <c r="L300" i="11" s="1"/>
  <c r="U300" i="11"/>
  <c r="M303" i="11"/>
  <c r="L303" i="11" s="1"/>
  <c r="U303" i="11"/>
  <c r="M301" i="11"/>
  <c r="L301" i="11" s="1"/>
  <c r="U301" i="11"/>
  <c r="M302" i="11"/>
  <c r="L302" i="11" s="1"/>
  <c r="U302" i="11"/>
  <c r="M291" i="11"/>
  <c r="L291" i="11" s="1"/>
  <c r="U291" i="11"/>
  <c r="U304" i="11"/>
  <c r="M305" i="11"/>
  <c r="L305" i="11" s="1"/>
  <c r="U305" i="11"/>
  <c r="M306" i="11"/>
  <c r="L306" i="11" s="1"/>
  <c r="U306" i="11"/>
  <c r="U307" i="11"/>
  <c r="M308" i="11"/>
  <c r="L308" i="11" s="1"/>
  <c r="U308" i="11"/>
  <c r="M309" i="11"/>
  <c r="L309" i="11" s="1"/>
  <c r="U309" i="11"/>
  <c r="M310" i="11"/>
  <c r="L310" i="11" s="1"/>
  <c r="U310" i="11"/>
  <c r="M311" i="11"/>
  <c r="L311" i="11" s="1"/>
  <c r="U311" i="11"/>
  <c r="M356" i="11"/>
  <c r="U356" i="11"/>
  <c r="M315" i="11"/>
  <c r="L315" i="11" s="1"/>
  <c r="U315" i="11"/>
  <c r="M316" i="11"/>
  <c r="L316" i="11" s="1"/>
  <c r="U316" i="11"/>
  <c r="M317" i="11"/>
  <c r="L317" i="11" s="1"/>
  <c r="U317" i="11"/>
  <c r="M312" i="11"/>
  <c r="L312" i="11" s="1"/>
  <c r="U312" i="11"/>
  <c r="M313" i="11"/>
  <c r="L313" i="11" s="1"/>
  <c r="U313" i="11"/>
  <c r="M318" i="11"/>
  <c r="L318" i="11" s="1"/>
  <c r="U318" i="11"/>
  <c r="M319" i="11"/>
  <c r="L319" i="11" s="1"/>
  <c r="U319" i="11"/>
  <c r="M320" i="11"/>
  <c r="L320" i="11" s="1"/>
  <c r="U320" i="11"/>
  <c r="M321" i="11"/>
  <c r="L321" i="11" s="1"/>
  <c r="U321" i="11"/>
  <c r="M322" i="11"/>
  <c r="L322" i="11" s="1"/>
  <c r="U322" i="11"/>
  <c r="M314" i="11"/>
  <c r="L314" i="11" s="1"/>
  <c r="U314" i="11"/>
  <c r="M323" i="11"/>
  <c r="L323" i="11" s="1"/>
  <c r="U323" i="11"/>
  <c r="M324" i="11"/>
  <c r="L324" i="11" s="1"/>
  <c r="U324" i="11"/>
  <c r="M325" i="11"/>
  <c r="L325" i="11" s="1"/>
  <c r="U325" i="11"/>
  <c r="M326" i="11"/>
  <c r="L326" i="11" s="1"/>
  <c r="U326" i="11"/>
  <c r="M327" i="11"/>
  <c r="L327" i="11" s="1"/>
  <c r="U327" i="11"/>
  <c r="M330" i="11"/>
  <c r="L330" i="11" s="1"/>
  <c r="U330" i="11"/>
  <c r="M331" i="11"/>
  <c r="U331" i="11"/>
  <c r="M337" i="11"/>
  <c r="U337" i="11"/>
  <c r="M336" i="11"/>
  <c r="L336" i="11" s="1"/>
  <c r="U336" i="11"/>
  <c r="M338" i="11"/>
  <c r="L338" i="11" s="1"/>
  <c r="U338" i="11"/>
  <c r="M339" i="11"/>
  <c r="L339" i="11" s="1"/>
  <c r="U339" i="11"/>
  <c r="M355" i="11"/>
  <c r="L355" i="11" s="1"/>
  <c r="U355" i="11"/>
  <c r="M340" i="11"/>
  <c r="L340" i="11" s="1"/>
  <c r="U340" i="11"/>
  <c r="M341" i="11"/>
  <c r="L341" i="11" s="1"/>
  <c r="U341" i="11"/>
  <c r="M342" i="11"/>
  <c r="L342" i="11" s="1"/>
  <c r="U342" i="11"/>
  <c r="M343" i="11"/>
  <c r="L343" i="11" s="1"/>
  <c r="U343" i="11"/>
  <c r="M344" i="11"/>
  <c r="L344" i="11" s="1"/>
  <c r="U344" i="11"/>
  <c r="M345" i="11"/>
  <c r="L345" i="11" s="1"/>
  <c r="U345" i="11"/>
  <c r="M346" i="11"/>
  <c r="L346" i="11" s="1"/>
  <c r="U346" i="11"/>
  <c r="M347" i="11"/>
  <c r="L347" i="11" s="1"/>
  <c r="U347" i="11"/>
  <c r="M348" i="11"/>
  <c r="L348" i="11" s="1"/>
  <c r="U348" i="11"/>
  <c r="M358" i="11"/>
  <c r="U358" i="11"/>
  <c r="M359" i="11"/>
  <c r="L359" i="11" s="1"/>
  <c r="U359" i="11"/>
  <c r="M360" i="11"/>
  <c r="L360" i="11" s="1"/>
  <c r="U360" i="11"/>
  <c r="M361" i="11"/>
  <c r="L361" i="11" s="1"/>
  <c r="U361" i="11"/>
  <c r="M362" i="11"/>
  <c r="L362" i="11" s="1"/>
  <c r="U362" i="11"/>
  <c r="M371" i="11"/>
  <c r="L371" i="11" s="1"/>
  <c r="U371" i="11"/>
  <c r="M363" i="11"/>
  <c r="L363" i="11" s="1"/>
  <c r="U363" i="11"/>
  <c r="M364" i="11"/>
  <c r="L364" i="11" s="1"/>
  <c r="U364" i="11"/>
  <c r="M365" i="11"/>
  <c r="L365" i="11" s="1"/>
  <c r="U365" i="11"/>
  <c r="M366" i="11"/>
  <c r="L366" i="11" s="1"/>
  <c r="U366" i="11"/>
  <c r="M367" i="11"/>
  <c r="L367" i="11" s="1"/>
  <c r="U367" i="11"/>
  <c r="M368" i="11"/>
  <c r="L368" i="11" s="1"/>
  <c r="U368" i="11"/>
  <c r="M369" i="11"/>
  <c r="L369" i="11" s="1"/>
  <c r="U369" i="11"/>
  <c r="M370" i="11"/>
  <c r="L370" i="11" s="1"/>
  <c r="U370" i="11"/>
  <c r="M372" i="11"/>
  <c r="L372" i="11" s="1"/>
  <c r="U372" i="11"/>
  <c r="M373" i="11"/>
  <c r="L373" i="11" s="1"/>
  <c r="U373" i="11"/>
  <c r="M374" i="11"/>
  <c r="L374" i="11" s="1"/>
  <c r="U374" i="11"/>
  <c r="M375" i="11"/>
  <c r="L375" i="11" s="1"/>
  <c r="U375" i="11"/>
  <c r="M376" i="11"/>
  <c r="L376" i="11" s="1"/>
  <c r="U376" i="11"/>
  <c r="M377" i="11"/>
  <c r="L377" i="11" s="1"/>
  <c r="U377" i="11"/>
  <c r="M378" i="11"/>
  <c r="L378" i="11" s="1"/>
  <c r="U378" i="11"/>
  <c r="M379" i="11"/>
  <c r="L379" i="11" s="1"/>
  <c r="U379" i="11"/>
  <c r="M380" i="11"/>
  <c r="L380" i="11" s="1"/>
  <c r="U380" i="11"/>
  <c r="M381" i="11"/>
  <c r="L381" i="11" s="1"/>
  <c r="U381" i="11"/>
  <c r="M382" i="11"/>
  <c r="L382" i="11" s="1"/>
  <c r="U382" i="11"/>
  <c r="M383" i="11"/>
  <c r="L383" i="11" s="1"/>
  <c r="U383" i="11"/>
  <c r="M384" i="11"/>
  <c r="L384" i="11" s="1"/>
  <c r="U384" i="11"/>
  <c r="M385" i="11"/>
  <c r="L385" i="11" s="1"/>
  <c r="U385" i="11"/>
  <c r="M386" i="11"/>
  <c r="L386" i="11" s="1"/>
  <c r="U386" i="11"/>
  <c r="M387" i="11"/>
  <c r="L387" i="11" s="1"/>
  <c r="U387" i="11"/>
  <c r="M388" i="11"/>
  <c r="L388" i="11" s="1"/>
  <c r="U388" i="11"/>
  <c r="M389" i="11"/>
  <c r="L389" i="11" s="1"/>
  <c r="U389" i="11"/>
  <c r="M394" i="11"/>
  <c r="L394" i="11" s="1"/>
  <c r="U394" i="11"/>
  <c r="U390" i="11"/>
  <c r="U393" i="11"/>
  <c r="M395" i="11"/>
  <c r="L395" i="11" s="1"/>
  <c r="U395" i="11"/>
  <c r="M349" i="11"/>
  <c r="L349" i="11" s="1"/>
  <c r="U349" i="11"/>
  <c r="M350" i="11"/>
  <c r="L350" i="11" s="1"/>
  <c r="U350" i="11"/>
  <c r="M351" i="11"/>
  <c r="L351" i="11" s="1"/>
  <c r="U351" i="11"/>
  <c r="M352" i="11"/>
  <c r="L352" i="11" s="1"/>
  <c r="U352" i="11"/>
  <c r="M353" i="11"/>
  <c r="L353" i="11" s="1"/>
  <c r="U353" i="11"/>
  <c r="M354" i="11"/>
  <c r="L354" i="11" s="1"/>
  <c r="U354" i="11"/>
  <c r="M328" i="11"/>
  <c r="L328" i="11" s="1"/>
  <c r="U328" i="11"/>
  <c r="M329" i="11"/>
  <c r="L329" i="11" s="1"/>
  <c r="U329" i="11"/>
  <c r="M333" i="11"/>
  <c r="L333" i="11" s="1"/>
  <c r="U333" i="11"/>
  <c r="M334" i="11"/>
  <c r="L334" i="11" s="1"/>
  <c r="U334" i="11"/>
  <c r="M335" i="11"/>
  <c r="L335" i="11" s="1"/>
  <c r="U335" i="11"/>
  <c r="M396" i="11"/>
  <c r="L396" i="11" s="1"/>
  <c r="U396" i="11"/>
  <c r="M402" i="11"/>
  <c r="L402" i="11" s="1"/>
  <c r="U402" i="11"/>
  <c r="M403" i="11"/>
  <c r="L403" i="11" s="1"/>
  <c r="U403" i="11"/>
  <c r="M405" i="11"/>
  <c r="L405" i="11" s="1"/>
  <c r="U405" i="11"/>
  <c r="M404" i="11"/>
  <c r="L404" i="11" s="1"/>
  <c r="U404" i="11"/>
  <c r="M406" i="11"/>
  <c r="L406" i="11" s="1"/>
  <c r="U406" i="11"/>
  <c r="M407" i="11"/>
  <c r="L407" i="11" s="1"/>
  <c r="U407" i="11"/>
  <c r="M408" i="11"/>
  <c r="L408" i="11" s="1"/>
  <c r="U408" i="11"/>
  <c r="M409" i="11"/>
  <c r="L409" i="11" s="1"/>
  <c r="U409" i="11"/>
  <c r="M410" i="11"/>
  <c r="L410" i="11" s="1"/>
  <c r="U410" i="11"/>
  <c r="M411" i="11"/>
  <c r="L411" i="11" s="1"/>
  <c r="U411" i="11"/>
  <c r="M412" i="11"/>
  <c r="L412" i="11" s="1"/>
  <c r="U412" i="11"/>
  <c r="M413" i="11"/>
  <c r="L413" i="11" s="1"/>
  <c r="U413" i="11"/>
  <c r="M414" i="11"/>
  <c r="L414" i="11" s="1"/>
  <c r="U414" i="11"/>
  <c r="M415" i="11"/>
  <c r="L415" i="11" s="1"/>
  <c r="U415" i="11"/>
  <c r="M416" i="11"/>
  <c r="L416" i="11" s="1"/>
  <c r="U416" i="11"/>
  <c r="M417" i="11"/>
  <c r="L417" i="11" s="1"/>
  <c r="U417" i="11"/>
  <c r="M418" i="11"/>
  <c r="L418" i="11" s="1"/>
  <c r="U418" i="11"/>
  <c r="M419" i="11"/>
  <c r="L419" i="11" s="1"/>
  <c r="U419" i="11"/>
  <c r="M420" i="11"/>
  <c r="L420" i="11" s="1"/>
  <c r="U420" i="11"/>
  <c r="M421" i="11"/>
  <c r="L421" i="11" s="1"/>
  <c r="U421" i="11"/>
  <c r="M422" i="11"/>
  <c r="L422" i="11" s="1"/>
  <c r="U422" i="11"/>
  <c r="M423" i="11"/>
  <c r="L423" i="11" s="1"/>
  <c r="U423" i="11"/>
  <c r="M424" i="11"/>
  <c r="L424" i="11" s="1"/>
  <c r="U424" i="11"/>
  <c r="M425" i="11"/>
  <c r="L425" i="11" s="1"/>
  <c r="U425" i="11"/>
  <c r="M426" i="11"/>
  <c r="L426" i="11" s="1"/>
  <c r="U426" i="11"/>
  <c r="M427" i="11"/>
  <c r="L427" i="11" s="1"/>
  <c r="U427" i="11"/>
  <c r="M428" i="11"/>
  <c r="L428" i="11" s="1"/>
  <c r="U428" i="11"/>
  <c r="M429" i="11"/>
  <c r="L429" i="11" s="1"/>
  <c r="U429" i="11"/>
  <c r="M430" i="11"/>
  <c r="L430" i="11" s="1"/>
  <c r="U430" i="11"/>
  <c r="M431" i="11"/>
  <c r="L431" i="11" s="1"/>
  <c r="U431" i="11"/>
  <c r="M432" i="11"/>
  <c r="L432" i="11" s="1"/>
  <c r="U432" i="11"/>
  <c r="M433" i="11"/>
  <c r="L433" i="11" s="1"/>
  <c r="U433" i="11"/>
  <c r="M434" i="11"/>
  <c r="L434" i="11" s="1"/>
  <c r="U434" i="11"/>
  <c r="M435" i="11"/>
  <c r="L435" i="11" s="1"/>
  <c r="U435" i="11"/>
  <c r="M438" i="11"/>
  <c r="U438" i="11"/>
  <c r="M436" i="11"/>
  <c r="L436" i="11" s="1"/>
  <c r="U436" i="11"/>
  <c r="M437" i="11"/>
  <c r="L437" i="11" s="1"/>
  <c r="U437" i="11"/>
  <c r="M440" i="11"/>
  <c r="U440" i="11"/>
  <c r="M397" i="11"/>
  <c r="L397" i="11" s="1"/>
  <c r="U397" i="11"/>
  <c r="M442" i="11"/>
  <c r="L442" i="11" s="1"/>
  <c r="U442" i="11"/>
  <c r="M443" i="11"/>
  <c r="L443" i="11" s="1"/>
  <c r="U443" i="11"/>
  <c r="M444" i="11"/>
  <c r="L444" i="11" s="1"/>
  <c r="U444" i="11"/>
  <c r="M445" i="11"/>
  <c r="L445" i="11" s="1"/>
  <c r="U445" i="11"/>
  <c r="M446" i="11"/>
  <c r="L446" i="11" s="1"/>
  <c r="U446" i="11"/>
  <c r="M447" i="11"/>
  <c r="L447" i="11" s="1"/>
  <c r="U447" i="11"/>
  <c r="M398" i="11"/>
  <c r="L398" i="11" s="1"/>
  <c r="U398" i="11"/>
  <c r="M448" i="11"/>
  <c r="L448" i="11" s="1"/>
  <c r="U448" i="11"/>
  <c r="M449" i="11"/>
  <c r="L449" i="11" s="1"/>
  <c r="U449" i="11"/>
  <c r="M450" i="11"/>
  <c r="L450" i="11" s="1"/>
  <c r="U450" i="11"/>
  <c r="M451" i="11"/>
  <c r="L451" i="11" s="1"/>
  <c r="U451" i="11"/>
  <c r="M452" i="11"/>
  <c r="L452" i="11" s="1"/>
  <c r="U452" i="11"/>
  <c r="M453" i="11"/>
  <c r="L453" i="11" s="1"/>
  <c r="U453" i="11"/>
  <c r="M454" i="11"/>
  <c r="L454" i="11" s="1"/>
  <c r="U454" i="11"/>
  <c r="M455" i="11"/>
  <c r="L455" i="11" s="1"/>
  <c r="U455" i="11"/>
  <c r="M456" i="11"/>
  <c r="L456" i="11" s="1"/>
  <c r="U456" i="11"/>
  <c r="M457" i="11"/>
  <c r="U457" i="11"/>
  <c r="M466" i="11"/>
  <c r="L466" i="11" s="1"/>
  <c r="U466" i="11"/>
  <c r="M461" i="11"/>
  <c r="L461" i="11" s="1"/>
  <c r="U461" i="11"/>
  <c r="M462" i="11"/>
  <c r="L462" i="11" s="1"/>
  <c r="U462" i="11"/>
  <c r="M463" i="11"/>
  <c r="L463" i="11" s="1"/>
  <c r="U463" i="11"/>
  <c r="M464" i="11"/>
  <c r="L464" i="11" s="1"/>
  <c r="U464" i="11"/>
  <c r="M465" i="11"/>
  <c r="L465" i="11" s="1"/>
  <c r="U465" i="11"/>
  <c r="M468" i="11"/>
  <c r="L468" i="11" s="1"/>
  <c r="U468" i="11"/>
  <c r="M471" i="11"/>
  <c r="L471" i="11" s="1"/>
  <c r="U471" i="11"/>
  <c r="M472" i="11"/>
  <c r="L472" i="11" s="1"/>
  <c r="U472" i="11"/>
  <c r="M474" i="11"/>
  <c r="L474" i="11" s="1"/>
  <c r="U474" i="11"/>
  <c r="M475" i="11"/>
  <c r="L475" i="11" s="1"/>
  <c r="U475" i="11"/>
  <c r="M476" i="11"/>
  <c r="L476" i="11" s="1"/>
  <c r="U476" i="11"/>
  <c r="L7" i="11" l="1"/>
  <c r="L231" i="11"/>
  <c r="L34" i="11"/>
  <c r="M142" i="25"/>
  <c r="M246" i="25"/>
  <c r="N246" i="25" s="1"/>
  <c r="M265" i="25"/>
  <c r="N265" i="25" s="1"/>
  <c r="M266" i="25"/>
  <c r="N266" i="25" s="1"/>
  <c r="M257" i="25"/>
  <c r="N257" i="25" s="1"/>
  <c r="M255" i="25"/>
  <c r="N255" i="25" s="1"/>
  <c r="M262" i="25"/>
  <c r="N262" i="25" s="1"/>
  <c r="M258" i="25"/>
  <c r="N258" i="25" s="1"/>
  <c r="M259" i="25"/>
  <c r="N259" i="25" s="1"/>
  <c r="M263" i="25"/>
  <c r="N263" i="25" s="1"/>
  <c r="M264" i="25"/>
  <c r="N264" i="25" s="1"/>
  <c r="M269" i="25"/>
  <c r="N269" i="25" s="1"/>
  <c r="M167" i="25"/>
  <c r="M251" i="25"/>
  <c r="N251" i="25" s="1"/>
  <c r="M250" i="25"/>
  <c r="N250" i="25" s="1"/>
  <c r="M245" i="25"/>
  <c r="N245" i="25" s="1"/>
  <c r="M243" i="25"/>
  <c r="N243" i="25" s="1"/>
  <c r="M242" i="25"/>
  <c r="N242" i="25" s="1"/>
  <c r="M174" i="25"/>
  <c r="M198" i="25"/>
  <c r="M292" i="25"/>
  <c r="N292" i="25" s="1"/>
  <c r="M226" i="25"/>
  <c r="M228" i="25"/>
  <c r="N228" i="25" s="1"/>
  <c r="M217" i="25"/>
  <c r="M124" i="25"/>
  <c r="M231" i="25"/>
  <c r="N231" i="25" s="1"/>
  <c r="M160" i="25"/>
  <c r="M235" i="25"/>
  <c r="M123" i="25"/>
  <c r="M177" i="25"/>
  <c r="M215" i="25"/>
  <c r="M180" i="25"/>
  <c r="M229" i="25"/>
  <c r="N229" i="25" s="1"/>
  <c r="M282" i="25"/>
  <c r="N282" i="25" s="1"/>
  <c r="M319" i="25"/>
  <c r="N319" i="25" s="1"/>
  <c r="M203" i="25"/>
  <c r="M216" i="25"/>
  <c r="M141" i="25"/>
  <c r="M303" i="25"/>
  <c r="N303" i="25" s="1"/>
  <c r="M140" i="25"/>
  <c r="N140" i="25" s="1"/>
  <c r="M317" i="25"/>
  <c r="N317" i="25" s="1"/>
  <c r="M284" i="25"/>
  <c r="N284" i="25" s="1"/>
  <c r="M301" i="25"/>
  <c r="N301" i="25" s="1"/>
  <c r="M283" i="25"/>
  <c r="N283" i="25" s="1"/>
  <c r="M236" i="25"/>
  <c r="M278" i="25"/>
  <c r="N278" i="25" s="1"/>
  <c r="M204" i="25"/>
  <c r="N204" i="25" s="1"/>
  <c r="M206" i="25"/>
  <c r="M205" i="25"/>
  <c r="M291" i="25"/>
  <c r="N291" i="25" s="1"/>
  <c r="M240" i="25"/>
  <c r="N240" i="25" s="1"/>
  <c r="M218" i="25"/>
  <c r="M276" i="25"/>
  <c r="N276" i="25" s="1"/>
  <c r="M118" i="25"/>
  <c r="M315" i="25"/>
  <c r="N315" i="25" s="1"/>
  <c r="M175" i="25"/>
  <c r="M224" i="25"/>
  <c r="M150" i="25"/>
  <c r="M199" i="25"/>
  <c r="M200" i="25"/>
  <c r="M237" i="25"/>
  <c r="M306" i="25"/>
  <c r="N306" i="25" s="1"/>
  <c r="M277" i="25"/>
  <c r="N277" i="25" s="1"/>
  <c r="M223" i="25"/>
  <c r="M146" i="25"/>
  <c r="M308" i="25"/>
  <c r="N308" i="25" s="1"/>
  <c r="M151" i="25"/>
  <c r="M144" i="25"/>
  <c r="M176" i="25"/>
  <c r="M234" i="25"/>
  <c r="M195" i="25"/>
  <c r="N195" i="25" s="1"/>
  <c r="M233" i="25"/>
  <c r="M302" i="25"/>
  <c r="N302" i="25" s="1"/>
  <c r="M143" i="25"/>
  <c r="M156" i="25"/>
  <c r="M230" i="25"/>
  <c r="N230" i="25" s="1"/>
  <c r="M171" i="25"/>
  <c r="M328" i="25"/>
  <c r="N328" i="25" s="1"/>
  <c r="M164" i="25"/>
  <c r="M327" i="25"/>
  <c r="N327" i="25" s="1"/>
  <c r="M324" i="25"/>
  <c r="N324" i="25" s="1"/>
  <c r="M326" i="25"/>
  <c r="N326" i="25" s="1"/>
  <c r="M322" i="25"/>
  <c r="N322" i="25" s="1"/>
  <c r="M149" i="25"/>
  <c r="M320" i="25"/>
  <c r="N320" i="25" s="1"/>
  <c r="M304" i="25"/>
  <c r="N304" i="25" s="1"/>
  <c r="M281" i="25"/>
  <c r="N281" i="25" s="1"/>
  <c r="M310" i="25"/>
  <c r="N310" i="25" s="1"/>
  <c r="M280" i="25"/>
  <c r="N280" i="25" s="1"/>
  <c r="M305" i="25"/>
  <c r="N305" i="25" s="1"/>
  <c r="M313" i="25"/>
  <c r="N313" i="25" s="1"/>
  <c r="M137" i="25"/>
  <c r="N137" i="25" s="1"/>
  <c r="M289" i="25"/>
  <c r="N289" i="25" s="1"/>
  <c r="M290" i="25"/>
  <c r="N290" i="25" s="1"/>
  <c r="M153" i="25"/>
  <c r="M314" i="25"/>
  <c r="N314" i="25" s="1"/>
  <c r="M316" i="25"/>
  <c r="N316" i="25" s="1"/>
  <c r="M279" i="25"/>
  <c r="N279" i="25" s="1"/>
  <c r="M222" i="25"/>
  <c r="M145" i="25"/>
  <c r="M307" i="25"/>
  <c r="N307" i="25" s="1"/>
  <c r="M183" i="25"/>
  <c r="M202" i="25"/>
  <c r="M161" i="25"/>
  <c r="M309" i="25"/>
  <c r="N309" i="25" s="1"/>
  <c r="M148" i="25"/>
  <c r="N148" i="25" s="1"/>
  <c r="M189" i="25"/>
  <c r="M155" i="25"/>
  <c r="M165" i="25"/>
  <c r="M136" i="25"/>
  <c r="N136" i="25" s="1"/>
  <c r="M135" i="25"/>
  <c r="N135" i="25" s="1"/>
  <c r="M196" i="25"/>
  <c r="M193" i="25"/>
  <c r="M139" i="25"/>
  <c r="N139" i="25" s="1"/>
  <c r="M190" i="25"/>
  <c r="M191" i="25"/>
  <c r="M192" i="25"/>
  <c r="M138" i="25"/>
  <c r="N138" i="25" s="1"/>
  <c r="M166" i="25"/>
  <c r="M194" i="25"/>
  <c r="M220" i="25"/>
  <c r="M147" i="25"/>
  <c r="M197" i="25"/>
  <c r="M154" i="25"/>
  <c r="M221" i="25"/>
  <c r="M184" i="25"/>
  <c r="M311" i="25"/>
  <c r="N311" i="25" s="1"/>
  <c r="M213" i="25"/>
  <c r="M227" i="25"/>
  <c r="M201" i="25"/>
  <c r="M212" i="25"/>
  <c r="M211" i="25"/>
  <c r="M321" i="25"/>
  <c r="N321" i="25" s="1"/>
  <c r="M232" i="25"/>
  <c r="M159" i="25"/>
  <c r="M207" i="25"/>
  <c r="M172" i="25"/>
  <c r="M299" i="25"/>
  <c r="N299" i="25" s="1"/>
  <c r="M274" i="25"/>
  <c r="N274" i="25" s="1"/>
  <c r="M188" i="25"/>
  <c r="M179" i="25"/>
  <c r="M186" i="25"/>
  <c r="M187" i="25"/>
  <c r="M178" i="25"/>
  <c r="M209" i="25"/>
  <c r="M323" i="25"/>
  <c r="N323" i="25" s="1"/>
  <c r="M168" i="25"/>
  <c r="M238" i="25"/>
  <c r="M152" i="25"/>
  <c r="M272" i="25"/>
  <c r="N272" i="25" s="1"/>
  <c r="M134" i="25"/>
  <c r="M225" i="25"/>
  <c r="N225" i="25" s="1"/>
  <c r="M157" i="25"/>
  <c r="M219" i="25"/>
  <c r="M208" i="25"/>
  <c r="M185" i="25"/>
  <c r="M133" i="25"/>
  <c r="M119" i="25"/>
  <c r="N241" i="25"/>
  <c r="M116" i="25"/>
  <c r="N312" i="25"/>
  <c r="M132" i="25"/>
  <c r="M129" i="25"/>
  <c r="M113" i="25"/>
  <c r="M121" i="25"/>
  <c r="M126" i="25"/>
  <c r="M128" i="25"/>
  <c r="M117" i="25"/>
  <c r="M125" i="25"/>
  <c r="M120" i="25"/>
  <c r="M131" i="25"/>
  <c r="M127" i="25"/>
  <c r="M52" i="25"/>
  <c r="N52" i="25" s="1"/>
  <c r="L14" i="11"/>
  <c r="L19" i="11"/>
  <c r="L134" i="11"/>
  <c r="L38" i="11"/>
  <c r="L12" i="11"/>
  <c r="L9" i="11"/>
  <c r="L17" i="11"/>
  <c r="L10" i="11"/>
  <c r="L22" i="11"/>
  <c r="L185" i="11"/>
  <c r="L28" i="11"/>
  <c r="M53" i="25"/>
  <c r="N53" i="25" s="1"/>
  <c r="L6" i="11"/>
  <c r="D34" i="33"/>
  <c r="C42" i="33"/>
  <c r="D33" i="33"/>
  <c r="C35" i="33"/>
  <c r="C34" i="33"/>
  <c r="C33" i="33"/>
  <c r="D35" i="33"/>
  <c r="M15" i="25"/>
  <c r="C224" i="33"/>
  <c r="B224" i="33"/>
  <c r="B223" i="33"/>
  <c r="C223" i="33"/>
  <c r="C222" i="33"/>
  <c r="C221" i="33"/>
  <c r="B226" i="33"/>
  <c r="B222" i="33"/>
  <c r="C227" i="33"/>
  <c r="B221" i="33"/>
  <c r="C226" i="33"/>
  <c r="B225" i="33"/>
  <c r="B227" i="33"/>
  <c r="C225" i="33"/>
  <c r="M17" i="25"/>
  <c r="N17" i="25" s="1"/>
  <c r="M16" i="25"/>
  <c r="N16" i="25" s="1"/>
  <c r="M14" i="25"/>
  <c r="N14" i="25" s="1"/>
  <c r="M222" i="33"/>
  <c r="D222" i="33"/>
  <c r="E222" i="33"/>
  <c r="F222" i="33"/>
  <c r="G222" i="33"/>
  <c r="L222" i="33"/>
  <c r="H222" i="33"/>
  <c r="I222" i="33"/>
  <c r="J222" i="33"/>
  <c r="K222" i="33"/>
  <c r="G69" i="33"/>
  <c r="G68" i="33"/>
  <c r="H69" i="33"/>
  <c r="H65" i="33"/>
  <c r="H35" i="33"/>
  <c r="I35" i="33"/>
  <c r="J37" i="33"/>
  <c r="J36" i="33"/>
  <c r="J35" i="33"/>
  <c r="G42" i="33"/>
  <c r="H42" i="33"/>
  <c r="J33" i="33"/>
  <c r="U267" i="11"/>
  <c r="R267" i="11"/>
  <c r="R266" i="11"/>
  <c r="U266" i="11"/>
  <c r="R264" i="11"/>
  <c r="U264" i="11"/>
  <c r="R265" i="11"/>
  <c r="U265" i="11"/>
  <c r="R263" i="11"/>
  <c r="U263" i="11"/>
  <c r="U262" i="11"/>
  <c r="U260" i="11"/>
  <c r="R259" i="11"/>
  <c r="U259" i="11"/>
  <c r="U251" i="11"/>
  <c r="U258" i="11"/>
  <c r="R258" i="11"/>
  <c r="U257" i="11"/>
  <c r="R257" i="11"/>
  <c r="U256" i="11"/>
  <c r="R256" i="11"/>
  <c r="R255" i="11"/>
  <c r="U255" i="11"/>
  <c r="U253" i="11"/>
  <c r="R254" i="11"/>
  <c r="U254" i="11"/>
  <c r="U261" i="11"/>
  <c r="U245" i="11"/>
  <c r="R245" i="11"/>
  <c r="R246" i="11"/>
  <c r="U246" i="11"/>
  <c r="R188" i="11"/>
  <c r="U188" i="11"/>
  <c r="U244" i="11"/>
  <c r="R244" i="11"/>
  <c r="U243" i="11"/>
  <c r="R243" i="11"/>
  <c r="R242" i="11"/>
  <c r="U242" i="11"/>
  <c r="R236" i="11"/>
  <c r="U236" i="11"/>
  <c r="U235" i="11"/>
  <c r="R240" i="11"/>
  <c r="U240" i="11"/>
  <c r="U239" i="11"/>
  <c r="R239" i="11"/>
  <c r="R238" i="11"/>
  <c r="U238" i="11"/>
  <c r="U237" i="11"/>
  <c r="U241" i="11"/>
  <c r="R232" i="11"/>
  <c r="U232" i="11"/>
  <c r="U231" i="11"/>
  <c r="R231" i="11"/>
  <c r="R211" i="11"/>
  <c r="U211" i="11"/>
  <c r="R221" i="11"/>
  <c r="U221" i="11"/>
  <c r="U222" i="11"/>
  <c r="R225" i="11"/>
  <c r="U225" i="11"/>
  <c r="U230" i="11"/>
  <c r="U234" i="11"/>
  <c r="R229" i="11"/>
  <c r="U229" i="11"/>
  <c r="U233" i="11"/>
  <c r="R228" i="11"/>
  <c r="U228" i="11"/>
  <c r="R224" i="11"/>
  <c r="U224" i="11"/>
  <c r="R223" i="11"/>
  <c r="U223" i="11"/>
  <c r="U226" i="11"/>
  <c r="R226" i="11"/>
  <c r="R218" i="11"/>
  <c r="U218" i="11"/>
  <c r="R227" i="11"/>
  <c r="U219" i="11"/>
  <c r="R219" i="11"/>
  <c r="U220" i="11"/>
  <c r="R220" i="11"/>
  <c r="R215" i="11"/>
  <c r="U215" i="11"/>
  <c r="U217" i="11"/>
  <c r="R217" i="11"/>
  <c r="U216" i="11"/>
  <c r="R216" i="11"/>
  <c r="U207" i="11"/>
  <c r="R207" i="11"/>
  <c r="U214" i="11"/>
  <c r="R210" i="11"/>
  <c r="U210" i="11"/>
  <c r="R209" i="11"/>
  <c r="U209" i="11"/>
  <c r="R208" i="11"/>
  <c r="U208" i="11"/>
  <c r="R193" i="11"/>
  <c r="U193" i="11"/>
  <c r="R213" i="11"/>
  <c r="U213" i="11"/>
  <c r="U212" i="11"/>
  <c r="R212" i="11"/>
  <c r="U205" i="11"/>
  <c r="R205" i="11"/>
  <c r="U206" i="11"/>
  <c r="R206" i="11"/>
  <c r="R203" i="11"/>
  <c r="U203" i="11"/>
  <c r="R204" i="11"/>
  <c r="U204" i="11"/>
  <c r="U202" i="11"/>
  <c r="R202" i="11"/>
  <c r="R201" i="11"/>
  <c r="U201" i="11"/>
  <c r="R200" i="11"/>
  <c r="U200" i="11"/>
  <c r="U199" i="11"/>
  <c r="R199" i="11"/>
  <c r="U198" i="11"/>
  <c r="R198" i="11"/>
  <c r="U197" i="11"/>
  <c r="R197" i="11"/>
  <c r="U196" i="11"/>
  <c r="R196" i="11"/>
  <c r="R187" i="11"/>
  <c r="U187" i="11"/>
  <c r="R192" i="11"/>
  <c r="U192" i="11"/>
  <c r="R195" i="11"/>
  <c r="U195" i="11"/>
  <c r="R194" i="11"/>
  <c r="U194" i="11"/>
  <c r="R190" i="11"/>
  <c r="U190" i="11"/>
  <c r="U189" i="11"/>
  <c r="R189" i="11"/>
  <c r="U186" i="11"/>
  <c r="R186" i="11"/>
  <c r="R185" i="11"/>
  <c r="U185" i="11"/>
  <c r="R191" i="11"/>
  <c r="R183" i="11"/>
  <c r="U183" i="11"/>
  <c r="U182" i="11"/>
  <c r="R182" i="11"/>
  <c r="U184" i="11"/>
  <c r="R184" i="11"/>
  <c r="R178" i="11"/>
  <c r="U178" i="11"/>
  <c r="R180" i="11"/>
  <c r="U180" i="11"/>
  <c r="U179" i="11"/>
  <c r="R179" i="11"/>
  <c r="R181" i="11"/>
  <c r="U181" i="11"/>
  <c r="U177" i="11"/>
  <c r="R154" i="11"/>
  <c r="U154" i="11"/>
  <c r="R153" i="11"/>
  <c r="U153" i="11"/>
  <c r="R175" i="11"/>
  <c r="U175" i="11"/>
  <c r="U174" i="11"/>
  <c r="R174" i="11"/>
  <c r="R176" i="11"/>
  <c r="U176" i="11"/>
  <c r="R173" i="11"/>
  <c r="U173" i="11"/>
  <c r="R172" i="11"/>
  <c r="U172" i="11"/>
  <c r="M80" i="25"/>
  <c r="M92" i="25"/>
  <c r="M79" i="25"/>
  <c r="R170" i="11"/>
  <c r="U170" i="11"/>
  <c r="R171" i="11"/>
  <c r="U171" i="11"/>
  <c r="U169" i="11"/>
  <c r="R169" i="11"/>
  <c r="R168" i="11"/>
  <c r="U168" i="11"/>
  <c r="U167" i="11"/>
  <c r="R167" i="11"/>
  <c r="U166" i="11"/>
  <c r="R166" i="11"/>
  <c r="R165" i="11"/>
  <c r="U165" i="11"/>
  <c r="U163" i="11"/>
  <c r="R163" i="11"/>
  <c r="U164" i="11"/>
  <c r="R164" i="11"/>
  <c r="R158" i="11"/>
  <c r="U158" i="11"/>
  <c r="R162" i="11"/>
  <c r="U162" i="11"/>
  <c r="U161" i="11"/>
  <c r="R161" i="11"/>
  <c r="R160" i="11"/>
  <c r="U160" i="11"/>
  <c r="R159" i="11"/>
  <c r="U159" i="11"/>
  <c r="U106" i="11"/>
  <c r="U131" i="11"/>
  <c r="R131" i="11"/>
  <c r="U95" i="11"/>
  <c r="R95" i="11"/>
  <c r="U76" i="11"/>
  <c r="U83" i="11"/>
  <c r="R83" i="11"/>
  <c r="U57" i="11"/>
  <c r="R57" i="11"/>
  <c r="R107" i="11"/>
  <c r="U107" i="11"/>
  <c r="R101" i="11"/>
  <c r="U101" i="11"/>
  <c r="R88" i="11"/>
  <c r="U88" i="11"/>
  <c r="U115" i="11"/>
  <c r="R115" i="11"/>
  <c r="R114" i="11"/>
  <c r="U114" i="11"/>
  <c r="U36" i="11"/>
  <c r="R36" i="11"/>
  <c r="R137" i="11"/>
  <c r="U137" i="11"/>
  <c r="R77" i="11"/>
  <c r="U77" i="11"/>
  <c r="U47" i="11"/>
  <c r="R47" i="11"/>
  <c r="U143" i="11"/>
  <c r="R143" i="11"/>
  <c r="U149" i="11"/>
  <c r="U119" i="11"/>
  <c r="U41" i="11"/>
  <c r="U24" i="11"/>
  <c r="U10" i="11"/>
  <c r="U130" i="11"/>
  <c r="U94" i="11"/>
  <c r="R69" i="11"/>
  <c r="R30" i="11"/>
  <c r="R18" i="11"/>
  <c r="U124" i="11"/>
  <c r="U63" i="11"/>
  <c r="U156" i="11"/>
  <c r="U9" i="11"/>
  <c r="U68" i="11"/>
  <c r="U17" i="11"/>
  <c r="R11" i="11"/>
  <c r="U157" i="11"/>
  <c r="U126" i="11"/>
  <c r="U136" i="11"/>
  <c r="U16" i="11"/>
  <c r="R72" i="11"/>
  <c r="U72" i="11"/>
  <c r="R61" i="11"/>
  <c r="U61" i="11"/>
  <c r="R75" i="11"/>
  <c r="U75" i="11"/>
  <c r="R13" i="11"/>
  <c r="U13" i="11"/>
  <c r="R93" i="11"/>
  <c r="U93" i="11"/>
  <c r="R118" i="11"/>
  <c r="U118" i="11"/>
  <c r="R142" i="11"/>
  <c r="U142" i="11"/>
  <c r="R139" i="11"/>
  <c r="U139" i="11"/>
  <c r="R144" i="11"/>
  <c r="U144" i="11"/>
  <c r="R108" i="11"/>
  <c r="U108" i="11"/>
  <c r="R103" i="11"/>
  <c r="U103" i="11"/>
  <c r="R152" i="11"/>
  <c r="U152" i="11"/>
  <c r="R135" i="11"/>
  <c r="U135" i="11"/>
  <c r="R129" i="11"/>
  <c r="U129" i="11"/>
  <c r="R111" i="11"/>
  <c r="U111" i="11"/>
  <c r="R89" i="11"/>
  <c r="U89" i="11"/>
  <c r="U87" i="11"/>
  <c r="R85" i="11"/>
  <c r="U85" i="11"/>
  <c r="R49" i="11"/>
  <c r="U49" i="11"/>
  <c r="R33" i="11"/>
  <c r="U33" i="11"/>
  <c r="R138" i="11"/>
  <c r="U138" i="11"/>
  <c r="U100" i="11"/>
  <c r="U82" i="11"/>
  <c r="U74" i="11"/>
  <c r="R71" i="11"/>
  <c r="U71" i="11"/>
  <c r="U52" i="11"/>
  <c r="R52" i="11"/>
  <c r="U46" i="11"/>
  <c r="R38" i="11"/>
  <c r="U38" i="11"/>
  <c r="R21" i="11"/>
  <c r="U21" i="11"/>
  <c r="R12" i="11"/>
  <c r="U12" i="11"/>
  <c r="R7" i="11"/>
  <c r="U7" i="11"/>
  <c r="R117" i="11"/>
  <c r="U117" i="11"/>
  <c r="R102" i="11"/>
  <c r="U102" i="11"/>
  <c r="R97" i="11"/>
  <c r="U97" i="11"/>
  <c r="R92" i="11"/>
  <c r="U92" i="11"/>
  <c r="R79" i="11"/>
  <c r="U79" i="11"/>
  <c r="R60" i="11"/>
  <c r="U60" i="11"/>
  <c r="R43" i="11"/>
  <c r="U43" i="11"/>
  <c r="R151" i="11"/>
  <c r="U151" i="11"/>
  <c r="R134" i="11"/>
  <c r="U134" i="11"/>
  <c r="R128" i="11"/>
  <c r="U128" i="11"/>
  <c r="R110" i="11"/>
  <c r="U110" i="11"/>
  <c r="R84" i="11"/>
  <c r="U84" i="11"/>
  <c r="R65" i="11"/>
  <c r="U65" i="11"/>
  <c r="R48" i="11"/>
  <c r="U48" i="11"/>
  <c r="R32" i="11"/>
  <c r="U32" i="11"/>
  <c r="R146" i="11"/>
  <c r="U146" i="11"/>
  <c r="R105" i="11"/>
  <c r="U105" i="11"/>
  <c r="R70" i="11"/>
  <c r="U70" i="11"/>
  <c r="U35" i="11"/>
  <c r="R35" i="11"/>
  <c r="U29" i="11"/>
  <c r="R20" i="11"/>
  <c r="U20" i="11"/>
  <c r="R96" i="11"/>
  <c r="U96" i="11"/>
  <c r="R86" i="11"/>
  <c r="U86" i="11"/>
  <c r="R78" i="11"/>
  <c r="U78" i="11"/>
  <c r="R59" i="11"/>
  <c r="U59" i="11"/>
  <c r="R51" i="11"/>
  <c r="U51" i="11"/>
  <c r="U40" i="11"/>
  <c r="R40" i="11"/>
  <c r="R26" i="11"/>
  <c r="U26" i="11"/>
  <c r="U23" i="11"/>
  <c r="R23" i="11"/>
  <c r="R150" i="11"/>
  <c r="U148" i="11"/>
  <c r="R127" i="11"/>
  <c r="U127" i="11"/>
  <c r="R121" i="11"/>
  <c r="U121" i="11"/>
  <c r="R116" i="11"/>
  <c r="U116" i="11"/>
  <c r="R73" i="11"/>
  <c r="U73" i="11"/>
  <c r="U62" i="11"/>
  <c r="R62" i="11"/>
  <c r="U56" i="11"/>
  <c r="R31" i="11"/>
  <c r="U31" i="11"/>
  <c r="R145" i="11"/>
  <c r="U145" i="11"/>
  <c r="R140" i="11"/>
  <c r="U140" i="11"/>
  <c r="R109" i="11"/>
  <c r="U109" i="11"/>
  <c r="R53" i="11"/>
  <c r="U53" i="11"/>
  <c r="R19" i="11"/>
  <c r="U19" i="11"/>
  <c r="R14" i="11"/>
  <c r="U14" i="11"/>
  <c r="R113" i="11"/>
  <c r="U113" i="11"/>
  <c r="R155" i="11"/>
  <c r="U155" i="11"/>
  <c r="R125" i="11"/>
  <c r="U125" i="11"/>
  <c r="R104" i="11"/>
  <c r="U104" i="11"/>
  <c r="R58" i="11"/>
  <c r="U58" i="11"/>
  <c r="R34" i="11"/>
  <c r="U34" i="11"/>
  <c r="R25" i="11"/>
  <c r="U25" i="11"/>
  <c r="R133" i="11"/>
  <c r="U133" i="11"/>
  <c r="R120" i="11"/>
  <c r="U120" i="11"/>
  <c r="R112" i="11"/>
  <c r="U112" i="11"/>
  <c r="R90" i="11"/>
  <c r="U90" i="11"/>
  <c r="R50" i="11"/>
  <c r="U50" i="11"/>
  <c r="R39" i="11"/>
  <c r="U39" i="11"/>
  <c r="R22" i="11"/>
  <c r="U22" i="11"/>
  <c r="U147" i="11"/>
  <c r="U132" i="11"/>
  <c r="U123" i="11"/>
  <c r="U99" i="11"/>
  <c r="U81" i="11"/>
  <c r="U67" i="11"/>
  <c r="U55" i="11"/>
  <c r="U45" i="11"/>
  <c r="U28" i="11"/>
  <c r="M25" i="11"/>
  <c r="L25" i="11" s="1"/>
  <c r="U141" i="11"/>
  <c r="U122" i="11"/>
  <c r="U98" i="11"/>
  <c r="U91" i="11"/>
  <c r="U80" i="11"/>
  <c r="U66" i="11"/>
  <c r="U54" i="11"/>
  <c r="U44" i="11"/>
  <c r="U27" i="11"/>
  <c r="U8" i="11"/>
  <c r="U64" i="11"/>
  <c r="U42" i="11"/>
  <c r="U37" i="11"/>
  <c r="U6" i="11"/>
  <c r="B134" i="25"/>
  <c r="C134" i="25"/>
  <c r="D134" i="25"/>
  <c r="E134" i="25"/>
  <c r="F34" i="16" l="1"/>
  <c r="N219" i="25"/>
  <c r="B131" i="25"/>
  <c r="C131" i="25"/>
  <c r="D131" i="25"/>
  <c r="E131" i="25"/>
  <c r="B116" i="25" l="1"/>
  <c r="B43" i="25" l="1"/>
  <c r="C43" i="25"/>
  <c r="D43" i="25"/>
  <c r="E43" i="25"/>
  <c r="L43" i="25"/>
  <c r="B84" i="25" l="1"/>
  <c r="C84" i="25"/>
  <c r="D84" i="25"/>
  <c r="E84" i="25"/>
  <c r="L84" i="25"/>
  <c r="B85" i="25"/>
  <c r="C85" i="25"/>
  <c r="D85" i="25"/>
  <c r="E85" i="25"/>
  <c r="L85" i="25"/>
  <c r="E99" i="25"/>
  <c r="D99" i="25"/>
  <c r="C99" i="25"/>
  <c r="B99" i="25"/>
  <c r="L99" i="25"/>
  <c r="B104" i="25"/>
  <c r="B98" i="25" l="1"/>
  <c r="C98" i="25"/>
  <c r="D98" i="25"/>
  <c r="E98" i="25"/>
  <c r="B95" i="25"/>
  <c r="C95" i="25"/>
  <c r="D95" i="25"/>
  <c r="E95" i="25"/>
  <c r="B94" i="25"/>
  <c r="C94" i="25"/>
  <c r="D94" i="25"/>
  <c r="E94" i="25"/>
  <c r="B97" i="25"/>
  <c r="C97" i="25"/>
  <c r="D97" i="25"/>
  <c r="E97" i="25"/>
  <c r="B96" i="25"/>
  <c r="C96" i="25"/>
  <c r="D96" i="25"/>
  <c r="E96" i="25"/>
  <c r="B100" i="25"/>
  <c r="C100" i="25"/>
  <c r="D100" i="25"/>
  <c r="E100" i="25"/>
  <c r="B101" i="25"/>
  <c r="C101" i="25"/>
  <c r="D101" i="25"/>
  <c r="E101" i="25"/>
  <c r="B103" i="25"/>
  <c r="C103" i="25"/>
  <c r="D103" i="25"/>
  <c r="E103" i="25"/>
  <c r="C104" i="25"/>
  <c r="D104" i="25"/>
  <c r="E104" i="25"/>
  <c r="B108" i="25"/>
  <c r="C108" i="25"/>
  <c r="D108" i="25"/>
  <c r="E108" i="25"/>
  <c r="B109" i="25"/>
  <c r="C109" i="25"/>
  <c r="D109" i="25"/>
  <c r="E109" i="25"/>
  <c r="B105" i="25"/>
  <c r="C105" i="25"/>
  <c r="D105" i="25"/>
  <c r="E105" i="25"/>
  <c r="B102" i="25"/>
  <c r="C102" i="25"/>
  <c r="D102" i="25"/>
  <c r="E102" i="25"/>
  <c r="B236" i="25"/>
  <c r="C236" i="25"/>
  <c r="D236" i="25"/>
  <c r="E236" i="25"/>
  <c r="B75" i="25"/>
  <c r="B38" i="25"/>
  <c r="C38" i="25"/>
  <c r="D38" i="25"/>
  <c r="E38" i="25"/>
  <c r="L38" i="25"/>
  <c r="L62" i="25"/>
  <c r="N236" i="25" l="1"/>
  <c r="M52" i="14"/>
  <c r="M5" i="14"/>
  <c r="M7" i="14"/>
  <c r="M8" i="14"/>
  <c r="M9" i="14"/>
  <c r="M10" i="14"/>
  <c r="M11" i="14"/>
  <c r="M12" i="14"/>
  <c r="M13" i="14"/>
  <c r="M14" i="14"/>
  <c r="M18" i="14"/>
  <c r="M19" i="14"/>
  <c r="M20" i="14"/>
  <c r="M21" i="14"/>
  <c r="M22" i="14"/>
  <c r="M23" i="14"/>
  <c r="M24" i="14"/>
  <c r="M25" i="14"/>
  <c r="M27" i="14"/>
  <c r="M28" i="14"/>
  <c r="M29" i="14"/>
  <c r="M32" i="14"/>
  <c r="M33" i="14"/>
  <c r="M34" i="14"/>
  <c r="M37" i="14"/>
  <c r="M38" i="14"/>
  <c r="M39" i="14"/>
  <c r="M41" i="14"/>
  <c r="M43" i="14"/>
  <c r="M44" i="14"/>
  <c r="M45" i="14"/>
  <c r="M46" i="14"/>
  <c r="M47" i="14"/>
  <c r="M48" i="14"/>
  <c r="M49" i="14"/>
  <c r="M50" i="14"/>
  <c r="M53" i="14"/>
  <c r="M54" i="14"/>
  <c r="M55" i="14"/>
  <c r="M56" i="14"/>
  <c r="M57" i="14"/>
  <c r="M58" i="14"/>
  <c r="M59" i="14"/>
  <c r="M60" i="14"/>
  <c r="M61" i="14"/>
  <c r="M62" i="14"/>
  <c r="M64" i="14"/>
  <c r="M65" i="14"/>
  <c r="M66" i="14"/>
  <c r="M67" i="14"/>
  <c r="M68" i="14"/>
  <c r="M69" i="14"/>
  <c r="M70" i="14"/>
  <c r="M71" i="14"/>
  <c r="M72" i="14"/>
  <c r="M73" i="14"/>
  <c r="M74" i="14"/>
  <c r="M75" i="14"/>
  <c r="M76" i="14"/>
  <c r="M77" i="14"/>
  <c r="M78" i="14"/>
  <c r="M79" i="14"/>
  <c r="M80" i="14"/>
  <c r="M81" i="14"/>
  <c r="M82" i="14"/>
  <c r="M83" i="14"/>
  <c r="M84" i="14"/>
  <c r="M87" i="14"/>
  <c r="M88" i="14"/>
  <c r="M89" i="14"/>
  <c r="M90" i="14"/>
  <c r="M91" i="14"/>
  <c r="M92" i="14"/>
  <c r="M93" i="14"/>
  <c r="M94" i="14"/>
  <c r="M95" i="14"/>
  <c r="M96" i="14"/>
  <c r="M97" i="14"/>
  <c r="M98" i="14"/>
  <c r="M99" i="14"/>
  <c r="M100" i="14"/>
  <c r="M101" i="14"/>
  <c r="M102" i="14"/>
  <c r="M103" i="14"/>
  <c r="M104" i="14"/>
  <c r="M105" i="14"/>
  <c r="M106" i="14"/>
  <c r="M107" i="14"/>
  <c r="M108" i="14"/>
  <c r="M109" i="14"/>
  <c r="L60" i="25"/>
  <c r="L52" i="14"/>
  <c r="N52" i="14"/>
  <c r="B10" i="25"/>
  <c r="B45" i="25"/>
  <c r="O8" i="14"/>
  <c r="O9" i="14"/>
  <c r="O10" i="14"/>
  <c r="O12" i="14"/>
  <c r="O16" i="14"/>
  <c r="O17" i="14"/>
  <c r="O21" i="14"/>
  <c r="O22" i="14"/>
  <c r="O23" i="14"/>
  <c r="L5" i="14"/>
  <c r="L7" i="14"/>
  <c r="L8" i="14"/>
  <c r="L9" i="14"/>
  <c r="L10" i="14"/>
  <c r="L11" i="14"/>
  <c r="L12" i="14"/>
  <c r="L13" i="14"/>
  <c r="L14" i="14"/>
  <c r="L16" i="14"/>
  <c r="L17" i="14"/>
  <c r="L18" i="14"/>
  <c r="L19" i="14"/>
  <c r="L20" i="14"/>
  <c r="L21" i="14"/>
  <c r="L22" i="14"/>
  <c r="L23" i="14"/>
  <c r="L24" i="14"/>
  <c r="L25" i="14"/>
  <c r="L27" i="14"/>
  <c r="L28" i="14"/>
  <c r="L29" i="14"/>
  <c r="L30" i="14"/>
  <c r="L31" i="14"/>
  <c r="L32" i="14"/>
  <c r="L33" i="14"/>
  <c r="L34" i="14"/>
  <c r="L37" i="14"/>
  <c r="L38" i="14"/>
  <c r="L39" i="14"/>
  <c r="L41" i="14"/>
  <c r="L43" i="14"/>
  <c r="L44" i="14"/>
  <c r="L45" i="14"/>
  <c r="L46" i="14"/>
  <c r="L47" i="14"/>
  <c r="L48" i="14"/>
  <c r="L49" i="14"/>
  <c r="L50" i="14"/>
  <c r="L53" i="14"/>
  <c r="L54" i="14"/>
  <c r="L55" i="14"/>
  <c r="L56" i="14"/>
  <c r="L58" i="14"/>
  <c r="L59" i="14"/>
  <c r="L60" i="14"/>
  <c r="L61" i="14"/>
  <c r="L62" i="14"/>
  <c r="L64" i="14"/>
  <c r="L65" i="14"/>
  <c r="L66" i="14"/>
  <c r="L67" i="14"/>
  <c r="L68" i="14"/>
  <c r="L69" i="14"/>
  <c r="L70" i="14"/>
  <c r="L71" i="14"/>
  <c r="L72" i="14"/>
  <c r="L73" i="14"/>
  <c r="L74" i="14"/>
  <c r="L75" i="14"/>
  <c r="L76" i="14"/>
  <c r="L77" i="14"/>
  <c r="L78" i="14"/>
  <c r="L79" i="14"/>
  <c r="L80" i="14"/>
  <c r="L81" i="14"/>
  <c r="L82" i="14"/>
  <c r="L83" i="14"/>
  <c r="L84" i="14"/>
  <c r="L86" i="14"/>
  <c r="L87" i="14"/>
  <c r="L88" i="14"/>
  <c r="L89" i="14"/>
  <c r="L90" i="14"/>
  <c r="L91" i="14"/>
  <c r="L92" i="14"/>
  <c r="L93" i="14"/>
  <c r="L94" i="14"/>
  <c r="L95" i="14"/>
  <c r="L96" i="14"/>
  <c r="L97" i="14"/>
  <c r="L98" i="14"/>
  <c r="L99" i="14"/>
  <c r="L100" i="14"/>
  <c r="L101" i="14"/>
  <c r="L102" i="14"/>
  <c r="L103" i="14"/>
  <c r="L104" i="14"/>
  <c r="L105" i="14"/>
  <c r="L106" i="14"/>
  <c r="L107" i="14"/>
  <c r="L108" i="14"/>
  <c r="L109" i="14"/>
  <c r="N76" i="14"/>
  <c r="O76" i="14"/>
  <c r="N69" i="14"/>
  <c r="O69" i="14"/>
  <c r="N70" i="14"/>
  <c r="O70" i="14"/>
  <c r="N71" i="14"/>
  <c r="O71" i="14"/>
  <c r="N72" i="14"/>
  <c r="O72" i="14"/>
  <c r="N73" i="14"/>
  <c r="O73" i="14"/>
  <c r="N74" i="14" l="1"/>
  <c r="O74" i="14"/>
  <c r="P2" i="14" l="1"/>
  <c r="M43" i="25" l="1"/>
  <c r="N43" i="25" s="1"/>
  <c r="A20" i="33" a="1"/>
  <c r="A20" i="33" s="1"/>
  <c r="A21" i="33" a="1"/>
  <c r="A21" i="33" s="1"/>
  <c r="A22" i="33" a="1"/>
  <c r="A22" i="33" s="1"/>
  <c r="A23" i="33" a="1"/>
  <c r="A23" i="33" s="1"/>
  <c r="A8" i="33" a="1"/>
  <c r="A8" i="33" s="1"/>
  <c r="A9" i="33" a="1"/>
  <c r="A9" i="33" s="1"/>
  <c r="A10" i="33" a="1"/>
  <c r="A10" i="33" s="1"/>
  <c r="A11" i="33" a="1"/>
  <c r="A11" i="33" s="1"/>
  <c r="B235" i="25"/>
  <c r="C235" i="25"/>
  <c r="D235" i="25"/>
  <c r="E235" i="25"/>
  <c r="B238" i="25"/>
  <c r="C238" i="25"/>
  <c r="D238" i="25"/>
  <c r="E238" i="25"/>
  <c r="B234" i="25"/>
  <c r="C234" i="25"/>
  <c r="D234" i="25"/>
  <c r="E234" i="25"/>
  <c r="B233" i="25"/>
  <c r="C233" i="25"/>
  <c r="D233" i="25"/>
  <c r="E233" i="25"/>
  <c r="B232" i="25"/>
  <c r="C232" i="25"/>
  <c r="D232" i="25"/>
  <c r="E232" i="25"/>
  <c r="B223" i="25"/>
  <c r="C223" i="25"/>
  <c r="D223" i="25"/>
  <c r="E223" i="25"/>
  <c r="B224" i="25"/>
  <c r="C224" i="25"/>
  <c r="D224" i="25"/>
  <c r="E224" i="25"/>
  <c r="B221" i="25"/>
  <c r="C221" i="25"/>
  <c r="D221" i="25"/>
  <c r="E221" i="25"/>
  <c r="B226" i="25"/>
  <c r="C226" i="25"/>
  <c r="D226" i="25"/>
  <c r="E226" i="25"/>
  <c r="B220" i="25"/>
  <c r="C220" i="25"/>
  <c r="D220" i="25"/>
  <c r="E220" i="25"/>
  <c r="B222" i="25"/>
  <c r="C222" i="25"/>
  <c r="D222" i="25"/>
  <c r="E222" i="25"/>
  <c r="B227" i="25"/>
  <c r="C227" i="25"/>
  <c r="D227" i="25"/>
  <c r="E227" i="25"/>
  <c r="B218" i="25"/>
  <c r="E218" i="25"/>
  <c r="M99" i="25" l="1"/>
  <c r="N99" i="25" s="1"/>
  <c r="M6" i="25"/>
  <c r="M84" i="25"/>
  <c r="N84" i="25" s="1"/>
  <c r="M85" i="25"/>
  <c r="N85" i="25" s="1"/>
  <c r="M38" i="25"/>
  <c r="N38" i="25" s="1"/>
  <c r="M60" i="25"/>
  <c r="N60" i="25" s="1"/>
  <c r="N223" i="25"/>
  <c r="N200" i="25"/>
  <c r="N221" i="25"/>
  <c r="N217" i="25"/>
  <c r="N226" i="25"/>
  <c r="N164" i="25"/>
  <c r="N227" i="25"/>
  <c r="N235" i="25"/>
  <c r="N238" i="25"/>
  <c r="N234" i="25"/>
  <c r="N233" i="25"/>
  <c r="N232" i="25"/>
  <c r="N224" i="25"/>
  <c r="N220" i="25"/>
  <c r="N222" i="25"/>
  <c r="N218" i="25"/>
  <c r="O91" i="14" l="1"/>
  <c r="O93" i="14"/>
  <c r="O94" i="14"/>
  <c r="O95" i="14"/>
  <c r="O97" i="14"/>
  <c r="O103" i="14"/>
  <c r="O104" i="14"/>
  <c r="O105" i="14"/>
  <c r="O106" i="14"/>
  <c r="O107" i="14"/>
  <c r="O108" i="14"/>
  <c r="M22" i="25"/>
  <c r="E182" i="25"/>
  <c r="E76" i="25"/>
  <c r="E42" i="25"/>
  <c r="D182" i="25"/>
  <c r="D76" i="25"/>
  <c r="D42" i="25"/>
  <c r="C182" i="25"/>
  <c r="C76" i="25"/>
  <c r="C42" i="25"/>
  <c r="B157" i="25"/>
  <c r="B182" i="25"/>
  <c r="B76" i="25"/>
  <c r="B42" i="25"/>
  <c r="L76" i="25"/>
  <c r="L42" i="25"/>
  <c r="M20" i="25"/>
  <c r="N237" i="25"/>
  <c r="L83" i="25"/>
  <c r="L29" i="25"/>
  <c r="L110" i="25"/>
  <c r="L30" i="25"/>
  <c r="L31" i="25"/>
  <c r="L37" i="25"/>
  <c r="L35" i="25"/>
  <c r="L27" i="25"/>
  <c r="L22" i="25"/>
  <c r="L19" i="25"/>
  <c r="L20" i="25"/>
  <c r="B200" i="25"/>
  <c r="C200" i="25"/>
  <c r="D200" i="25"/>
  <c r="E200" i="25"/>
  <c r="B213" i="25"/>
  <c r="C213" i="25"/>
  <c r="D213" i="25"/>
  <c r="E213" i="25"/>
  <c r="B214" i="25"/>
  <c r="C214" i="25"/>
  <c r="D214" i="25"/>
  <c r="E214" i="25"/>
  <c r="B210" i="25"/>
  <c r="C210" i="25"/>
  <c r="D210" i="25"/>
  <c r="E210" i="25"/>
  <c r="B206" i="25"/>
  <c r="C206" i="25"/>
  <c r="D206" i="25"/>
  <c r="E206" i="25"/>
  <c r="D202" i="25"/>
  <c r="E202" i="25"/>
  <c r="B207" i="25"/>
  <c r="C207" i="25"/>
  <c r="D207" i="25"/>
  <c r="E207" i="25"/>
  <c r="B209" i="25"/>
  <c r="C209" i="25"/>
  <c r="D209" i="25"/>
  <c r="E209" i="25"/>
  <c r="B208" i="25"/>
  <c r="C208" i="25"/>
  <c r="D208" i="25"/>
  <c r="E208" i="25"/>
  <c r="B211" i="25"/>
  <c r="C211" i="25"/>
  <c r="D211" i="25"/>
  <c r="E211" i="25"/>
  <c r="B205" i="25"/>
  <c r="D205" i="25"/>
  <c r="E205" i="25"/>
  <c r="B212" i="25"/>
  <c r="C212" i="25"/>
  <c r="D212" i="25"/>
  <c r="E212" i="25"/>
  <c r="B203" i="25"/>
  <c r="C203" i="25"/>
  <c r="D203" i="25"/>
  <c r="E203" i="25"/>
  <c r="D194" i="25"/>
  <c r="E194" i="25"/>
  <c r="B196" i="25"/>
  <c r="C196" i="25"/>
  <c r="D196" i="25"/>
  <c r="E196" i="25"/>
  <c r="B195" i="25"/>
  <c r="C195" i="25"/>
  <c r="D195" i="25"/>
  <c r="E195" i="25"/>
  <c r="B198" i="25"/>
  <c r="C198" i="25"/>
  <c r="D198" i="25"/>
  <c r="E198" i="25"/>
  <c r="B197" i="25"/>
  <c r="C197" i="25"/>
  <c r="D197" i="25"/>
  <c r="E197" i="25"/>
  <c r="B199" i="25"/>
  <c r="E199" i="25"/>
  <c r="N119" i="25" l="1"/>
  <c r="N215" i="25"/>
  <c r="H220" i="33"/>
  <c r="K220" i="33"/>
  <c r="J220" i="33"/>
  <c r="I220" i="33"/>
  <c r="N216" i="25"/>
  <c r="N201" i="25"/>
  <c r="M76" i="25"/>
  <c r="N76" i="25" s="1"/>
  <c r="N203" i="25"/>
  <c r="N212" i="25"/>
  <c r="N205" i="25"/>
  <c r="N211" i="25"/>
  <c r="N208" i="25"/>
  <c r="N209" i="25"/>
  <c r="N207" i="25"/>
  <c r="N202" i="25"/>
  <c r="N206" i="25"/>
  <c r="N210" i="25"/>
  <c r="N187" i="25"/>
  <c r="N166" i="25"/>
  <c r="M83" i="25"/>
  <c r="M29" i="25"/>
  <c r="M30" i="25"/>
  <c r="N30" i="25" s="1"/>
  <c r="M110" i="25"/>
  <c r="M27" i="25"/>
  <c r="N27" i="25" s="1"/>
  <c r="M31" i="25"/>
  <c r="N31" i="25" s="1"/>
  <c r="M37" i="25"/>
  <c r="M35" i="25"/>
  <c r="N35" i="25" s="1"/>
  <c r="M7" i="25"/>
  <c r="M19" i="25"/>
  <c r="M42" i="25"/>
  <c r="N22" i="25"/>
  <c r="N191" i="25"/>
  <c r="N213" i="25"/>
  <c r="N214" i="25"/>
  <c r="N197" i="25"/>
  <c r="N194" i="25"/>
  <c r="N196" i="25"/>
  <c r="N198" i="25"/>
  <c r="N37" i="25" l="1"/>
  <c r="N190" i="25"/>
  <c r="G129" i="33"/>
  <c r="N50" i="14" l="1"/>
  <c r="N53" i="14"/>
  <c r="N55" i="14"/>
  <c r="N49" i="14"/>
  <c r="N193" i="25"/>
  <c r="L21" i="25"/>
  <c r="L12" i="25"/>
  <c r="L18" i="25"/>
  <c r="L8" i="25"/>
  <c r="L9" i="25"/>
  <c r="L5" i="25"/>
  <c r="L6" i="25"/>
  <c r="N6" i="25" s="1"/>
  <c r="L13" i="25"/>
  <c r="L23" i="25"/>
  <c r="L49" i="25"/>
  <c r="L28" i="25"/>
  <c r="L32" i="25"/>
  <c r="L26" i="25"/>
  <c r="L34" i="25"/>
  <c r="L39" i="25"/>
  <c r="L40" i="25"/>
  <c r="L41" i="25"/>
  <c r="L33" i="25"/>
  <c r="L36" i="25"/>
  <c r="L47" i="25"/>
  <c r="L48" i="25"/>
  <c r="L25" i="25"/>
  <c r="L44" i="25"/>
  <c r="L46" i="25"/>
  <c r="L51" i="25"/>
  <c r="L50" i="25"/>
  <c r="L45" i="25"/>
  <c r="L10" i="25"/>
  <c r="L11" i="25"/>
  <c r="L4" i="25"/>
  <c r="L54" i="25"/>
  <c r="L61" i="25"/>
  <c r="L57" i="25"/>
  <c r="L56" i="25"/>
  <c r="L63" i="25"/>
  <c r="L65" i="25"/>
  <c r="L66" i="25"/>
  <c r="L64" i="25"/>
  <c r="L68" i="25"/>
  <c r="L58" i="25"/>
  <c r="L59" i="25"/>
  <c r="L55" i="25"/>
  <c r="L67" i="25"/>
  <c r="L70" i="25"/>
  <c r="L73" i="25"/>
  <c r="L24" i="25"/>
  <c r="L71" i="25"/>
  <c r="L72" i="25"/>
  <c r="L78" i="25"/>
  <c r="L80" i="25"/>
  <c r="L79" i="25"/>
  <c r="L77" i="25"/>
  <c r="L81" i="25"/>
  <c r="L75" i="25"/>
  <c r="L82" i="25"/>
  <c r="L74" i="25"/>
  <c r="L86" i="25"/>
  <c r="L87" i="25"/>
  <c r="L88" i="25"/>
  <c r="L89" i="25"/>
  <c r="L98" i="25"/>
  <c r="L95" i="25"/>
  <c r="L94" i="25"/>
  <c r="L97" i="25"/>
  <c r="L100" i="25"/>
  <c r="L101" i="25"/>
  <c r="L103" i="25"/>
  <c r="L104" i="25"/>
  <c r="L108" i="25"/>
  <c r="L109" i="25"/>
  <c r="L105" i="25"/>
  <c r="L102" i="25"/>
  <c r="L106" i="25"/>
  <c r="L107" i="25"/>
  <c r="L111" i="25"/>
  <c r="L112" i="25"/>
  <c r="L90" i="25"/>
  <c r="L93" i="25"/>
  <c r="L91" i="25"/>
  <c r="L92" i="25"/>
  <c r="N131" i="25"/>
  <c r="N174" i="25"/>
  <c r="B177" i="25"/>
  <c r="C177" i="25"/>
  <c r="D177" i="25"/>
  <c r="E177" i="25"/>
  <c r="C180" i="25"/>
  <c r="D180" i="25"/>
  <c r="E180" i="25"/>
  <c r="D184" i="25"/>
  <c r="E184" i="25"/>
  <c r="B178" i="25"/>
  <c r="C178" i="25"/>
  <c r="D178" i="25"/>
  <c r="E178" i="25"/>
  <c r="B179" i="25"/>
  <c r="C179" i="25"/>
  <c r="D179" i="25"/>
  <c r="E179" i="25"/>
  <c r="B175" i="25"/>
  <c r="C175" i="25"/>
  <c r="D175" i="25"/>
  <c r="E175" i="25"/>
  <c r="B176" i="25"/>
  <c r="C176" i="25"/>
  <c r="D176" i="25"/>
  <c r="E176" i="25"/>
  <c r="B173" i="25"/>
  <c r="C173" i="25"/>
  <c r="D173" i="25"/>
  <c r="E173" i="25"/>
  <c r="B162" i="25"/>
  <c r="C162" i="25"/>
  <c r="D162" i="25"/>
  <c r="E162" i="25"/>
  <c r="B163" i="25"/>
  <c r="C163" i="25"/>
  <c r="D163" i="25"/>
  <c r="E163" i="25"/>
  <c r="N214" i="27"/>
  <c r="B183" i="25"/>
  <c r="C183" i="25"/>
  <c r="D183" i="25"/>
  <c r="E183" i="25"/>
  <c r="C157" i="25"/>
  <c r="D157" i="25"/>
  <c r="E157" i="25"/>
  <c r="Q32" i="33"/>
  <c r="B172" i="25"/>
  <c r="C172" i="25"/>
  <c r="D172" i="25"/>
  <c r="E172" i="25"/>
  <c r="B171" i="25"/>
  <c r="C171" i="25"/>
  <c r="D171" i="25"/>
  <c r="E171" i="25"/>
  <c r="B165" i="25"/>
  <c r="C165" i="25"/>
  <c r="D165" i="25"/>
  <c r="E165" i="25"/>
  <c r="B169" i="25"/>
  <c r="B167" i="25"/>
  <c r="C169" i="25"/>
  <c r="C167" i="25"/>
  <c r="D169" i="25"/>
  <c r="D167" i="25"/>
  <c r="E169" i="25"/>
  <c r="E167" i="25"/>
  <c r="B170" i="25"/>
  <c r="C170" i="25"/>
  <c r="D170" i="25"/>
  <c r="E170" i="25"/>
  <c r="B168" i="25"/>
  <c r="C168" i="25"/>
  <c r="D168" i="25"/>
  <c r="E168" i="25"/>
  <c r="N133" i="25" l="1"/>
  <c r="N192" i="25"/>
  <c r="N186" i="25"/>
  <c r="N188" i="25"/>
  <c r="N179" i="25"/>
  <c r="N180" i="25"/>
  <c r="N184" i="25"/>
  <c r="N175" i="25"/>
  <c r="N183" i="25"/>
  <c r="N169" i="25"/>
  <c r="N167" i="25"/>
  <c r="N171" i="25"/>
  <c r="N170" i="25"/>
  <c r="N168" i="25"/>
  <c r="B164" i="25"/>
  <c r="C164" i="25"/>
  <c r="D164" i="25"/>
  <c r="E164" i="25"/>
  <c r="B166" i="25"/>
  <c r="C166" i="25"/>
  <c r="D166" i="25"/>
  <c r="E166" i="25"/>
  <c r="N152" i="25"/>
  <c r="N161" i="25"/>
  <c r="B161" i="25"/>
  <c r="C161" i="25"/>
  <c r="D161" i="25"/>
  <c r="N118" i="25"/>
  <c r="B158" i="25"/>
  <c r="C158" i="25"/>
  <c r="D158" i="25"/>
  <c r="E158" i="25"/>
  <c r="B160" i="25"/>
  <c r="C160" i="25"/>
  <c r="D160" i="25"/>
  <c r="E160" i="25"/>
  <c r="N160" i="25"/>
  <c r="B159" i="25"/>
  <c r="C159" i="25"/>
  <c r="D159" i="25"/>
  <c r="E159" i="25"/>
  <c r="B154" i="25"/>
  <c r="C154" i="25"/>
  <c r="D154" i="25"/>
  <c r="E154" i="25"/>
  <c r="B143" i="25"/>
  <c r="C143" i="25"/>
  <c r="D143" i="25"/>
  <c r="E143" i="25"/>
  <c r="B155" i="25"/>
  <c r="C155" i="25"/>
  <c r="D155" i="25"/>
  <c r="E155" i="25"/>
  <c r="B185" i="25"/>
  <c r="C185" i="25"/>
  <c r="D185" i="25"/>
  <c r="E185" i="25"/>
  <c r="N82" i="14"/>
  <c r="N153" i="25"/>
  <c r="N144" i="25"/>
  <c r="B144" i="25"/>
  <c r="C144" i="25"/>
  <c r="D144" i="25"/>
  <c r="E144" i="25"/>
  <c r="M69" i="25"/>
  <c r="B149" i="25"/>
  <c r="C149" i="25"/>
  <c r="D149" i="25"/>
  <c r="E149" i="25"/>
  <c r="N149" i="25"/>
  <c r="B72" i="25"/>
  <c r="C72" i="25"/>
  <c r="D72" i="25"/>
  <c r="E72" i="25"/>
  <c r="N150" i="25"/>
  <c r="B150" i="25"/>
  <c r="C150" i="25"/>
  <c r="D150" i="25"/>
  <c r="E150" i="25"/>
  <c r="N151" i="25"/>
  <c r="B151" i="25"/>
  <c r="C151" i="25"/>
  <c r="D151" i="25"/>
  <c r="E151" i="25"/>
  <c r="N145" i="25"/>
  <c r="B145" i="25"/>
  <c r="C145" i="25"/>
  <c r="D145" i="25"/>
  <c r="E145" i="25"/>
  <c r="B152" i="25"/>
  <c r="C152" i="25"/>
  <c r="D152" i="25"/>
  <c r="E152" i="25"/>
  <c r="B147" i="25"/>
  <c r="C147" i="25"/>
  <c r="D147" i="25"/>
  <c r="E147" i="25"/>
  <c r="N5" i="14"/>
  <c r="N7" i="14"/>
  <c r="N8" i="14"/>
  <c r="N9" i="14"/>
  <c r="N10" i="14"/>
  <c r="N11" i="14"/>
  <c r="N12" i="14"/>
  <c r="N13" i="14"/>
  <c r="N14" i="14"/>
  <c r="N15" i="14"/>
  <c r="N16" i="14"/>
  <c r="N17" i="14"/>
  <c r="N18" i="14"/>
  <c r="N19" i="14"/>
  <c r="N20" i="14"/>
  <c r="N21" i="14"/>
  <c r="N22" i="14"/>
  <c r="N23" i="14"/>
  <c r="N24" i="14"/>
  <c r="N25" i="14"/>
  <c r="N27" i="14"/>
  <c r="N28" i="14"/>
  <c r="N29" i="14"/>
  <c r="N31" i="14"/>
  <c r="N32" i="14"/>
  <c r="N33" i="14"/>
  <c r="N34" i="14"/>
  <c r="N37" i="14"/>
  <c r="N38" i="14"/>
  <c r="N39" i="14"/>
  <c r="N41" i="14"/>
  <c r="N43" i="14"/>
  <c r="N44" i="14"/>
  <c r="N45" i="14"/>
  <c r="N46" i="14"/>
  <c r="N47" i="14"/>
  <c r="N48" i="14"/>
  <c r="N56" i="14"/>
  <c r="N57" i="14"/>
  <c r="N58" i="14"/>
  <c r="N59" i="14"/>
  <c r="N60" i="14"/>
  <c r="N61" i="14"/>
  <c r="N62" i="14"/>
  <c r="N64" i="14"/>
  <c r="N65" i="14"/>
  <c r="N66" i="14"/>
  <c r="N67" i="14"/>
  <c r="N68" i="14"/>
  <c r="N75" i="14"/>
  <c r="N77" i="14"/>
  <c r="N78" i="14"/>
  <c r="N79" i="14"/>
  <c r="N80" i="14"/>
  <c r="N81" i="14"/>
  <c r="N83" i="14"/>
  <c r="N84" i="14"/>
  <c r="N86" i="14"/>
  <c r="N87" i="14"/>
  <c r="N88" i="14"/>
  <c r="N89" i="14"/>
  <c r="N90" i="14"/>
  <c r="N91" i="14"/>
  <c r="N92" i="14"/>
  <c r="N93" i="14"/>
  <c r="N94" i="14"/>
  <c r="N95" i="14"/>
  <c r="N96" i="14"/>
  <c r="N97" i="14"/>
  <c r="N98" i="14"/>
  <c r="N99" i="14"/>
  <c r="N100" i="14"/>
  <c r="N101" i="14"/>
  <c r="N102" i="14"/>
  <c r="N103" i="14"/>
  <c r="N104" i="14"/>
  <c r="N105" i="14"/>
  <c r="N106" i="14"/>
  <c r="N107" i="14"/>
  <c r="N108" i="14"/>
  <c r="N109" i="14"/>
  <c r="M32" i="25"/>
  <c r="N32" i="25" s="1"/>
  <c r="M36" i="25"/>
  <c r="N36" i="25" s="1"/>
  <c r="M65" i="25"/>
  <c r="N65" i="25" s="1"/>
  <c r="M75" i="25"/>
  <c r="M82" i="25"/>
  <c r="M86" i="25"/>
  <c r="N134" i="25"/>
  <c r="B37" i="25"/>
  <c r="C37" i="25"/>
  <c r="D37" i="25"/>
  <c r="E37" i="25"/>
  <c r="B36" i="25"/>
  <c r="C36" i="25"/>
  <c r="D36" i="25"/>
  <c r="E36" i="25"/>
  <c r="B8" i="25"/>
  <c r="C8" i="25"/>
  <c r="D8" i="25"/>
  <c r="E8" i="25"/>
  <c r="B9" i="25"/>
  <c r="C9" i="25"/>
  <c r="D9" i="25"/>
  <c r="E9" i="25"/>
  <c r="B7" i="25"/>
  <c r="C7" i="25"/>
  <c r="D7" i="25"/>
  <c r="E7" i="25"/>
  <c r="B21" i="25"/>
  <c r="C21" i="25"/>
  <c r="D21" i="25"/>
  <c r="E21" i="25"/>
  <c r="B20" i="25"/>
  <c r="C20" i="25"/>
  <c r="D20" i="25"/>
  <c r="E20" i="25"/>
  <c r="B12" i="25"/>
  <c r="C12" i="25"/>
  <c r="D12" i="25"/>
  <c r="E12" i="25"/>
  <c r="B18" i="25"/>
  <c r="C18" i="25"/>
  <c r="D18" i="25"/>
  <c r="E18" i="25"/>
  <c r="B19" i="25"/>
  <c r="C19" i="25"/>
  <c r="D19" i="25"/>
  <c r="E19" i="25"/>
  <c r="B22" i="25"/>
  <c r="C22" i="25"/>
  <c r="D22" i="25"/>
  <c r="E22" i="25"/>
  <c r="B5" i="25"/>
  <c r="C5" i="25"/>
  <c r="D5" i="25"/>
  <c r="E5" i="25"/>
  <c r="B6" i="25"/>
  <c r="C6" i="25"/>
  <c r="D6" i="25"/>
  <c r="E6" i="25"/>
  <c r="B27" i="25"/>
  <c r="C27" i="25"/>
  <c r="D27" i="25"/>
  <c r="E27" i="25"/>
  <c r="B13" i="25"/>
  <c r="C13" i="25"/>
  <c r="D13" i="25"/>
  <c r="E13" i="25"/>
  <c r="B23" i="25"/>
  <c r="C23" i="25"/>
  <c r="D23" i="25"/>
  <c r="E23" i="25"/>
  <c r="B49" i="25"/>
  <c r="C49" i="25"/>
  <c r="D49" i="25"/>
  <c r="E49" i="25"/>
  <c r="B28" i="25"/>
  <c r="C28" i="25"/>
  <c r="D28" i="25"/>
  <c r="E28" i="25"/>
  <c r="B32" i="25"/>
  <c r="C32" i="25"/>
  <c r="D32" i="25"/>
  <c r="E32" i="25"/>
  <c r="B26" i="25"/>
  <c r="C26" i="25"/>
  <c r="D26" i="25"/>
  <c r="E26" i="25"/>
  <c r="B34" i="25"/>
  <c r="C34" i="25"/>
  <c r="D34" i="25"/>
  <c r="E34" i="25"/>
  <c r="B39" i="25"/>
  <c r="C39" i="25"/>
  <c r="D39" i="25"/>
  <c r="E39" i="25"/>
  <c r="B40" i="25"/>
  <c r="C40" i="25"/>
  <c r="D40" i="25"/>
  <c r="E40" i="25"/>
  <c r="B35" i="25"/>
  <c r="C35" i="25"/>
  <c r="D35" i="25"/>
  <c r="E35" i="25"/>
  <c r="B41" i="25"/>
  <c r="C41" i="25"/>
  <c r="D41" i="25"/>
  <c r="E41" i="25"/>
  <c r="B33" i="25"/>
  <c r="C33" i="25"/>
  <c r="D33" i="25"/>
  <c r="E33" i="25"/>
  <c r="B47" i="25"/>
  <c r="C47" i="25"/>
  <c r="D47" i="25"/>
  <c r="E47" i="25"/>
  <c r="B48" i="25"/>
  <c r="C48" i="25"/>
  <c r="D48" i="25"/>
  <c r="E48" i="25"/>
  <c r="B25" i="25"/>
  <c r="C25" i="25"/>
  <c r="D25" i="25"/>
  <c r="E25" i="25"/>
  <c r="B31" i="25"/>
  <c r="C31" i="25"/>
  <c r="D31" i="25"/>
  <c r="E31" i="25"/>
  <c r="B30" i="25"/>
  <c r="C30" i="25"/>
  <c r="D30" i="25"/>
  <c r="E30" i="25"/>
  <c r="B110" i="25"/>
  <c r="C110" i="25"/>
  <c r="D110" i="25"/>
  <c r="E110" i="25"/>
  <c r="B29" i="25"/>
  <c r="C29" i="25"/>
  <c r="D29" i="25"/>
  <c r="E29" i="25"/>
  <c r="B44" i="25"/>
  <c r="C44" i="25"/>
  <c r="D44" i="25"/>
  <c r="E44" i="25"/>
  <c r="B46" i="25"/>
  <c r="C46" i="25"/>
  <c r="D46" i="25"/>
  <c r="E46" i="25"/>
  <c r="B51" i="25"/>
  <c r="C51" i="25"/>
  <c r="D51" i="25"/>
  <c r="E51" i="25"/>
  <c r="B50" i="25"/>
  <c r="C50" i="25"/>
  <c r="D50" i="25"/>
  <c r="E50" i="25"/>
  <c r="C45" i="25"/>
  <c r="D45" i="25"/>
  <c r="E45" i="25"/>
  <c r="C10" i="25"/>
  <c r="D10" i="25"/>
  <c r="E10" i="25"/>
  <c r="B11" i="25"/>
  <c r="C11" i="25"/>
  <c r="D11" i="25"/>
  <c r="E11" i="25"/>
  <c r="B60" i="25"/>
  <c r="C60" i="25"/>
  <c r="D60" i="25"/>
  <c r="E60" i="25"/>
  <c r="B4" i="25"/>
  <c r="C4" i="25"/>
  <c r="D4" i="25"/>
  <c r="E4" i="25"/>
  <c r="B113" i="25"/>
  <c r="C113" i="25"/>
  <c r="D113" i="25"/>
  <c r="E113" i="25"/>
  <c r="B54" i="25"/>
  <c r="C54" i="25"/>
  <c r="D54" i="25"/>
  <c r="E54" i="25"/>
  <c r="B61" i="25"/>
  <c r="C61" i="25"/>
  <c r="D61" i="25"/>
  <c r="E61" i="25"/>
  <c r="B57" i="25"/>
  <c r="C57" i="25"/>
  <c r="D57" i="25"/>
  <c r="E57" i="25"/>
  <c r="B56" i="25"/>
  <c r="C56" i="25"/>
  <c r="D56" i="25"/>
  <c r="E56" i="25"/>
  <c r="B63" i="25"/>
  <c r="C63" i="25"/>
  <c r="D63" i="25"/>
  <c r="E63" i="25"/>
  <c r="B65" i="25"/>
  <c r="C65" i="25"/>
  <c r="D65" i="25"/>
  <c r="E65" i="25"/>
  <c r="B66" i="25"/>
  <c r="C66" i="25"/>
  <c r="D66" i="25"/>
  <c r="E66" i="25"/>
  <c r="B64" i="25"/>
  <c r="C64" i="25"/>
  <c r="D64" i="25"/>
  <c r="E64" i="25"/>
  <c r="B62" i="25"/>
  <c r="C62" i="25"/>
  <c r="D62" i="25"/>
  <c r="E62" i="25"/>
  <c r="B68" i="25"/>
  <c r="C68" i="25"/>
  <c r="D68" i="25"/>
  <c r="E68" i="25"/>
  <c r="B58" i="25"/>
  <c r="C58" i="25"/>
  <c r="D58" i="25"/>
  <c r="E58" i="25"/>
  <c r="B59" i="25"/>
  <c r="C59" i="25"/>
  <c r="D59" i="25"/>
  <c r="E59" i="25"/>
  <c r="B55" i="25"/>
  <c r="C55" i="25"/>
  <c r="D55" i="25"/>
  <c r="E55" i="25"/>
  <c r="B67" i="25"/>
  <c r="C67" i="25"/>
  <c r="D67" i="25"/>
  <c r="E67" i="25"/>
  <c r="B69" i="25"/>
  <c r="C69" i="25"/>
  <c r="D69" i="25"/>
  <c r="E69" i="25"/>
  <c r="B70" i="25"/>
  <c r="C70" i="25"/>
  <c r="E70" i="25"/>
  <c r="B73" i="25"/>
  <c r="C73" i="25"/>
  <c r="D73" i="25"/>
  <c r="E73" i="25"/>
  <c r="B24" i="25"/>
  <c r="C24" i="25"/>
  <c r="D24" i="25"/>
  <c r="E24" i="25"/>
  <c r="B71" i="25"/>
  <c r="C71" i="25"/>
  <c r="D71" i="25"/>
  <c r="E71" i="25"/>
  <c r="B78" i="25"/>
  <c r="C78" i="25"/>
  <c r="D78" i="25"/>
  <c r="E78" i="25"/>
  <c r="B83" i="25"/>
  <c r="C83" i="25"/>
  <c r="D83" i="25"/>
  <c r="E83" i="25"/>
  <c r="B80" i="25"/>
  <c r="C80" i="25"/>
  <c r="D80" i="25"/>
  <c r="E80" i="25"/>
  <c r="B79" i="25"/>
  <c r="C79" i="25"/>
  <c r="D79" i="25"/>
  <c r="E79" i="25"/>
  <c r="B77" i="25"/>
  <c r="C77" i="25"/>
  <c r="D77" i="25"/>
  <c r="E77" i="25"/>
  <c r="C75" i="25"/>
  <c r="D75" i="25"/>
  <c r="E75" i="25"/>
  <c r="B81" i="25"/>
  <c r="C81" i="25"/>
  <c r="D81" i="25"/>
  <c r="E81" i="25"/>
  <c r="B82" i="25"/>
  <c r="C82" i="25"/>
  <c r="D82" i="25"/>
  <c r="E82" i="25"/>
  <c r="B74" i="25"/>
  <c r="C74" i="25"/>
  <c r="D74" i="25"/>
  <c r="E74" i="25"/>
  <c r="B86" i="25"/>
  <c r="C86" i="25"/>
  <c r="D86" i="25"/>
  <c r="E86" i="25"/>
  <c r="B87" i="25"/>
  <c r="C87" i="25"/>
  <c r="D87" i="25"/>
  <c r="E87" i="25"/>
  <c r="B88" i="25"/>
  <c r="C88" i="25"/>
  <c r="D88" i="25"/>
  <c r="E88" i="25"/>
  <c r="B89" i="25"/>
  <c r="C89" i="25"/>
  <c r="D89" i="25"/>
  <c r="E89" i="25"/>
  <c r="B106" i="25"/>
  <c r="C106" i="25"/>
  <c r="D106" i="25"/>
  <c r="E106" i="25"/>
  <c r="B107" i="25"/>
  <c r="C107" i="25"/>
  <c r="D107" i="25"/>
  <c r="E107" i="25"/>
  <c r="B111" i="25"/>
  <c r="C111" i="25"/>
  <c r="D111" i="25"/>
  <c r="E111" i="25"/>
  <c r="B112" i="25"/>
  <c r="C112" i="25"/>
  <c r="D112" i="25"/>
  <c r="E112" i="25"/>
  <c r="B115" i="25"/>
  <c r="C115" i="25"/>
  <c r="D115" i="25"/>
  <c r="E115" i="25"/>
  <c r="B114" i="25"/>
  <c r="C114" i="25"/>
  <c r="D114" i="25"/>
  <c r="E114" i="25"/>
  <c r="C116" i="25"/>
  <c r="D116" i="25"/>
  <c r="E116" i="25"/>
  <c r="B124" i="25"/>
  <c r="C124" i="25"/>
  <c r="D124" i="25"/>
  <c r="E124" i="25"/>
  <c r="B120" i="25"/>
  <c r="C120" i="25"/>
  <c r="D120" i="25"/>
  <c r="E120" i="25"/>
  <c r="B121" i="25"/>
  <c r="C121" i="25"/>
  <c r="D121" i="25"/>
  <c r="E121" i="25"/>
  <c r="B117" i="25"/>
  <c r="C117" i="25"/>
  <c r="D117" i="25"/>
  <c r="E117" i="25"/>
  <c r="B118" i="25"/>
  <c r="C118" i="25"/>
  <c r="D118" i="25"/>
  <c r="E118" i="25"/>
  <c r="B119" i="25"/>
  <c r="C119" i="25"/>
  <c r="D119" i="25"/>
  <c r="E119" i="25"/>
  <c r="B129" i="25"/>
  <c r="C129" i="25"/>
  <c r="D129" i="25"/>
  <c r="E129" i="25"/>
  <c r="B126" i="25"/>
  <c r="C126" i="25"/>
  <c r="D126" i="25"/>
  <c r="E126" i="25"/>
  <c r="B127" i="25"/>
  <c r="C127" i="25"/>
  <c r="D127" i="25"/>
  <c r="E127" i="25"/>
  <c r="B128" i="25"/>
  <c r="C128" i="25"/>
  <c r="D128" i="25"/>
  <c r="E128" i="25"/>
  <c r="B90" i="25"/>
  <c r="C90" i="25"/>
  <c r="D90" i="25"/>
  <c r="E90" i="25"/>
  <c r="B125" i="25"/>
  <c r="C125" i="25"/>
  <c r="D125" i="25"/>
  <c r="E125" i="25"/>
  <c r="B93" i="25"/>
  <c r="C93" i="25"/>
  <c r="D93" i="25"/>
  <c r="E93" i="25"/>
  <c r="B130" i="25"/>
  <c r="C130" i="25"/>
  <c r="D130" i="25"/>
  <c r="E130" i="25"/>
  <c r="B91" i="25"/>
  <c r="C91" i="25"/>
  <c r="D91" i="25"/>
  <c r="E91" i="25"/>
  <c r="B123" i="25"/>
  <c r="C123" i="25"/>
  <c r="D123" i="25"/>
  <c r="E123" i="25"/>
  <c r="B92" i="25"/>
  <c r="C92" i="25"/>
  <c r="D92" i="25"/>
  <c r="E92" i="25"/>
  <c r="B122" i="25"/>
  <c r="C122" i="25"/>
  <c r="D122" i="25"/>
  <c r="E122" i="25"/>
  <c r="B132" i="25"/>
  <c r="C132" i="25"/>
  <c r="D132" i="25"/>
  <c r="E132" i="25"/>
  <c r="B133" i="25"/>
  <c r="C133" i="25"/>
  <c r="D133" i="25"/>
  <c r="E133" i="25"/>
  <c r="B135" i="25"/>
  <c r="C135" i="25"/>
  <c r="D135" i="25"/>
  <c r="E135" i="25"/>
  <c r="B137" i="25"/>
  <c r="C137" i="25"/>
  <c r="D137" i="25"/>
  <c r="E137" i="25"/>
  <c r="B136" i="25"/>
  <c r="C136" i="25"/>
  <c r="D136" i="25"/>
  <c r="E136" i="25"/>
  <c r="B140" i="25"/>
  <c r="C140" i="25"/>
  <c r="D140" i="25"/>
  <c r="E140" i="25"/>
  <c r="B141" i="25"/>
  <c r="C141" i="25"/>
  <c r="D141" i="25"/>
  <c r="E141" i="25"/>
  <c r="B142" i="25"/>
  <c r="C142" i="25"/>
  <c r="D142" i="25"/>
  <c r="E142" i="25"/>
  <c r="B138" i="25"/>
  <c r="C138" i="25"/>
  <c r="D138" i="25"/>
  <c r="E138" i="25"/>
  <c r="B139" i="25"/>
  <c r="C139" i="25"/>
  <c r="D139" i="25"/>
  <c r="E139" i="25"/>
  <c r="B153" i="25"/>
  <c r="C153" i="25"/>
  <c r="D153" i="25"/>
  <c r="E153" i="25"/>
  <c r="B146" i="25"/>
  <c r="C146" i="25"/>
  <c r="D146" i="25"/>
  <c r="E146" i="25"/>
  <c r="N126" i="25"/>
  <c r="M77" i="25"/>
  <c r="M107" i="25"/>
  <c r="N107" i="25" s="1"/>
  <c r="M93" i="25"/>
  <c r="N125" i="25"/>
  <c r="M104" i="25"/>
  <c r="N104" i="25" s="1"/>
  <c r="M66" i="25"/>
  <c r="N66" i="25" s="1"/>
  <c r="L186" i="27" l="1"/>
  <c r="M186" i="27" s="1"/>
  <c r="L166" i="27"/>
  <c r="M166" i="27" s="1"/>
  <c r="L156" i="27"/>
  <c r="L159" i="27"/>
  <c r="M159" i="27" s="1"/>
  <c r="L160" i="27"/>
  <c r="M160" i="27" s="1"/>
  <c r="L161" i="27"/>
  <c r="M161" i="27" s="1"/>
  <c r="L157" i="27"/>
  <c r="M157" i="27" s="1"/>
  <c r="L162" i="27"/>
  <c r="M162" i="27" s="1"/>
  <c r="L158" i="27"/>
  <c r="M158" i="27" s="1"/>
  <c r="L163" i="27"/>
  <c r="M163" i="27" s="1"/>
  <c r="L165" i="27"/>
  <c r="M165" i="27" s="1"/>
  <c r="L164" i="27"/>
  <c r="M164" i="27" s="1"/>
  <c r="L177" i="27"/>
  <c r="M177" i="27" s="1"/>
  <c r="L178" i="27"/>
  <c r="M178" i="27" s="1"/>
  <c r="L174" i="27"/>
  <c r="M174" i="27" s="1"/>
  <c r="L173" i="27"/>
  <c r="M173" i="27" s="1"/>
  <c r="L176" i="27"/>
  <c r="M176" i="27" s="1"/>
  <c r="L175" i="27"/>
  <c r="M175" i="27" s="1"/>
  <c r="L179" i="27"/>
  <c r="M179" i="27" s="1"/>
  <c r="L171" i="27"/>
  <c r="M171" i="27" s="1"/>
  <c r="L172" i="27"/>
  <c r="M172" i="27" s="1"/>
  <c r="L180" i="27"/>
  <c r="M180" i="27" s="1"/>
  <c r="L213" i="27"/>
  <c r="M213" i="27" s="1"/>
  <c r="L115" i="27"/>
  <c r="L25" i="27"/>
  <c r="L212" i="27"/>
  <c r="M212" i="27" s="1"/>
  <c r="L204" i="27"/>
  <c r="M204" i="27" s="1"/>
  <c r="L203" i="27"/>
  <c r="M203" i="27" s="1"/>
  <c r="L202" i="27"/>
  <c r="M202" i="27" s="1"/>
  <c r="L210" i="27"/>
  <c r="M210" i="27" s="1"/>
  <c r="L211" i="27"/>
  <c r="M211" i="27" s="1"/>
  <c r="L209" i="27"/>
  <c r="M209" i="27" s="1"/>
  <c r="L205" i="27"/>
  <c r="M205" i="27" s="1"/>
  <c r="L201" i="27"/>
  <c r="L206" i="27"/>
  <c r="L207" i="27"/>
  <c r="L208" i="27"/>
  <c r="L200" i="27"/>
  <c r="L72" i="27"/>
  <c r="L199" i="27"/>
  <c r="L198" i="27"/>
  <c r="L197" i="27"/>
  <c r="L196" i="27"/>
  <c r="L195" i="27"/>
  <c r="L194" i="27"/>
  <c r="L193" i="27"/>
  <c r="L169" i="27"/>
  <c r="L167" i="27"/>
  <c r="L168" i="27"/>
  <c r="L181" i="27"/>
  <c r="L187" i="27"/>
  <c r="L192" i="27"/>
  <c r="L191" i="27"/>
  <c r="L190" i="27"/>
  <c r="L189" i="27"/>
  <c r="P15" i="14"/>
  <c r="P4" i="14"/>
  <c r="L170" i="27"/>
  <c r="L188" i="27"/>
  <c r="L185" i="27"/>
  <c r="L184" i="27"/>
  <c r="L183" i="27"/>
  <c r="L182" i="27"/>
  <c r="P85" i="14"/>
  <c r="L109" i="27"/>
  <c r="L108" i="27"/>
  <c r="L111" i="27"/>
  <c r="L65" i="27"/>
  <c r="L119" i="27"/>
  <c r="L110" i="27"/>
  <c r="L107" i="27"/>
  <c r="L97" i="27"/>
  <c r="L96" i="27"/>
  <c r="L94" i="27"/>
  <c r="L79" i="27"/>
  <c r="L77" i="27"/>
  <c r="L64" i="27"/>
  <c r="L54" i="27"/>
  <c r="L45" i="27"/>
  <c r="L39" i="27"/>
  <c r="L38" i="27"/>
  <c r="L37" i="27"/>
  <c r="L35" i="27"/>
  <c r="L33" i="27"/>
  <c r="L32" i="27"/>
  <c r="L31" i="27"/>
  <c r="L30" i="27"/>
  <c r="L29" i="27"/>
  <c r="L28" i="27"/>
  <c r="M28" i="27" s="1"/>
  <c r="L26" i="27"/>
  <c r="L24" i="27"/>
  <c r="L18" i="27"/>
  <c r="L16" i="27"/>
  <c r="L15" i="27"/>
  <c r="L13" i="27"/>
  <c r="P6" i="14"/>
  <c r="P40" i="14"/>
  <c r="P51" i="14"/>
  <c r="P63" i="14"/>
  <c r="P42" i="14"/>
  <c r="P35" i="14"/>
  <c r="P36" i="14"/>
  <c r="L69" i="27"/>
  <c r="L71" i="27"/>
  <c r="L70" i="27"/>
  <c r="P52" i="14"/>
  <c r="P32" i="14"/>
  <c r="P76" i="14"/>
  <c r="Q76" i="14" s="1"/>
  <c r="P71" i="14"/>
  <c r="Q71" i="14" s="1"/>
  <c r="P69" i="14"/>
  <c r="Q69" i="14" s="1"/>
  <c r="P72" i="14"/>
  <c r="Q72" i="14" s="1"/>
  <c r="P73" i="14"/>
  <c r="Q73" i="14" s="1"/>
  <c r="P70" i="14"/>
  <c r="Q70" i="14" s="1"/>
  <c r="P74" i="14"/>
  <c r="Q74" i="14" s="1"/>
  <c r="L7" i="25"/>
  <c r="L329" i="25" s="1"/>
  <c r="N199" i="25"/>
  <c r="N189" i="25"/>
  <c r="N181" i="25"/>
  <c r="N177" i="25"/>
  <c r="N178" i="25"/>
  <c r="N162" i="25"/>
  <c r="N165" i="25"/>
  <c r="M71" i="25"/>
  <c r="N185" i="25"/>
  <c r="N155" i="25"/>
  <c r="N154" i="25"/>
  <c r="M70" i="25"/>
  <c r="M72" i="25"/>
  <c r="N72" i="25" s="1"/>
  <c r="N146" i="25"/>
  <c r="N128" i="25"/>
  <c r="M94" i="25"/>
  <c r="N94" i="25" s="1"/>
  <c r="M39" i="25"/>
  <c r="M105" i="25"/>
  <c r="N105" i="25" s="1"/>
  <c r="M8" i="25"/>
  <c r="N8" i="25" s="1"/>
  <c r="M112" i="25"/>
  <c r="M96" i="25"/>
  <c r="N96" i="25" s="1"/>
  <c r="M111" i="25"/>
  <c r="N142" i="25"/>
  <c r="N141" i="25"/>
  <c r="N15" i="25"/>
  <c r="M156" i="27" l="1"/>
  <c r="L214" i="27"/>
  <c r="O85" i="14"/>
  <c r="Q85" i="14" s="1"/>
  <c r="P26" i="14"/>
  <c r="M32" i="27"/>
  <c r="M199" i="27"/>
  <c r="M97" i="27"/>
  <c r="M35" i="27"/>
  <c r="M167" i="27"/>
  <c r="M37" i="27"/>
  <c r="M169" i="27"/>
  <c r="M71" i="27"/>
  <c r="M24" i="27"/>
  <c r="M65" i="27"/>
  <c r="M108" i="27"/>
  <c r="M64" i="27"/>
  <c r="M191" i="27"/>
  <c r="M207" i="27"/>
  <c r="M29" i="27"/>
  <c r="M77" i="27"/>
  <c r="M192" i="27"/>
  <c r="M196" i="27"/>
  <c r="M206" i="27"/>
  <c r="M96" i="27"/>
  <c r="M33" i="27"/>
  <c r="M72" i="27"/>
  <c r="M16" i="27"/>
  <c r="M170" i="27"/>
  <c r="M18" i="27"/>
  <c r="M119" i="27"/>
  <c r="M200" i="27"/>
  <c r="M39" i="27"/>
  <c r="M194" i="27"/>
  <c r="O7" i="14"/>
  <c r="M45" i="27"/>
  <c r="M195" i="27"/>
  <c r="M54" i="27"/>
  <c r="M30" i="27"/>
  <c r="M79" i="27"/>
  <c r="M182" i="27"/>
  <c r="M187" i="27"/>
  <c r="M197" i="27"/>
  <c r="M201" i="27"/>
  <c r="M184" i="27"/>
  <c r="M168" i="27"/>
  <c r="M13" i="27"/>
  <c r="M185" i="27"/>
  <c r="M15" i="27"/>
  <c r="M188" i="27"/>
  <c r="M70" i="27"/>
  <c r="M110" i="27"/>
  <c r="M38" i="27"/>
  <c r="M193" i="27"/>
  <c r="M69" i="27"/>
  <c r="M25" i="27"/>
  <c r="M189" i="27"/>
  <c r="M26" i="27"/>
  <c r="M190" i="27"/>
  <c r="M208" i="27"/>
  <c r="M31" i="27"/>
  <c r="M94" i="27"/>
  <c r="M183" i="27"/>
  <c r="M181" i="27"/>
  <c r="M198" i="27"/>
  <c r="M107" i="27"/>
  <c r="N39" i="25"/>
  <c r="N127" i="25"/>
  <c r="M101" i="25"/>
  <c r="N101" i="25" s="1"/>
  <c r="A172" i="33" l="1" a="1"/>
  <c r="A172" i="33" s="1"/>
  <c r="N217" i="33"/>
  <c r="L217" i="33"/>
  <c r="J217" i="33"/>
  <c r="H217" i="33"/>
  <c r="G217" i="33"/>
  <c r="F217" i="33"/>
  <c r="D221" i="33"/>
  <c r="J223" i="33"/>
  <c r="E227" i="33"/>
  <c r="M81" i="25"/>
  <c r="M89" i="25" l="1"/>
  <c r="N89" i="25" s="1"/>
  <c r="M91" i="25"/>
  <c r="G220" i="33"/>
  <c r="J221" i="33"/>
  <c r="H223" i="33"/>
  <c r="K227" i="33"/>
  <c r="F220" i="33"/>
  <c r="I221" i="33"/>
  <c r="G223" i="33"/>
  <c r="J227" i="33"/>
  <c r="M220" i="33"/>
  <c r="E220" i="33"/>
  <c r="H221" i="33"/>
  <c r="F223" i="33"/>
  <c r="I227" i="33"/>
  <c r="L220" i="33"/>
  <c r="D220" i="33"/>
  <c r="G221" i="33"/>
  <c r="M223" i="33"/>
  <c r="E223" i="33"/>
  <c r="H227" i="33"/>
  <c r="C220" i="33"/>
  <c r="F221" i="33"/>
  <c r="L223" i="33"/>
  <c r="D223" i="33"/>
  <c r="G227" i="33"/>
  <c r="K221" i="33"/>
  <c r="D227" i="33"/>
  <c r="B220" i="33"/>
  <c r="M221" i="33"/>
  <c r="E221" i="33"/>
  <c r="K223" i="33"/>
  <c r="F227" i="33"/>
  <c r="I223" i="33"/>
  <c r="L227" i="33"/>
  <c r="L221" i="33"/>
  <c r="M227" i="33"/>
  <c r="N229" i="33" l="1"/>
  <c r="J229" i="33"/>
  <c r="I229" i="33"/>
  <c r="C229" i="33"/>
  <c r="K229" i="33"/>
  <c r="B229" i="33"/>
  <c r="E229" i="33"/>
  <c r="M229" i="33"/>
  <c r="G229" i="33"/>
  <c r="H229" i="33"/>
  <c r="D229" i="33"/>
  <c r="L229" i="33"/>
  <c r="F229" i="33"/>
  <c r="M87" i="25"/>
  <c r="H141" i="33"/>
  <c r="J129" i="33"/>
  <c r="H129" i="33"/>
  <c r="A207" i="33" a="1"/>
  <c r="A207" i="33" s="1"/>
  <c r="A208" i="33" a="1"/>
  <c r="A208" i="33" s="1"/>
  <c r="A209" i="33" a="1"/>
  <c r="A209" i="33" s="1"/>
  <c r="D209" i="33" s="1"/>
  <c r="A210" i="33" a="1"/>
  <c r="A210" i="33" s="1"/>
  <c r="D210" i="33" s="1"/>
  <c r="A206" i="33" a="1"/>
  <c r="A206" i="33" s="1"/>
  <c r="D206" i="33" s="1"/>
  <c r="N203" i="33"/>
  <c r="L203" i="33"/>
  <c r="J203" i="33"/>
  <c r="H203" i="33"/>
  <c r="G203" i="33"/>
  <c r="F203" i="33"/>
  <c r="C206" i="33" l="1"/>
  <c r="F206" i="33"/>
  <c r="G206" i="33"/>
  <c r="H206" i="33"/>
  <c r="I206" i="33"/>
  <c r="C207" i="33"/>
  <c r="J206" i="33"/>
  <c r="L206" i="33"/>
  <c r="C208" i="33"/>
  <c r="K206" i="33"/>
  <c r="E206" i="33"/>
  <c r="B209" i="33"/>
  <c r="C209" i="33"/>
  <c r="M206" i="33"/>
  <c r="C210" i="33"/>
  <c r="B210" i="33"/>
  <c r="D207" i="33"/>
  <c r="B207" i="33"/>
  <c r="D208" i="33"/>
  <c r="B208" i="33"/>
  <c r="N20" i="25"/>
  <c r="N117" i="25"/>
  <c r="N173" i="25"/>
  <c r="N132" i="25"/>
  <c r="N122" i="25"/>
  <c r="N91" i="25"/>
  <c r="N130" i="25"/>
  <c r="N93" i="25"/>
  <c r="M95" i="25" l="1"/>
  <c r="N95" i="25" s="1"/>
  <c r="M59" i="25"/>
  <c r="N59" i="25" s="1"/>
  <c r="N129" i="25" l="1"/>
  <c r="M68" i="25"/>
  <c r="N68" i="25" s="1"/>
  <c r="M58" i="25"/>
  <c r="N58" i="25" s="1"/>
  <c r="M106" i="25"/>
  <c r="N106" i="25" s="1"/>
  <c r="M73" i="25"/>
  <c r="N73" i="25" s="1"/>
  <c r="A168" i="33" a="1"/>
  <c r="A168" i="33" s="1"/>
  <c r="N153" i="33"/>
  <c r="L153" i="33"/>
  <c r="J153" i="33"/>
  <c r="H153" i="33"/>
  <c r="G153" i="33"/>
  <c r="F153" i="33"/>
  <c r="C168" i="33" l="1"/>
  <c r="K168" i="33"/>
  <c r="D168" i="33"/>
  <c r="L168" i="33"/>
  <c r="E168" i="33"/>
  <c r="M168" i="33"/>
  <c r="F168" i="33"/>
  <c r="J168" i="33"/>
  <c r="G168" i="33"/>
  <c r="H168" i="33"/>
  <c r="I168" i="33"/>
  <c r="M97" i="25"/>
  <c r="N97" i="25" s="1"/>
  <c r="M88" i="25"/>
  <c r="N114" i="25" l="1"/>
  <c r="N77" i="25"/>
  <c r="N111" i="25"/>
  <c r="N112" i="25"/>
  <c r="N71" i="25"/>
  <c r="N86" i="25"/>
  <c r="N79" i="25"/>
  <c r="N80" i="25"/>
  <c r="N69" i="25"/>
  <c r="N70" i="25"/>
  <c r="N87" i="25"/>
  <c r="N88" i="25"/>
  <c r="N81" i="25"/>
  <c r="N75" i="25"/>
  <c r="N82" i="25"/>
  <c r="A157" i="33" a="1"/>
  <c r="A157" i="33" s="1"/>
  <c r="A158" i="33" a="1"/>
  <c r="A158" i="33" s="1"/>
  <c r="A159" i="33" a="1"/>
  <c r="A159" i="33" s="1"/>
  <c r="A160" i="33" a="1"/>
  <c r="A160" i="33" s="1"/>
  <c r="M78" i="25" l="1"/>
  <c r="N78" i="25" s="1"/>
  <c r="M50" i="25"/>
  <c r="N50" i="25" s="1"/>
  <c r="M48" i="25"/>
  <c r="N48" i="25" s="1"/>
  <c r="M5" i="25"/>
  <c r="M100" i="25"/>
  <c r="N100" i="25" s="1"/>
  <c r="M62" i="25"/>
  <c r="N62" i="25" s="1"/>
  <c r="M55" i="25"/>
  <c r="N55" i="25" s="1"/>
  <c r="N5" i="25" l="1"/>
  <c r="N172" i="25"/>
  <c r="M25" i="25"/>
  <c r="N25" i="25" s="1"/>
  <c r="M74" i="25" l="1"/>
  <c r="N74" i="25" s="1"/>
  <c r="N123" i="25"/>
  <c r="M64" i="25"/>
  <c r="N64" i="25" s="1"/>
  <c r="N143" i="25" l="1"/>
  <c r="S3" i="11"/>
  <c r="M90" i="25"/>
  <c r="N90" i="25" s="1"/>
  <c r="N182" i="25" l="1"/>
  <c r="N42" i="25"/>
  <c r="N157" i="25"/>
  <c r="N147" i="25"/>
  <c r="M51" i="25"/>
  <c r="N51" i="25" s="1"/>
  <c r="M102" i="25"/>
  <c r="N102" i="25" s="1"/>
  <c r="M47" i="25"/>
  <c r="M40" i="25"/>
  <c r="N40" i="25" s="1"/>
  <c r="M24" i="25"/>
  <c r="N47" i="25" l="1"/>
  <c r="N24" i="25"/>
  <c r="F27" i="16"/>
  <c r="N189" i="33"/>
  <c r="L189" i="33"/>
  <c r="J189" i="33"/>
  <c r="H189" i="33"/>
  <c r="G189" i="33"/>
  <c r="F189" i="33"/>
  <c r="N177" i="33"/>
  <c r="L177" i="33"/>
  <c r="J177" i="33"/>
  <c r="H177" i="33"/>
  <c r="G177" i="33"/>
  <c r="F177" i="33"/>
  <c r="N165" i="33"/>
  <c r="L165" i="33"/>
  <c r="J165" i="33"/>
  <c r="H165" i="33"/>
  <c r="G165" i="33"/>
  <c r="F165" i="33"/>
  <c r="N141" i="33"/>
  <c r="L141" i="33"/>
  <c r="J141" i="33"/>
  <c r="G141" i="33"/>
  <c r="F141" i="33"/>
  <c r="N129" i="33"/>
  <c r="L129" i="33"/>
  <c r="F129" i="33"/>
  <c r="N117" i="33"/>
  <c r="L117" i="33"/>
  <c r="J117" i="33"/>
  <c r="H117" i="33"/>
  <c r="G117" i="33"/>
  <c r="F117" i="33"/>
  <c r="N105" i="33"/>
  <c r="L105" i="33"/>
  <c r="J105" i="33"/>
  <c r="H105" i="33"/>
  <c r="G105" i="33"/>
  <c r="F105" i="33"/>
  <c r="N91" i="33"/>
  <c r="L91" i="33"/>
  <c r="J91" i="33"/>
  <c r="H91" i="33"/>
  <c r="G91" i="33"/>
  <c r="F91" i="33"/>
  <c r="N79" i="33"/>
  <c r="L79" i="33"/>
  <c r="J79" i="33"/>
  <c r="H79" i="33"/>
  <c r="G79" i="33"/>
  <c r="F79" i="33"/>
  <c r="N60" i="33"/>
  <c r="L60" i="33"/>
  <c r="J60" i="33"/>
  <c r="H60" i="33"/>
  <c r="G60" i="33"/>
  <c r="F60" i="33"/>
  <c r="N48" i="33"/>
  <c r="L48" i="33"/>
  <c r="J48" i="33"/>
  <c r="H48" i="33"/>
  <c r="G48" i="33"/>
  <c r="F48" i="33"/>
  <c r="N29" i="33"/>
  <c r="L29" i="33"/>
  <c r="J29" i="33"/>
  <c r="H29" i="33"/>
  <c r="G29" i="33"/>
  <c r="F29" i="33"/>
  <c r="N16" i="33"/>
  <c r="L16" i="33"/>
  <c r="J16" i="33"/>
  <c r="H16" i="33"/>
  <c r="G16" i="33"/>
  <c r="F16" i="33"/>
  <c r="M34" i="25" l="1"/>
  <c r="N34" i="25" s="1"/>
  <c r="N158" i="25"/>
  <c r="M41" i="25" l="1"/>
  <c r="N41" i="25" s="1"/>
  <c r="N159" i="25"/>
  <c r="I208" i="33"/>
  <c r="L209" i="33"/>
  <c r="K208" i="33"/>
  <c r="F207" i="33"/>
  <c r="J209" i="33"/>
  <c r="J208" i="33"/>
  <c r="F209" i="33"/>
  <c r="I207" i="33"/>
  <c r="G208" i="33"/>
  <c r="G207" i="33"/>
  <c r="H210" i="33"/>
  <c r="E209" i="33"/>
  <c r="G210" i="33"/>
  <c r="E207" i="33"/>
  <c r="G209" i="33"/>
  <c r="K207" i="33"/>
  <c r="H207" i="33"/>
  <c r="J210" i="33"/>
  <c r="I209" i="33"/>
  <c r="L210" i="33"/>
  <c r="K210" i="33"/>
  <c r="L207" i="33"/>
  <c r="L208" i="33"/>
  <c r="K209" i="33"/>
  <c r="F210" i="33"/>
  <c r="M207" i="33"/>
  <c r="M209" i="33"/>
  <c r="E208" i="33"/>
  <c r="F208" i="33"/>
  <c r="M210" i="33"/>
  <c r="E210" i="33"/>
  <c r="H208" i="33"/>
  <c r="I210" i="33"/>
  <c r="M208" i="33"/>
  <c r="B206" i="33"/>
  <c r="J207" i="33"/>
  <c r="H209" i="33"/>
  <c r="N214" i="33" l="1"/>
  <c r="E214" i="33"/>
  <c r="D214" i="33"/>
  <c r="B214" i="33"/>
  <c r="K214" i="33"/>
  <c r="G214" i="33"/>
  <c r="C214" i="33"/>
  <c r="F214" i="33"/>
  <c r="M214" i="33"/>
  <c r="L214" i="33"/>
  <c r="J214" i="33"/>
  <c r="H214" i="33"/>
  <c r="I214" i="33"/>
  <c r="K110" i="14"/>
  <c r="N176" i="25"/>
  <c r="M18" i="25" l="1"/>
  <c r="N120" i="25"/>
  <c r="M44" i="25"/>
  <c r="N44" i="25" s="1"/>
  <c r="N4" i="33"/>
  <c r="L4" i="33"/>
  <c r="J4" i="33"/>
  <c r="H4" i="33"/>
  <c r="G4" i="33"/>
  <c r="F4" i="33"/>
  <c r="N18" i="25" l="1"/>
  <c r="N163" i="25"/>
  <c r="N29" i="25" l="1"/>
  <c r="N83" i="25"/>
  <c r="N19" i="25"/>
  <c r="N7" i="25"/>
  <c r="N115" i="25"/>
  <c r="N110" i="25"/>
  <c r="N156" i="25"/>
  <c r="M49" i="25"/>
  <c r="N49" i="25" s="1"/>
  <c r="M10" i="25"/>
  <c r="N10" i="25" s="1"/>
  <c r="M23" i="25"/>
  <c r="N23" i="25" s="1"/>
  <c r="N113" i="25"/>
  <c r="M33" i="25"/>
  <c r="M63" i="25"/>
  <c r="N63" i="25" s="1"/>
  <c r="M45" i="25"/>
  <c r="N45" i="25" s="1"/>
  <c r="M13" i="25"/>
  <c r="N13" i="25" s="1"/>
  <c r="M4" i="25"/>
  <c r="M61" i="25"/>
  <c r="N61" i="25" s="1"/>
  <c r="M54" i="25"/>
  <c r="N54" i="25" s="1"/>
  <c r="M28" i="25"/>
  <c r="N28" i="25" s="1"/>
  <c r="M109" i="25"/>
  <c r="N109" i="25" s="1"/>
  <c r="M103" i="25"/>
  <c r="N103" i="25" s="1"/>
  <c r="M108" i="25"/>
  <c r="N108" i="25" s="1"/>
  <c r="M57" i="25"/>
  <c r="N57" i="25" s="1"/>
  <c r="M26" i="25"/>
  <c r="M67" i="25"/>
  <c r="N67" i="25" s="1"/>
  <c r="M98" i="25"/>
  <c r="N98" i="25" s="1"/>
  <c r="M11" i="25"/>
  <c r="N11" i="25" s="1"/>
  <c r="N116" i="25"/>
  <c r="N124" i="25"/>
  <c r="M56" i="25"/>
  <c r="N56" i="25" s="1"/>
  <c r="M9" i="25"/>
  <c r="N9" i="25" s="1"/>
  <c r="M46" i="25"/>
  <c r="N46" i="25" s="1"/>
  <c r="M12" i="25"/>
  <c r="H172" i="33"/>
  <c r="D172" i="33"/>
  <c r="E172" i="33"/>
  <c r="C172" i="33"/>
  <c r="I172" i="33"/>
  <c r="J172" i="33"/>
  <c r="G172" i="33"/>
  <c r="F172" i="33"/>
  <c r="K172" i="33"/>
  <c r="L172" i="33"/>
  <c r="B172" i="33"/>
  <c r="M172" i="33"/>
  <c r="N4" i="25" l="1"/>
  <c r="N26" i="25"/>
  <c r="N12" i="25"/>
  <c r="N33" i="25"/>
  <c r="N121" i="25"/>
  <c r="G34" i="33" l="1"/>
  <c r="I42" i="33"/>
  <c r="A32" i="33" a="1"/>
  <c r="A32" i="33" s="1"/>
  <c r="A193" i="33" a="1"/>
  <c r="A193" i="33" s="1"/>
  <c r="A194" i="33" a="1"/>
  <c r="A194" i="33" s="1"/>
  <c r="A192" i="33" a="1"/>
  <c r="A192" i="33" s="1"/>
  <c r="D192" i="33" s="1"/>
  <c r="A181" i="33" a="1"/>
  <c r="A181" i="33" s="1"/>
  <c r="A182" i="33" a="1"/>
  <c r="A182" i="33" s="1"/>
  <c r="A183" i="33" a="1"/>
  <c r="A183" i="33" s="1"/>
  <c r="A184" i="33" a="1"/>
  <c r="A184" i="33" s="1"/>
  <c r="A180" i="33" a="1"/>
  <c r="A180" i="33" s="1"/>
  <c r="A169" i="33" a="1"/>
  <c r="A169" i="33" s="1"/>
  <c r="D169" i="33" s="1"/>
  <c r="A170" i="33" a="1"/>
  <c r="A170" i="33" s="1"/>
  <c r="A171" i="33" a="1"/>
  <c r="A171" i="33" s="1"/>
  <c r="A156" i="33" a="1"/>
  <c r="A156" i="33" s="1"/>
  <c r="A145" i="33" a="1"/>
  <c r="A145" i="33" s="1"/>
  <c r="D145" i="33" s="1"/>
  <c r="A146" i="33" a="1"/>
  <c r="A146" i="33" s="1"/>
  <c r="A147" i="33" a="1"/>
  <c r="A147" i="33" s="1"/>
  <c r="A148" i="33" a="1"/>
  <c r="A148" i="33" s="1"/>
  <c r="A144" i="33" a="1"/>
  <c r="A144" i="33" s="1"/>
  <c r="A133" i="33" a="1"/>
  <c r="A133" i="33" s="1"/>
  <c r="A134" i="33" a="1"/>
  <c r="A134" i="33" s="1"/>
  <c r="A135" i="33" a="1"/>
  <c r="A135" i="33" s="1"/>
  <c r="A136" i="33" a="1"/>
  <c r="A136" i="33" s="1"/>
  <c r="A132" i="33" a="1"/>
  <c r="A132" i="33" s="1"/>
  <c r="A121" i="33" a="1"/>
  <c r="A121" i="33" s="1"/>
  <c r="A122" i="33" a="1"/>
  <c r="A122" i="33" s="1"/>
  <c r="A123" i="33" a="1"/>
  <c r="A123" i="33" s="1"/>
  <c r="A124" i="33" a="1"/>
  <c r="A124" i="33" s="1"/>
  <c r="A120" i="33" a="1"/>
  <c r="A120" i="33" s="1"/>
  <c r="A109" i="33" a="1"/>
  <c r="A109" i="33" s="1"/>
  <c r="A110" i="33" a="1"/>
  <c r="A110" i="33" s="1"/>
  <c r="A111" i="33" a="1"/>
  <c r="A111" i="33" s="1"/>
  <c r="A112" i="33" a="1"/>
  <c r="A112" i="33" s="1"/>
  <c r="A108" i="33" a="1"/>
  <c r="A108" i="33" s="1"/>
  <c r="A95" i="33" a="1"/>
  <c r="A95" i="33" s="1"/>
  <c r="A96" i="33" a="1"/>
  <c r="A96" i="33" s="1"/>
  <c r="A97" i="33" a="1"/>
  <c r="A97" i="33" s="1"/>
  <c r="A98" i="33" a="1"/>
  <c r="A98" i="33" s="1"/>
  <c r="A94" i="33" a="1"/>
  <c r="A94" i="33" s="1"/>
  <c r="A83" i="33" a="1"/>
  <c r="A83" i="33" s="1"/>
  <c r="A84" i="33" a="1"/>
  <c r="A84" i="33" s="1"/>
  <c r="A85" i="33" a="1"/>
  <c r="A85" i="33" s="1"/>
  <c r="A86" i="33" a="1"/>
  <c r="A86" i="33" s="1"/>
  <c r="B86" i="33" s="1"/>
  <c r="A82" i="33" a="1"/>
  <c r="A82" i="33" s="1"/>
  <c r="A64" i="33" a="1"/>
  <c r="A64" i="33" s="1"/>
  <c r="A65" i="33" a="1"/>
  <c r="A65" i="33" s="1"/>
  <c r="A66" i="33" a="1"/>
  <c r="A66" i="33" s="1"/>
  <c r="A67" i="33" a="1"/>
  <c r="A67" i="33" s="1"/>
  <c r="G67" i="33" s="1"/>
  <c r="A63" i="33" a="1"/>
  <c r="A63" i="33" s="1"/>
  <c r="A52" i="33" a="1"/>
  <c r="A52" i="33" s="1"/>
  <c r="A53" i="33" a="1"/>
  <c r="A53" i="33" s="1"/>
  <c r="A54" i="33" a="1"/>
  <c r="A54" i="33" s="1"/>
  <c r="A55" i="33" a="1"/>
  <c r="A55" i="33" s="1"/>
  <c r="A51" i="33" a="1"/>
  <c r="A51" i="33" s="1"/>
  <c r="G51" i="33" s="1"/>
  <c r="A19" i="33" a="1"/>
  <c r="A19" i="33" s="1"/>
  <c r="A7" i="33" a="1"/>
  <c r="A7" i="33" s="1"/>
  <c r="B41" i="33" l="1"/>
  <c r="B33" i="33"/>
  <c r="B34" i="33"/>
  <c r="B35" i="33"/>
  <c r="B36" i="33"/>
  <c r="B37" i="33"/>
  <c r="B38" i="33"/>
  <c r="B39" i="33"/>
  <c r="B40" i="33"/>
  <c r="H74" i="33"/>
  <c r="H64" i="33"/>
  <c r="H68" i="33"/>
  <c r="H70" i="33"/>
  <c r="H71" i="33"/>
  <c r="H73" i="33"/>
  <c r="H72" i="33"/>
  <c r="H32" i="33"/>
  <c r="J38" i="33"/>
  <c r="J39" i="33"/>
  <c r="J40" i="33"/>
  <c r="J41" i="33"/>
  <c r="J42" i="33"/>
  <c r="C32" i="33"/>
  <c r="D32" i="33"/>
  <c r="E32" i="33"/>
  <c r="F32" i="33"/>
  <c r="G32" i="33"/>
  <c r="I32" i="33"/>
  <c r="J32" i="33"/>
  <c r="K32" i="33"/>
  <c r="L32" i="33"/>
  <c r="M32" i="33"/>
  <c r="E42" i="33"/>
  <c r="D42" i="33"/>
  <c r="E35" i="33"/>
  <c r="I34" i="33"/>
  <c r="E34" i="33"/>
  <c r="E33" i="33"/>
  <c r="L64" i="33"/>
  <c r="J64" i="33"/>
  <c r="G64" i="33"/>
  <c r="I64" i="33"/>
  <c r="K64" i="33"/>
  <c r="I67" i="33"/>
  <c r="J67" i="33"/>
  <c r="K67" i="33"/>
  <c r="L67" i="33"/>
  <c r="M67" i="33"/>
  <c r="M66" i="33"/>
  <c r="I66" i="33"/>
  <c r="J66" i="33"/>
  <c r="K66" i="33"/>
  <c r="L66" i="33"/>
  <c r="I65" i="33"/>
  <c r="J65" i="33"/>
  <c r="K65" i="33"/>
  <c r="L65" i="33"/>
  <c r="M65" i="33"/>
  <c r="C180" i="33"/>
  <c r="E180" i="33"/>
  <c r="D144" i="33"/>
  <c r="C145" i="33"/>
  <c r="C133" i="33"/>
  <c r="D133" i="33"/>
  <c r="B19" i="33"/>
  <c r="C19" i="33"/>
  <c r="D19" i="33"/>
  <c r="E19" i="33"/>
  <c r="F19" i="33"/>
  <c r="G19" i="33"/>
  <c r="H19" i="33"/>
  <c r="I19" i="33"/>
  <c r="J19" i="33"/>
  <c r="M19" i="33"/>
  <c r="K19" i="33"/>
  <c r="L19" i="33"/>
  <c r="C23" i="33"/>
  <c r="D23" i="33"/>
  <c r="E23" i="33"/>
  <c r="F23" i="33"/>
  <c r="G23" i="33"/>
  <c r="H23" i="33"/>
  <c r="I23" i="33"/>
  <c r="J23" i="33"/>
  <c r="K23" i="33"/>
  <c r="B23" i="33"/>
  <c r="L23" i="33"/>
  <c r="M23" i="33"/>
  <c r="B22" i="33"/>
  <c r="C22" i="33"/>
  <c r="M22" i="33"/>
  <c r="D22" i="33"/>
  <c r="E22" i="33"/>
  <c r="F22" i="33"/>
  <c r="G22" i="33"/>
  <c r="H22" i="33"/>
  <c r="I22" i="33"/>
  <c r="J22" i="33"/>
  <c r="K22" i="33"/>
  <c r="L22" i="33"/>
  <c r="B21" i="33"/>
  <c r="C21" i="33"/>
  <c r="D21" i="33"/>
  <c r="E21" i="33"/>
  <c r="M21" i="33"/>
  <c r="F21" i="33"/>
  <c r="G21" i="33"/>
  <c r="H21" i="33"/>
  <c r="I21" i="33"/>
  <c r="J21" i="33"/>
  <c r="K21" i="33"/>
  <c r="L21" i="33"/>
  <c r="B20" i="33"/>
  <c r="C20" i="33"/>
  <c r="M20" i="33"/>
  <c r="D20" i="33"/>
  <c r="E20" i="33"/>
  <c r="F20" i="33"/>
  <c r="G20" i="33"/>
  <c r="H20" i="33"/>
  <c r="I20" i="33"/>
  <c r="J20" i="33"/>
  <c r="K20" i="33"/>
  <c r="L20" i="33"/>
  <c r="I10" i="33"/>
  <c r="J10" i="33"/>
  <c r="D10" i="33"/>
  <c r="F10" i="33"/>
  <c r="L10" i="33"/>
  <c r="G10" i="33"/>
  <c r="E10" i="33"/>
  <c r="M10" i="33"/>
  <c r="H10" i="33"/>
  <c r="C10" i="33"/>
  <c r="K10" i="33"/>
  <c r="B10" i="33"/>
  <c r="L8" i="33"/>
  <c r="G8" i="33"/>
  <c r="M8" i="33"/>
  <c r="H8" i="33"/>
  <c r="J8" i="33"/>
  <c r="E8" i="33"/>
  <c r="C8" i="33"/>
  <c r="K8" i="33"/>
  <c r="F8" i="33"/>
  <c r="I8" i="33"/>
  <c r="D8" i="33"/>
  <c r="B8" i="33"/>
  <c r="C7" i="33"/>
  <c r="K7" i="33"/>
  <c r="F7" i="33"/>
  <c r="D7" i="33"/>
  <c r="I7" i="33"/>
  <c r="L7" i="33"/>
  <c r="G7" i="33"/>
  <c r="M7" i="33"/>
  <c r="J7" i="33"/>
  <c r="H7" i="33"/>
  <c r="E7" i="33"/>
  <c r="B11" i="33"/>
  <c r="B7" i="33"/>
  <c r="D9" i="33"/>
  <c r="L9" i="33"/>
  <c r="G9" i="33"/>
  <c r="J9" i="33"/>
  <c r="I9" i="33"/>
  <c r="E9" i="33"/>
  <c r="M9" i="33"/>
  <c r="H9" i="33"/>
  <c r="C9" i="33"/>
  <c r="K9" i="33"/>
  <c r="F9" i="33"/>
  <c r="B9" i="33"/>
  <c r="K11" i="33"/>
  <c r="F11" i="33"/>
  <c r="C11" i="33"/>
  <c r="I11" i="33"/>
  <c r="D11" i="33"/>
  <c r="L11" i="33"/>
  <c r="G11" i="33"/>
  <c r="J11" i="33"/>
  <c r="E11" i="33"/>
  <c r="M11" i="33"/>
  <c r="H11" i="33"/>
  <c r="I171" i="33"/>
  <c r="J171" i="33"/>
  <c r="C171" i="33"/>
  <c r="K171" i="33"/>
  <c r="D171" i="33"/>
  <c r="L171" i="33"/>
  <c r="E171" i="33"/>
  <c r="M171" i="33"/>
  <c r="F171" i="33"/>
  <c r="H171" i="33"/>
  <c r="G171" i="33"/>
  <c r="H54" i="33"/>
  <c r="B54" i="33"/>
  <c r="I54" i="33"/>
  <c r="J54" i="33"/>
  <c r="C54" i="33"/>
  <c r="K54" i="33"/>
  <c r="D54" i="33"/>
  <c r="L54" i="33"/>
  <c r="E54" i="33"/>
  <c r="M54" i="33"/>
  <c r="F54" i="33"/>
  <c r="G54" i="33"/>
  <c r="H51" i="33"/>
  <c r="I51" i="33"/>
  <c r="J51" i="33"/>
  <c r="B51" i="33"/>
  <c r="C51" i="33"/>
  <c r="K51" i="33"/>
  <c r="D51" i="33"/>
  <c r="L51" i="33"/>
  <c r="E51" i="33"/>
  <c r="M51" i="33"/>
  <c r="F51" i="33"/>
  <c r="C55" i="33"/>
  <c r="K55" i="33"/>
  <c r="D55" i="33"/>
  <c r="L55" i="33"/>
  <c r="E55" i="33"/>
  <c r="M55" i="33"/>
  <c r="F55" i="33"/>
  <c r="G55" i="33"/>
  <c r="H55" i="33"/>
  <c r="I55" i="33"/>
  <c r="J55" i="33"/>
  <c r="B55" i="33"/>
  <c r="E53" i="33"/>
  <c r="M53" i="33"/>
  <c r="F53" i="33"/>
  <c r="B53" i="33"/>
  <c r="G53" i="33"/>
  <c r="H53" i="33"/>
  <c r="I53" i="33"/>
  <c r="J53" i="33"/>
  <c r="C53" i="33"/>
  <c r="K53" i="33"/>
  <c r="D53" i="33"/>
  <c r="L53" i="33"/>
  <c r="J52" i="33"/>
  <c r="C52" i="33"/>
  <c r="K52" i="33"/>
  <c r="D52" i="33"/>
  <c r="L52" i="33"/>
  <c r="B52" i="33"/>
  <c r="E52" i="33"/>
  <c r="M52" i="33"/>
  <c r="F52" i="33"/>
  <c r="G52" i="33"/>
  <c r="H52" i="33"/>
  <c r="I52" i="33"/>
  <c r="B32" i="33"/>
  <c r="K42" i="33"/>
  <c r="L42" i="33"/>
  <c r="M42" i="33"/>
  <c r="F42" i="33"/>
  <c r="B42" i="33"/>
  <c r="F83" i="33"/>
  <c r="B83" i="33"/>
  <c r="H83" i="33"/>
  <c r="J83" i="33"/>
  <c r="C83" i="33"/>
  <c r="G83" i="33"/>
  <c r="I83" i="33"/>
  <c r="K83" i="33"/>
  <c r="D83" i="33"/>
  <c r="L83" i="33"/>
  <c r="E83" i="33"/>
  <c r="M83" i="33"/>
  <c r="K35" i="33"/>
  <c r="L35" i="33"/>
  <c r="M35" i="33"/>
  <c r="F35" i="33"/>
  <c r="G35" i="33"/>
  <c r="M34" i="33"/>
  <c r="F34" i="33"/>
  <c r="H34" i="33"/>
  <c r="K34" i="33"/>
  <c r="L34" i="33"/>
  <c r="K33" i="33"/>
  <c r="L33" i="33"/>
  <c r="M33" i="33"/>
  <c r="F33" i="33"/>
  <c r="G33" i="33"/>
  <c r="H33" i="33"/>
  <c r="I33" i="33"/>
  <c r="F85" i="33"/>
  <c r="B85" i="33"/>
  <c r="G85" i="33"/>
  <c r="H85" i="33"/>
  <c r="K85" i="33"/>
  <c r="I85" i="33"/>
  <c r="J85" i="33"/>
  <c r="C85" i="33"/>
  <c r="D85" i="33"/>
  <c r="L85" i="33"/>
  <c r="E85" i="33"/>
  <c r="M85" i="33"/>
  <c r="J82" i="33"/>
  <c r="D82" i="33"/>
  <c r="L82" i="33"/>
  <c r="B82" i="33"/>
  <c r="E82" i="33"/>
  <c r="M82" i="33"/>
  <c r="F82" i="33"/>
  <c r="G82" i="33"/>
  <c r="C82" i="33"/>
  <c r="K82" i="33"/>
  <c r="H82" i="33"/>
  <c r="I82" i="33"/>
  <c r="J84" i="33"/>
  <c r="C84" i="33"/>
  <c r="K84" i="33"/>
  <c r="D84" i="33"/>
  <c r="L84" i="33"/>
  <c r="F84" i="33"/>
  <c r="B84" i="33"/>
  <c r="E84" i="33"/>
  <c r="M84" i="33"/>
  <c r="G84" i="33"/>
  <c r="H84" i="33"/>
  <c r="I84" i="33"/>
  <c r="C96" i="33"/>
  <c r="K96" i="33"/>
  <c r="D96" i="33"/>
  <c r="L96" i="33"/>
  <c r="E96" i="33"/>
  <c r="M96" i="33"/>
  <c r="G96" i="33"/>
  <c r="H96" i="33"/>
  <c r="F96" i="33"/>
  <c r="I96" i="33"/>
  <c r="B96" i="33"/>
  <c r="J96" i="33"/>
  <c r="D112" i="33"/>
  <c r="L112" i="33"/>
  <c r="E112" i="33"/>
  <c r="M112" i="33"/>
  <c r="F112" i="33"/>
  <c r="B112" i="33"/>
  <c r="G112" i="33"/>
  <c r="H112" i="33"/>
  <c r="I112" i="33"/>
  <c r="J112" i="33"/>
  <c r="C112" i="33"/>
  <c r="K112" i="33"/>
  <c r="I121" i="33"/>
  <c r="J121" i="33"/>
  <c r="B121" i="33"/>
  <c r="C121" i="33"/>
  <c r="K121" i="33"/>
  <c r="D121" i="33"/>
  <c r="L121" i="33"/>
  <c r="E121" i="33"/>
  <c r="M121" i="33"/>
  <c r="F121" i="33"/>
  <c r="G121" i="33"/>
  <c r="H121" i="33"/>
  <c r="F147" i="33"/>
  <c r="G147" i="33"/>
  <c r="H147" i="33"/>
  <c r="I147" i="33"/>
  <c r="J147" i="33"/>
  <c r="B147" i="33"/>
  <c r="C147" i="33"/>
  <c r="K147" i="33"/>
  <c r="D147" i="33"/>
  <c r="L147" i="33"/>
  <c r="E147" i="33"/>
  <c r="M147" i="33"/>
  <c r="G170" i="33"/>
  <c r="H170" i="33"/>
  <c r="I170" i="33"/>
  <c r="J170" i="33"/>
  <c r="C170" i="33"/>
  <c r="K170" i="33"/>
  <c r="D170" i="33"/>
  <c r="L170" i="33"/>
  <c r="E170" i="33"/>
  <c r="M170" i="33"/>
  <c r="B170" i="33"/>
  <c r="F170" i="33"/>
  <c r="C196" i="33"/>
  <c r="K196" i="33"/>
  <c r="D196" i="33"/>
  <c r="L196" i="33"/>
  <c r="E196" i="33"/>
  <c r="M196" i="33"/>
  <c r="F196" i="33"/>
  <c r="B196" i="33"/>
  <c r="G196" i="33"/>
  <c r="H196" i="33"/>
  <c r="I196" i="33"/>
  <c r="J196" i="33"/>
  <c r="I86" i="33"/>
  <c r="J86" i="33"/>
  <c r="D86" i="33"/>
  <c r="E86" i="33"/>
  <c r="H86" i="33"/>
  <c r="F86" i="33"/>
  <c r="G86" i="33"/>
  <c r="F95" i="33"/>
  <c r="G95" i="33"/>
  <c r="H95" i="33"/>
  <c r="J95" i="33"/>
  <c r="C95" i="33"/>
  <c r="K95" i="33"/>
  <c r="B95" i="33"/>
  <c r="D95" i="33"/>
  <c r="E95" i="33"/>
  <c r="I95" i="33"/>
  <c r="L95" i="33"/>
  <c r="M95" i="33"/>
  <c r="G111" i="33"/>
  <c r="H111" i="33"/>
  <c r="I111" i="33"/>
  <c r="J111" i="33"/>
  <c r="B111" i="33"/>
  <c r="C111" i="33"/>
  <c r="K111" i="33"/>
  <c r="D111" i="33"/>
  <c r="L111" i="33"/>
  <c r="E111" i="33"/>
  <c r="M111" i="33"/>
  <c r="F111" i="33"/>
  <c r="K132" i="33"/>
  <c r="D132" i="33"/>
  <c r="L132" i="33"/>
  <c r="E132" i="33"/>
  <c r="M132" i="33"/>
  <c r="F132" i="33"/>
  <c r="B132" i="33"/>
  <c r="G132" i="33"/>
  <c r="H132" i="33"/>
  <c r="I132" i="33"/>
  <c r="J132" i="33"/>
  <c r="I146" i="33"/>
  <c r="J146" i="33"/>
  <c r="C146" i="33"/>
  <c r="K146" i="33"/>
  <c r="D146" i="33"/>
  <c r="L146" i="33"/>
  <c r="E146" i="33"/>
  <c r="M146" i="33"/>
  <c r="F146" i="33"/>
  <c r="B146" i="33"/>
  <c r="G146" i="33"/>
  <c r="H146" i="33"/>
  <c r="J169" i="33"/>
  <c r="B169" i="33"/>
  <c r="C169" i="33"/>
  <c r="K169" i="33"/>
  <c r="L169" i="33"/>
  <c r="E169" i="33"/>
  <c r="M169" i="33"/>
  <c r="F169" i="33"/>
  <c r="G169" i="33"/>
  <c r="H169" i="33"/>
  <c r="I169" i="33"/>
  <c r="F195" i="33"/>
  <c r="G195" i="33"/>
  <c r="H195" i="33"/>
  <c r="I195" i="33"/>
  <c r="J195" i="33"/>
  <c r="B195" i="33"/>
  <c r="C195" i="33"/>
  <c r="K195" i="33"/>
  <c r="D195" i="33"/>
  <c r="L195" i="33"/>
  <c r="E195" i="33"/>
  <c r="M195" i="33"/>
  <c r="E63" i="33"/>
  <c r="M63" i="33"/>
  <c r="L63" i="33"/>
  <c r="F63" i="33"/>
  <c r="B63" i="33"/>
  <c r="H63" i="33"/>
  <c r="I63" i="33"/>
  <c r="J63" i="33"/>
  <c r="C63" i="33"/>
  <c r="K63" i="33"/>
  <c r="D63" i="33"/>
  <c r="J110" i="33"/>
  <c r="C110" i="33"/>
  <c r="K110" i="33"/>
  <c r="D110" i="33"/>
  <c r="L110" i="33"/>
  <c r="E110" i="33"/>
  <c r="M110" i="33"/>
  <c r="F110" i="33"/>
  <c r="B110" i="33"/>
  <c r="G110" i="33"/>
  <c r="H110" i="33"/>
  <c r="I110" i="33"/>
  <c r="G136" i="33"/>
  <c r="H136" i="33"/>
  <c r="I136" i="33"/>
  <c r="J136" i="33"/>
  <c r="C136" i="33"/>
  <c r="K136" i="33"/>
  <c r="D136" i="33"/>
  <c r="L136" i="33"/>
  <c r="E136" i="33"/>
  <c r="M136" i="33"/>
  <c r="F136" i="33"/>
  <c r="B136" i="33"/>
  <c r="L145" i="33"/>
  <c r="E145" i="33"/>
  <c r="M145" i="33"/>
  <c r="F145" i="33"/>
  <c r="G145" i="33"/>
  <c r="H145" i="33"/>
  <c r="I145" i="33"/>
  <c r="J145" i="33"/>
  <c r="B145" i="33"/>
  <c r="K145" i="33"/>
  <c r="J180" i="33"/>
  <c r="K180" i="33"/>
  <c r="D180" i="33"/>
  <c r="L180" i="33"/>
  <c r="M180" i="33"/>
  <c r="F180" i="33"/>
  <c r="B180" i="33"/>
  <c r="G180" i="33"/>
  <c r="H180" i="33"/>
  <c r="I180" i="33"/>
  <c r="I194" i="33"/>
  <c r="J194" i="33"/>
  <c r="C194" i="33"/>
  <c r="K194" i="33"/>
  <c r="D194" i="33"/>
  <c r="L194" i="33"/>
  <c r="E194" i="33"/>
  <c r="M194" i="33"/>
  <c r="F194" i="33"/>
  <c r="B194" i="33"/>
  <c r="G194" i="33"/>
  <c r="H194" i="33"/>
  <c r="C67" i="33"/>
  <c r="D67" i="33"/>
  <c r="E67" i="33"/>
  <c r="F67" i="33"/>
  <c r="B67" i="33"/>
  <c r="E109" i="33"/>
  <c r="M109" i="33"/>
  <c r="F109" i="33"/>
  <c r="G109" i="33"/>
  <c r="H109" i="33"/>
  <c r="I109" i="33"/>
  <c r="J109" i="33"/>
  <c r="B109" i="33"/>
  <c r="C109" i="33"/>
  <c r="K109" i="33"/>
  <c r="D109" i="33"/>
  <c r="L109" i="33"/>
  <c r="J135" i="33"/>
  <c r="B135" i="33"/>
  <c r="C135" i="33"/>
  <c r="K135" i="33"/>
  <c r="D135" i="33"/>
  <c r="L135" i="33"/>
  <c r="E135" i="33"/>
  <c r="M135" i="33"/>
  <c r="F135" i="33"/>
  <c r="G135" i="33"/>
  <c r="H135" i="33"/>
  <c r="I135" i="33"/>
  <c r="C156" i="33"/>
  <c r="K156" i="33"/>
  <c r="D156" i="33"/>
  <c r="L156" i="33"/>
  <c r="E156" i="33"/>
  <c r="M156" i="33"/>
  <c r="F156" i="33"/>
  <c r="B156" i="33"/>
  <c r="G156" i="33"/>
  <c r="H156" i="33"/>
  <c r="I156" i="33"/>
  <c r="J156" i="33"/>
  <c r="F184" i="33"/>
  <c r="B184" i="33"/>
  <c r="G184" i="33"/>
  <c r="H184" i="33"/>
  <c r="I184" i="33"/>
  <c r="J184" i="33"/>
  <c r="C184" i="33"/>
  <c r="K184" i="33"/>
  <c r="D184" i="33"/>
  <c r="L184" i="33"/>
  <c r="M184" i="33"/>
  <c r="E184" i="33"/>
  <c r="D193" i="33"/>
  <c r="L193" i="33"/>
  <c r="E193" i="33"/>
  <c r="M193" i="33"/>
  <c r="F193" i="33"/>
  <c r="G193" i="33"/>
  <c r="H193" i="33"/>
  <c r="I193" i="33"/>
  <c r="J193" i="33"/>
  <c r="B193" i="33"/>
  <c r="C193" i="33"/>
  <c r="K193" i="33"/>
  <c r="D66" i="33"/>
  <c r="E66" i="33"/>
  <c r="F66" i="33"/>
  <c r="G66" i="33"/>
  <c r="C66" i="33"/>
  <c r="B66" i="33"/>
  <c r="D120" i="33"/>
  <c r="L120" i="33"/>
  <c r="E120" i="33"/>
  <c r="M120" i="33"/>
  <c r="F120" i="33"/>
  <c r="B120" i="33"/>
  <c r="G120" i="33"/>
  <c r="H120" i="33"/>
  <c r="I120" i="33"/>
  <c r="J120" i="33"/>
  <c r="C120" i="33"/>
  <c r="K120" i="33"/>
  <c r="E134" i="33"/>
  <c r="M134" i="33"/>
  <c r="F134" i="33"/>
  <c r="B134" i="33"/>
  <c r="G134" i="33"/>
  <c r="H134" i="33"/>
  <c r="I134" i="33"/>
  <c r="J134" i="33"/>
  <c r="C134" i="33"/>
  <c r="K134" i="33"/>
  <c r="D134" i="33"/>
  <c r="L134" i="33"/>
  <c r="G160" i="33"/>
  <c r="H160" i="33"/>
  <c r="I160" i="33"/>
  <c r="J160" i="33"/>
  <c r="C160" i="33"/>
  <c r="K160" i="33"/>
  <c r="D160" i="33"/>
  <c r="L160" i="33"/>
  <c r="E160" i="33"/>
  <c r="M160" i="33"/>
  <c r="B160" i="33"/>
  <c r="F160" i="33"/>
  <c r="I183" i="33"/>
  <c r="J183" i="33"/>
  <c r="B183" i="33"/>
  <c r="C183" i="33"/>
  <c r="K183" i="33"/>
  <c r="D183" i="33"/>
  <c r="L183" i="33"/>
  <c r="E183" i="33"/>
  <c r="M183" i="33"/>
  <c r="F183" i="33"/>
  <c r="G183" i="33"/>
  <c r="H183" i="33"/>
  <c r="G65" i="33"/>
  <c r="F65" i="33"/>
  <c r="C65" i="33"/>
  <c r="D65" i="33"/>
  <c r="E65" i="33"/>
  <c r="B65" i="33"/>
  <c r="I94" i="33"/>
  <c r="J94" i="33"/>
  <c r="C94" i="33"/>
  <c r="K94" i="33"/>
  <c r="D94" i="33"/>
  <c r="L94" i="33"/>
  <c r="E94" i="33"/>
  <c r="M94" i="33"/>
  <c r="F94" i="33"/>
  <c r="B94" i="33"/>
  <c r="G94" i="33"/>
  <c r="H94" i="33"/>
  <c r="H124" i="33"/>
  <c r="I124" i="33"/>
  <c r="J124" i="33"/>
  <c r="C124" i="33"/>
  <c r="K124" i="33"/>
  <c r="D124" i="33"/>
  <c r="L124" i="33"/>
  <c r="E124" i="33"/>
  <c r="M124" i="33"/>
  <c r="F124" i="33"/>
  <c r="B124" i="33"/>
  <c r="G124" i="33"/>
  <c r="H133" i="33"/>
  <c r="I133" i="33"/>
  <c r="J133" i="33"/>
  <c r="B133" i="33"/>
  <c r="K133" i="33"/>
  <c r="L133" i="33"/>
  <c r="E133" i="33"/>
  <c r="M133" i="33"/>
  <c r="F133" i="33"/>
  <c r="G133" i="33"/>
  <c r="J159" i="33"/>
  <c r="B159" i="33"/>
  <c r="C159" i="33"/>
  <c r="K159" i="33"/>
  <c r="D159" i="33"/>
  <c r="L159" i="33"/>
  <c r="E159" i="33"/>
  <c r="M159" i="33"/>
  <c r="F159" i="33"/>
  <c r="G159" i="33"/>
  <c r="H159" i="33"/>
  <c r="I159" i="33"/>
  <c r="B168" i="33"/>
  <c r="D182" i="33"/>
  <c r="L182" i="33"/>
  <c r="E182" i="33"/>
  <c r="M182" i="33"/>
  <c r="F182" i="33"/>
  <c r="B182" i="33"/>
  <c r="G182" i="33"/>
  <c r="H182" i="33"/>
  <c r="I182" i="33"/>
  <c r="J182" i="33"/>
  <c r="C182" i="33"/>
  <c r="K182" i="33"/>
  <c r="B64" i="33"/>
  <c r="C64" i="33"/>
  <c r="D64" i="33"/>
  <c r="E64" i="33"/>
  <c r="M64" i="33"/>
  <c r="F64" i="33"/>
  <c r="E98" i="33"/>
  <c r="M98" i="33"/>
  <c r="I98" i="33"/>
  <c r="J98" i="33"/>
  <c r="C98" i="33"/>
  <c r="D98" i="33"/>
  <c r="F98" i="33"/>
  <c r="G98" i="33"/>
  <c r="B98" i="33"/>
  <c r="H98" i="33"/>
  <c r="K98" i="33"/>
  <c r="L98" i="33"/>
  <c r="C123" i="33"/>
  <c r="K123" i="33"/>
  <c r="D123" i="33"/>
  <c r="L123" i="33"/>
  <c r="E123" i="33"/>
  <c r="M123" i="33"/>
  <c r="F123" i="33"/>
  <c r="G123" i="33"/>
  <c r="H123" i="33"/>
  <c r="I123" i="33"/>
  <c r="J123" i="33"/>
  <c r="B123" i="33"/>
  <c r="G144" i="33"/>
  <c r="H144" i="33"/>
  <c r="I144" i="33"/>
  <c r="J144" i="33"/>
  <c r="C144" i="33"/>
  <c r="K144" i="33"/>
  <c r="L144" i="33"/>
  <c r="E144" i="33"/>
  <c r="M144" i="33"/>
  <c r="F144" i="33"/>
  <c r="B144" i="33"/>
  <c r="E158" i="33"/>
  <c r="M158" i="33"/>
  <c r="F158" i="33"/>
  <c r="B158" i="33"/>
  <c r="G158" i="33"/>
  <c r="H158" i="33"/>
  <c r="I158" i="33"/>
  <c r="J158" i="33"/>
  <c r="C158" i="33"/>
  <c r="K158" i="33"/>
  <c r="D158" i="33"/>
  <c r="L158" i="33"/>
  <c r="G181" i="33"/>
  <c r="H181" i="33"/>
  <c r="I181" i="33"/>
  <c r="J181" i="33"/>
  <c r="B181" i="33"/>
  <c r="C181" i="33"/>
  <c r="K181" i="33"/>
  <c r="D181" i="33"/>
  <c r="L181" i="33"/>
  <c r="E181" i="33"/>
  <c r="M181" i="33"/>
  <c r="F181" i="33"/>
  <c r="H97" i="33"/>
  <c r="J97" i="33"/>
  <c r="D97" i="33"/>
  <c r="L97" i="33"/>
  <c r="E97" i="33"/>
  <c r="M97" i="33"/>
  <c r="B97" i="33"/>
  <c r="K97" i="33"/>
  <c r="C97" i="33"/>
  <c r="F97" i="33"/>
  <c r="G97" i="33"/>
  <c r="I97" i="33"/>
  <c r="H108" i="33"/>
  <c r="I108" i="33"/>
  <c r="J108" i="33"/>
  <c r="C108" i="33"/>
  <c r="K108" i="33"/>
  <c r="D108" i="33"/>
  <c r="L108" i="33"/>
  <c r="E108" i="33"/>
  <c r="M108" i="33"/>
  <c r="F108" i="33"/>
  <c r="B108" i="33"/>
  <c r="G108" i="33"/>
  <c r="F122" i="33"/>
  <c r="B122" i="33"/>
  <c r="G122" i="33"/>
  <c r="H122" i="33"/>
  <c r="I122" i="33"/>
  <c r="J122" i="33"/>
  <c r="C122" i="33"/>
  <c r="K122" i="33"/>
  <c r="D122" i="33"/>
  <c r="L122" i="33"/>
  <c r="E122" i="33"/>
  <c r="M122" i="33"/>
  <c r="C148" i="33"/>
  <c r="K148" i="33"/>
  <c r="D148" i="33"/>
  <c r="L148" i="33"/>
  <c r="E148" i="33"/>
  <c r="M148" i="33"/>
  <c r="F148" i="33"/>
  <c r="B148" i="33"/>
  <c r="G148" i="33"/>
  <c r="H148" i="33"/>
  <c r="I148" i="33"/>
  <c r="J148" i="33"/>
  <c r="H157" i="33"/>
  <c r="I157" i="33"/>
  <c r="J157" i="33"/>
  <c r="B157" i="33"/>
  <c r="C157" i="33"/>
  <c r="K157" i="33"/>
  <c r="D157" i="33"/>
  <c r="L157" i="33"/>
  <c r="E157" i="33"/>
  <c r="M157" i="33"/>
  <c r="F157" i="33"/>
  <c r="G157" i="33"/>
  <c r="B171" i="33"/>
  <c r="G192" i="33"/>
  <c r="H192" i="33"/>
  <c r="I192" i="33"/>
  <c r="J192" i="33"/>
  <c r="C192" i="33"/>
  <c r="K192" i="33"/>
  <c r="L192" i="33"/>
  <c r="E192" i="33"/>
  <c r="M192" i="33"/>
  <c r="B192" i="33"/>
  <c r="F192" i="33"/>
  <c r="N76" i="33" l="1"/>
  <c r="C44" i="33"/>
  <c r="M198" i="33"/>
  <c r="L198" i="33"/>
  <c r="M57" i="33"/>
  <c r="L57" i="33"/>
  <c r="K57" i="33"/>
  <c r="J57" i="33"/>
  <c r="L26" i="33"/>
  <c r="E13" i="33"/>
  <c r="K26" i="33"/>
  <c r="H13" i="33"/>
  <c r="M26" i="33"/>
  <c r="J13" i="33"/>
  <c r="J26" i="33"/>
  <c r="M13" i="33"/>
  <c r="I26" i="33"/>
  <c r="G13" i="33"/>
  <c r="H26" i="33"/>
  <c r="L13" i="33"/>
  <c r="G26" i="33"/>
  <c r="I13" i="33"/>
  <c r="F26" i="33"/>
  <c r="D13" i="33"/>
  <c r="E26" i="33"/>
  <c r="F13" i="33"/>
  <c r="D26" i="33"/>
  <c r="K13" i="33"/>
  <c r="C26" i="33"/>
  <c r="B13" i="33"/>
  <c r="C13" i="33"/>
  <c r="B26" i="33"/>
  <c r="C174" i="33"/>
  <c r="D174" i="33"/>
  <c r="K174" i="33"/>
  <c r="N186" i="33"/>
  <c r="N162" i="33"/>
  <c r="N138" i="33"/>
  <c r="N126" i="33"/>
  <c r="N174" i="33"/>
  <c r="N198" i="33"/>
  <c r="Q194" i="33" s="1"/>
  <c r="N150" i="33"/>
  <c r="N100" i="33"/>
  <c r="N114" i="33"/>
  <c r="D44" i="33"/>
  <c r="B44" i="33"/>
  <c r="E198" i="33"/>
  <c r="J174" i="33"/>
  <c r="J198" i="33"/>
  <c r="F174" i="33"/>
  <c r="F198" i="33"/>
  <c r="I198" i="33"/>
  <c r="D198" i="33"/>
  <c r="G174" i="33"/>
  <c r="G57" i="33"/>
  <c r="M174" i="33"/>
  <c r="G198" i="33"/>
  <c r="C114" i="33"/>
  <c r="B198" i="33"/>
  <c r="L174" i="33"/>
  <c r="I174" i="33"/>
  <c r="I44" i="33"/>
  <c r="H44" i="33"/>
  <c r="G44" i="33"/>
  <c r="F44" i="33"/>
  <c r="M44" i="33"/>
  <c r="E44" i="33"/>
  <c r="K44" i="33"/>
  <c r="J44" i="33"/>
  <c r="L44" i="33"/>
  <c r="M186" i="33"/>
  <c r="K198" i="33"/>
  <c r="D150" i="33"/>
  <c r="B126" i="33"/>
  <c r="E186" i="33"/>
  <c r="G76" i="33"/>
  <c r="C198" i="33"/>
  <c r="L186" i="33"/>
  <c r="B174" i="33"/>
  <c r="M126" i="33"/>
  <c r="D186" i="33"/>
  <c r="K186" i="33"/>
  <c r="H198" i="33"/>
  <c r="J100" i="33"/>
  <c r="C186" i="33"/>
  <c r="E174" i="33"/>
  <c r="J186" i="33"/>
  <c r="I186" i="33"/>
  <c r="H186" i="33"/>
  <c r="H174" i="33"/>
  <c r="B100" i="33"/>
  <c r="H162" i="33"/>
  <c r="G186" i="33"/>
  <c r="E88" i="33"/>
  <c r="B186" i="33"/>
  <c r="M100" i="33"/>
  <c r="F186" i="33"/>
  <c r="Q25" i="33"/>
  <c r="D114" i="33"/>
  <c r="K150" i="33"/>
  <c r="F100" i="33"/>
  <c r="I100" i="33"/>
  <c r="F126" i="33"/>
  <c r="G162" i="33"/>
  <c r="C162" i="33"/>
  <c r="B76" i="33"/>
  <c r="E138" i="33"/>
  <c r="I88" i="33"/>
  <c r="B88" i="33"/>
  <c r="D57" i="33"/>
  <c r="C150" i="33"/>
  <c r="D76" i="33"/>
  <c r="J138" i="33"/>
  <c r="K162" i="33"/>
  <c r="G114" i="33"/>
  <c r="B150" i="33"/>
  <c r="E126" i="33"/>
  <c r="F162" i="33"/>
  <c r="K76" i="33"/>
  <c r="L76" i="33"/>
  <c r="I138" i="33"/>
  <c r="D138" i="33"/>
  <c r="D88" i="33"/>
  <c r="C57" i="33"/>
  <c r="M138" i="33"/>
  <c r="K126" i="33"/>
  <c r="B162" i="33"/>
  <c r="F76" i="33"/>
  <c r="L138" i="33"/>
  <c r="C126" i="33"/>
  <c r="B114" i="33"/>
  <c r="J114" i="33"/>
  <c r="F150" i="33"/>
  <c r="I150" i="33"/>
  <c r="L100" i="33"/>
  <c r="J126" i="33"/>
  <c r="L126" i="33"/>
  <c r="M162" i="33"/>
  <c r="C76" i="33"/>
  <c r="M76" i="33"/>
  <c r="H138" i="33"/>
  <c r="K138" i="33"/>
  <c r="J88" i="33"/>
  <c r="B57" i="33"/>
  <c r="H88" i="33"/>
  <c r="J150" i="33"/>
  <c r="E100" i="33"/>
  <c r="F114" i="33"/>
  <c r="I114" i="33"/>
  <c r="M150" i="33"/>
  <c r="H150" i="33"/>
  <c r="D100" i="33"/>
  <c r="I126" i="33"/>
  <c r="D126" i="33"/>
  <c r="E162" i="33"/>
  <c r="J76" i="33"/>
  <c r="E76" i="33"/>
  <c r="G138" i="33"/>
  <c r="C138" i="33"/>
  <c r="G88" i="33"/>
  <c r="F57" i="33"/>
  <c r="M114" i="33"/>
  <c r="E150" i="33"/>
  <c r="G150" i="33"/>
  <c r="H100" i="33"/>
  <c r="L162" i="33"/>
  <c r="I76" i="33"/>
  <c r="F88" i="33"/>
  <c r="I57" i="33"/>
  <c r="H114" i="33"/>
  <c r="K100" i="33"/>
  <c r="H126" i="33"/>
  <c r="J162" i="33"/>
  <c r="B138" i="33"/>
  <c r="E114" i="33"/>
  <c r="L150" i="33"/>
  <c r="G100" i="33"/>
  <c r="C100" i="33"/>
  <c r="G126" i="33"/>
  <c r="I162" i="33"/>
  <c r="D162" i="33"/>
  <c r="H76" i="33"/>
  <c r="F138" i="33"/>
  <c r="E57" i="33"/>
  <c r="H57" i="33"/>
  <c r="K114" i="33"/>
  <c r="L114" i="33"/>
  <c r="N13" i="33" l="1"/>
  <c r="N44" i="33"/>
  <c r="N57" i="33"/>
  <c r="N26" i="33"/>
  <c r="P44" i="14" l="1"/>
  <c r="P58" i="14"/>
  <c r="P78" i="14"/>
  <c r="P89" i="14"/>
  <c r="P101" i="14"/>
  <c r="P45" i="14"/>
  <c r="P59" i="14"/>
  <c r="P90" i="14"/>
  <c r="P102" i="14"/>
  <c r="P46" i="14"/>
  <c r="P60" i="14"/>
  <c r="P79" i="14"/>
  <c r="P91" i="14"/>
  <c r="Q91" i="14" s="1"/>
  <c r="P103" i="14"/>
  <c r="Q103" i="14" s="1"/>
  <c r="P47" i="14"/>
  <c r="P61" i="14"/>
  <c r="P80" i="14"/>
  <c r="P92" i="14"/>
  <c r="P104" i="14"/>
  <c r="Q104" i="14" s="1"/>
  <c r="P48" i="14"/>
  <c r="P62" i="14"/>
  <c r="P81" i="14"/>
  <c r="P93" i="14"/>
  <c r="Q93" i="14" s="1"/>
  <c r="P105" i="14"/>
  <c r="Q105" i="14" s="1"/>
  <c r="P49" i="14"/>
  <c r="P64" i="14"/>
  <c r="P82" i="14"/>
  <c r="P94" i="14"/>
  <c r="Q94" i="14" s="1"/>
  <c r="P106" i="14"/>
  <c r="Q106" i="14" s="1"/>
  <c r="P50" i="14"/>
  <c r="P65" i="14"/>
  <c r="P83" i="14"/>
  <c r="P95" i="14"/>
  <c r="Q95" i="14" s="1"/>
  <c r="P107" i="14"/>
  <c r="Q107" i="14" s="1"/>
  <c r="P53" i="14"/>
  <c r="P66" i="14"/>
  <c r="P84" i="14"/>
  <c r="P96" i="14"/>
  <c r="P108" i="14"/>
  <c r="Q108" i="14" s="1"/>
  <c r="P54" i="14"/>
  <c r="P67" i="14"/>
  <c r="P97" i="14"/>
  <c r="Q97" i="14" s="1"/>
  <c r="P109" i="14"/>
  <c r="P55" i="14"/>
  <c r="P68" i="14"/>
  <c r="P86" i="14"/>
  <c r="P98" i="14"/>
  <c r="P41" i="14"/>
  <c r="P56" i="14"/>
  <c r="P75" i="14"/>
  <c r="P87" i="14"/>
  <c r="P99" i="14"/>
  <c r="P43" i="14"/>
  <c r="P57" i="14"/>
  <c r="P77" i="14"/>
  <c r="P88" i="14"/>
  <c r="P100" i="14"/>
  <c r="L61" i="27"/>
  <c r="L80" i="27"/>
  <c r="L3" i="27"/>
  <c r="L36" i="27"/>
  <c r="L48" i="27"/>
  <c r="L52" i="27"/>
  <c r="L66" i="27"/>
  <c r="L87" i="27"/>
  <c r="L106" i="27"/>
  <c r="L121" i="27"/>
  <c r="L132" i="27"/>
  <c r="L142" i="27"/>
  <c r="L154" i="27"/>
  <c r="O89" i="14"/>
  <c r="L14" i="27"/>
  <c r="L67" i="27"/>
  <c r="L90" i="27"/>
  <c r="L105" i="27"/>
  <c r="L112" i="27"/>
  <c r="L120" i="27"/>
  <c r="L133" i="27"/>
  <c r="L141" i="27"/>
  <c r="L153" i="27"/>
  <c r="O90" i="14"/>
  <c r="L68" i="27"/>
  <c r="L89" i="27"/>
  <c r="L104" i="27"/>
  <c r="M111" i="27"/>
  <c r="L122" i="27"/>
  <c r="L134" i="27"/>
  <c r="L140" i="27"/>
  <c r="O67" i="14"/>
  <c r="O99" i="14"/>
  <c r="L143" i="27"/>
  <c r="L12" i="27"/>
  <c r="L27" i="27"/>
  <c r="L63" i="27"/>
  <c r="L88" i="27"/>
  <c r="L103" i="27"/>
  <c r="L123" i="27"/>
  <c r="L135" i="27"/>
  <c r="L139" i="27"/>
  <c r="L155" i="27"/>
  <c r="O100" i="14"/>
  <c r="L53" i="27"/>
  <c r="L116" i="27"/>
  <c r="L23" i="27"/>
  <c r="L11" i="27"/>
  <c r="L40" i="27"/>
  <c r="L62" i="27"/>
  <c r="L102" i="27"/>
  <c r="L136" i="27"/>
  <c r="L147" i="27"/>
  <c r="O101" i="14"/>
  <c r="L55" i="27"/>
  <c r="L22" i="27"/>
  <c r="L10" i="27"/>
  <c r="L41" i="27"/>
  <c r="L76" i="27"/>
  <c r="L101" i="27"/>
  <c r="L114" i="27"/>
  <c r="L128" i="27"/>
  <c r="L137" i="27"/>
  <c r="L146" i="27"/>
  <c r="O77" i="14"/>
  <c r="O88" i="14"/>
  <c r="L21" i="27"/>
  <c r="L9" i="27"/>
  <c r="L44" i="27"/>
  <c r="L49" i="27"/>
  <c r="L60" i="27"/>
  <c r="L75" i="27"/>
  <c r="L100" i="27"/>
  <c r="L113" i="27"/>
  <c r="L127" i="27"/>
  <c r="L138" i="27"/>
  <c r="L145" i="27"/>
  <c r="O81" i="14"/>
  <c r="L20" i="27"/>
  <c r="L8" i="27"/>
  <c r="L43" i="27"/>
  <c r="L50" i="27"/>
  <c r="L59" i="27"/>
  <c r="L73" i="27"/>
  <c r="L82" i="27"/>
  <c r="L95" i="27"/>
  <c r="L99" i="27"/>
  <c r="L118" i="27"/>
  <c r="L126" i="27"/>
  <c r="L124" i="27"/>
  <c r="L151" i="27"/>
  <c r="L148" i="27"/>
  <c r="L19" i="27"/>
  <c r="L7" i="27"/>
  <c r="L42" i="27"/>
  <c r="L51" i="27"/>
  <c r="L58" i="27"/>
  <c r="L74" i="27"/>
  <c r="L83" i="27"/>
  <c r="L98" i="27"/>
  <c r="L125" i="27"/>
  <c r="L81" i="27"/>
  <c r="L152" i="27"/>
  <c r="L6" i="27"/>
  <c r="L57" i="27"/>
  <c r="L84" i="27"/>
  <c r="L93" i="27"/>
  <c r="L117" i="27"/>
  <c r="L130" i="27"/>
  <c r="L78" i="27"/>
  <c r="L150" i="27"/>
  <c r="O86" i="14"/>
  <c r="L91" i="27"/>
  <c r="L17" i="27"/>
  <c r="L5" i="27"/>
  <c r="L34" i="27"/>
  <c r="L46" i="27"/>
  <c r="L56" i="27"/>
  <c r="L85" i="27"/>
  <c r="L92" i="27"/>
  <c r="M109" i="27"/>
  <c r="L129" i="27"/>
  <c r="L144" i="27"/>
  <c r="L149" i="27"/>
  <c r="O87" i="14"/>
  <c r="L4" i="27"/>
  <c r="L47" i="27"/>
  <c r="L86" i="27"/>
  <c r="L131" i="27"/>
  <c r="P17" i="14"/>
  <c r="Q17" i="14" s="1"/>
  <c r="M21" i="25"/>
  <c r="M329" i="25" s="1"/>
  <c r="M78" i="27" l="1"/>
  <c r="M104" i="27"/>
  <c r="M117" i="27"/>
  <c r="M154" i="27"/>
  <c r="M143" i="27"/>
  <c r="M106" i="27"/>
  <c r="M100" i="27"/>
  <c r="M92" i="27"/>
  <c r="O63" i="14" s="1"/>
  <c r="Q63" i="14" s="1"/>
  <c r="M142" i="27"/>
  <c r="M153" i="27"/>
  <c r="M141" i="27"/>
  <c r="M152" i="27"/>
  <c r="M120" i="27"/>
  <c r="M80" i="27"/>
  <c r="M133" i="27"/>
  <c r="M81" i="27"/>
  <c r="M124" i="27"/>
  <c r="M155" i="27"/>
  <c r="M140" i="27"/>
  <c r="M112" i="27"/>
  <c r="M113" i="27"/>
  <c r="M130" i="27"/>
  <c r="M93" i="27"/>
  <c r="M132" i="27"/>
  <c r="M131" i="27"/>
  <c r="M116" i="27"/>
  <c r="M91" i="27"/>
  <c r="M125" i="27"/>
  <c r="M126" i="27"/>
  <c r="M145" i="27"/>
  <c r="M147" i="27"/>
  <c r="M139" i="27"/>
  <c r="M134" i="27"/>
  <c r="M105" i="27"/>
  <c r="M129" i="27"/>
  <c r="M102" i="27"/>
  <c r="M114" i="27"/>
  <c r="M148" i="27"/>
  <c r="M47" i="27"/>
  <c r="M149" i="27"/>
  <c r="O11" i="14" s="1"/>
  <c r="M98" i="27"/>
  <c r="M118" i="27"/>
  <c r="M138" i="27"/>
  <c r="M146" i="27"/>
  <c r="M136" i="27"/>
  <c r="M135" i="27"/>
  <c r="M122" i="27"/>
  <c r="O5" i="14" s="1"/>
  <c r="M128" i="27"/>
  <c r="M103" i="27"/>
  <c r="M101" i="27"/>
  <c r="M61" i="27"/>
  <c r="M121" i="27"/>
  <c r="M144" i="27"/>
  <c r="M150" i="27"/>
  <c r="M99" i="27"/>
  <c r="M127" i="27"/>
  <c r="M137" i="27"/>
  <c r="M115" i="27"/>
  <c r="M123" i="27"/>
  <c r="Q86" i="14"/>
  <c r="Q67" i="14"/>
  <c r="Q90" i="14"/>
  <c r="Q81" i="14"/>
  <c r="Q88" i="14"/>
  <c r="Q77" i="14"/>
  <c r="Q87" i="14"/>
  <c r="Q101" i="14"/>
  <c r="Q99" i="14"/>
  <c r="Q89" i="14"/>
  <c r="Q100" i="14"/>
  <c r="O49" i="14"/>
  <c r="Q49" i="14" s="1"/>
  <c r="O60" i="14"/>
  <c r="Q60" i="14" s="1"/>
  <c r="O84" i="14"/>
  <c r="Q84" i="14" s="1"/>
  <c r="M50" i="27"/>
  <c r="M44" i="27"/>
  <c r="M48" i="27"/>
  <c r="O75" i="14" s="1"/>
  <c r="Q75" i="14" s="1"/>
  <c r="M41" i="27"/>
  <c r="M95" i="27"/>
  <c r="O45" i="14" s="1"/>
  <c r="Q45" i="14" s="1"/>
  <c r="M57" i="27"/>
  <c r="O36" i="14" s="1"/>
  <c r="Q36" i="14" s="1"/>
  <c r="M12" i="27"/>
  <c r="M87" i="27"/>
  <c r="M86" i="27"/>
  <c r="M82" i="27"/>
  <c r="M9" i="27"/>
  <c r="M10" i="27"/>
  <c r="O64" i="14"/>
  <c r="Q64" i="14" s="1"/>
  <c r="M90" i="27"/>
  <c r="M46" i="27"/>
  <c r="M27" i="27"/>
  <c r="O80" i="14"/>
  <c r="Q80" i="14" s="1"/>
  <c r="M73" i="27"/>
  <c r="M21" i="27"/>
  <c r="M22" i="27"/>
  <c r="M5" i="27"/>
  <c r="M89" i="27"/>
  <c r="M55" i="27"/>
  <c r="M59" i="27"/>
  <c r="O40" i="14" s="1"/>
  <c r="Q40" i="14" s="1"/>
  <c r="M62" i="27"/>
  <c r="O51" i="14" s="1"/>
  <c r="Q51" i="14" s="1"/>
  <c r="M67" i="27"/>
  <c r="M19" i="27"/>
  <c r="M84" i="27"/>
  <c r="M88" i="27"/>
  <c r="M68" i="27"/>
  <c r="O109" i="14" s="1"/>
  <c r="Q109" i="14" s="1"/>
  <c r="M52" i="27"/>
  <c r="M53" i="27"/>
  <c r="M43" i="27"/>
  <c r="M75" i="27"/>
  <c r="M34" i="27"/>
  <c r="M76" i="27"/>
  <c r="M40" i="27"/>
  <c r="M36" i="27"/>
  <c r="M63" i="27"/>
  <c r="O26" i="14" s="1"/>
  <c r="Q26" i="14" s="1"/>
  <c r="M3" i="27"/>
  <c r="M4" i="27"/>
  <c r="M83" i="27"/>
  <c r="M85" i="27"/>
  <c r="M8" i="27"/>
  <c r="M60" i="27"/>
  <c r="M11" i="27"/>
  <c r="O48" i="14"/>
  <c r="Q48" i="14" s="1"/>
  <c r="M74" i="27"/>
  <c r="M17" i="27"/>
  <c r="M20" i="27"/>
  <c r="M23" i="27"/>
  <c r="M14" i="27"/>
  <c r="O83" i="14"/>
  <c r="Q83" i="14" s="1"/>
  <c r="M58" i="27"/>
  <c r="O42" i="14" s="1"/>
  <c r="Q42" i="14" s="1"/>
  <c r="M49" i="27"/>
  <c r="P29" i="14"/>
  <c r="P27" i="14"/>
  <c r="P37" i="14"/>
  <c r="P8" i="14"/>
  <c r="Q8" i="14" s="1"/>
  <c r="P30" i="14"/>
  <c r="P5" i="14"/>
  <c r="P12" i="14"/>
  <c r="Q12" i="14" s="1"/>
  <c r="P14" i="14"/>
  <c r="P11" i="14"/>
  <c r="P20" i="14"/>
  <c r="Q20" i="14" s="1"/>
  <c r="P31" i="14"/>
  <c r="P19" i="14"/>
  <c r="P16" i="14"/>
  <c r="Q16" i="14" s="1"/>
  <c r="P25" i="14"/>
  <c r="P34" i="14"/>
  <c r="P22" i="14"/>
  <c r="Q22" i="14" s="1"/>
  <c r="P33" i="14"/>
  <c r="P9" i="14"/>
  <c r="Q9" i="14" s="1"/>
  <c r="P38" i="14"/>
  <c r="P7" i="14"/>
  <c r="Q7" i="14" s="1"/>
  <c r="P39" i="14"/>
  <c r="P28" i="14"/>
  <c r="P10" i="14"/>
  <c r="Q10" i="14" s="1"/>
  <c r="P24" i="14"/>
  <c r="P13" i="14"/>
  <c r="P18" i="14"/>
  <c r="Q18" i="14" s="1"/>
  <c r="P21" i="14"/>
  <c r="Q21" i="14" s="1"/>
  <c r="P23" i="14"/>
  <c r="Q23" i="14" s="1"/>
  <c r="O6" i="14"/>
  <c r="Q6" i="14" s="1"/>
  <c r="M42" i="27"/>
  <c r="O82" i="14"/>
  <c r="Q82" i="14" s="1"/>
  <c r="M7" i="27"/>
  <c r="M6" i="27"/>
  <c r="O65" i="14"/>
  <c r="Q65" i="14" s="1"/>
  <c r="M56" i="27"/>
  <c r="M51" i="27"/>
  <c r="O98" i="14"/>
  <c r="Q98" i="14" s="1"/>
  <c r="C86" i="33"/>
  <c r="O4" i="14" l="1"/>
  <c r="Q11" i="14"/>
  <c r="O35" i="14"/>
  <c r="Q35" i="14" s="1"/>
  <c r="Q5" i="14"/>
  <c r="O52" i="14"/>
  <c r="Q52" i="14" s="1"/>
  <c r="O47" i="14"/>
  <c r="Q47" i="14" s="1"/>
  <c r="O14" i="14"/>
  <c r="Q14" i="14" s="1"/>
  <c r="O54" i="14"/>
  <c r="Q54" i="14" s="1"/>
  <c r="O53" i="14"/>
  <c r="Q53" i="14" s="1"/>
  <c r="O15" i="14"/>
  <c r="Q15" i="14" s="1"/>
  <c r="O24" i="14"/>
  <c r="O13" i="14"/>
  <c r="Q13" i="14" s="1"/>
  <c r="O61" i="14"/>
  <c r="Q61" i="14" s="1"/>
  <c r="O56" i="14"/>
  <c r="Q56" i="14" s="1"/>
  <c r="O50" i="14"/>
  <c r="Q50" i="14" s="1"/>
  <c r="O62" i="14"/>
  <c r="Q62" i="14" s="1"/>
  <c r="O58" i="14"/>
  <c r="Q58" i="14" s="1"/>
  <c r="P110" i="14"/>
  <c r="O44" i="14"/>
  <c r="Q44" i="14" s="1"/>
  <c r="O46" i="14"/>
  <c r="Q46" i="14" s="1"/>
  <c r="O59" i="14"/>
  <c r="Q59" i="14" s="1"/>
  <c r="O92" i="14"/>
  <c r="Q92" i="14" s="1"/>
  <c r="O79" i="14"/>
  <c r="Q79" i="14" s="1"/>
  <c r="O78" i="14"/>
  <c r="Q78" i="14" s="1"/>
  <c r="O96" i="14"/>
  <c r="Q96" i="14" s="1"/>
  <c r="O68" i="14"/>
  <c r="Q68" i="14" s="1"/>
  <c r="O55" i="14"/>
  <c r="Q55" i="14" s="1"/>
  <c r="O66" i="14"/>
  <c r="Q66" i="14" s="1"/>
  <c r="O41" i="14"/>
  <c r="Q41" i="14" s="1"/>
  <c r="C88" i="33"/>
  <c r="M66" i="27"/>
  <c r="O43" i="14" s="1"/>
  <c r="Q43" i="14" s="1"/>
  <c r="O27" i="14"/>
  <c r="Q27" i="14" s="1"/>
  <c r="O28" i="14"/>
  <c r="Q28" i="14" s="1"/>
  <c r="O38" i="14"/>
  <c r="Q38" i="14" s="1"/>
  <c r="O39" i="14"/>
  <c r="Q39" i="14" s="1"/>
  <c r="O25" i="14"/>
  <c r="Q25" i="14" s="1"/>
  <c r="N21" i="25"/>
  <c r="N329" i="25" s="1"/>
  <c r="O32" i="14"/>
  <c r="Q32" i="14" s="1"/>
  <c r="O31" i="14"/>
  <c r="Q31" i="14" s="1"/>
  <c r="O34" i="14"/>
  <c r="Q34" i="14" s="1"/>
  <c r="O30" i="14"/>
  <c r="Q30" i="14" s="1"/>
  <c r="O37" i="14"/>
  <c r="Q37" i="14" s="1"/>
  <c r="M214" i="27" l="1"/>
  <c r="Q24" i="14"/>
  <c r="O29" i="14"/>
  <c r="Q29" i="14" s="1"/>
  <c r="O102" i="14"/>
  <c r="Q102" i="14" s="1"/>
  <c r="E27" i="16"/>
  <c r="O33" i="14"/>
  <c r="Q33" i="14" s="1"/>
  <c r="J110" i="14"/>
  <c r="I110" i="14"/>
  <c r="Q4" i="14" l="1"/>
  <c r="O57" i="14"/>
  <c r="Q57" i="14" s="1"/>
  <c r="O19" i="14"/>
  <c r="Q19" i="14" s="1"/>
  <c r="L110" i="14"/>
  <c r="Q110" i="14" l="1"/>
  <c r="O110" i="14"/>
  <c r="N110" i="14"/>
  <c r="M110" i="14"/>
  <c r="E38" i="16" l="1"/>
  <c r="K86" i="33" l="1"/>
  <c r="D34" i="16"/>
  <c r="K88" i="33" l="1"/>
  <c r="F38" i="16" l="1"/>
  <c r="L86" i="33"/>
  <c r="L88" i="33" s="1"/>
  <c r="M86" i="33"/>
  <c r="M88" i="33" s="1"/>
  <c r="D38" i="16"/>
  <c r="E34" i="16"/>
  <c r="N88" i="3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<sst xmlns="http://schemas.openxmlformats.org/spreadsheetml/2006/main" count="3678" uniqueCount="822">
  <si>
    <t>NF</t>
  </si>
  <si>
    <t>EMPRESA</t>
  </si>
  <si>
    <t>STATUS</t>
  </si>
  <si>
    <t>PROCESSO</t>
  </si>
  <si>
    <t xml:space="preserve">VALOR
 BRUTO </t>
  </si>
  <si>
    <t xml:space="preserve">VALOR 
LIQUIDO </t>
  </si>
  <si>
    <t>RETENÇÃO</t>
  </si>
  <si>
    <t>EMPENHO</t>
  </si>
  <si>
    <t>LIQUIDO</t>
  </si>
  <si>
    <t>SALDO DEVEDOR</t>
  </si>
  <si>
    <t>TOTAL PAGO</t>
  </si>
  <si>
    <t>VALOR DA
RETENÇÃO</t>
  </si>
  <si>
    <t>VENCIMENTO</t>
  </si>
  <si>
    <t>BRUTO</t>
  </si>
  <si>
    <t>FICHA</t>
  </si>
  <si>
    <t>DOTAÇÃO</t>
  </si>
  <si>
    <t>AÇÃO</t>
  </si>
  <si>
    <t>DESCRIÇÃO DA AÇÃO</t>
  </si>
  <si>
    <t>PROJETO</t>
  </si>
  <si>
    <t>P.A</t>
  </si>
  <si>
    <t>MÊS</t>
  </si>
  <si>
    <t>CONTRATO</t>
  </si>
  <si>
    <t>24501/2022</t>
  </si>
  <si>
    <t>20145/2018</t>
  </si>
  <si>
    <t>25678/2022</t>
  </si>
  <si>
    <t>24088/2019</t>
  </si>
  <si>
    <t>28501/2019</t>
  </si>
  <si>
    <t>6231/2022</t>
  </si>
  <si>
    <t>32701/2022</t>
  </si>
  <si>
    <t>CONSORCIO LIMPA GUARULHOS</t>
  </si>
  <si>
    <t>53689/2017</t>
  </si>
  <si>
    <t>35401/2022</t>
  </si>
  <si>
    <t>43770/2020</t>
  </si>
  <si>
    <t>37601/2021</t>
  </si>
  <si>
    <t>37432/2020</t>
  </si>
  <si>
    <t>9912505446/2020</t>
  </si>
  <si>
    <t>5801/2019</t>
  </si>
  <si>
    <t>11298/2018</t>
  </si>
  <si>
    <t>ESTORNO</t>
  </si>
  <si>
    <t>7333/2014</t>
  </si>
  <si>
    <t>ICAL SERVIÇOS ADMINISTRATIVOS LTDA.</t>
  </si>
  <si>
    <t xml:space="preserve"> PERÍODO EXECUÇÃO
FINAL</t>
  </si>
  <si>
    <t>RESERVA</t>
  </si>
  <si>
    <t>FEVEREIRO</t>
  </si>
  <si>
    <t>JANEIRO</t>
  </si>
  <si>
    <t>MARÇO</t>
  </si>
  <si>
    <t>ABRIL</t>
  </si>
  <si>
    <t>MAIO</t>
  </si>
  <si>
    <t>JUNHO</t>
  </si>
  <si>
    <t>JULHO</t>
  </si>
  <si>
    <t>AGOSTO</t>
  </si>
  <si>
    <t>SETEMBRO</t>
  </si>
  <si>
    <t>OUTUBRO</t>
  </si>
  <si>
    <t>NOVEMBRO</t>
  </si>
  <si>
    <t>DEZEMBRO</t>
  </si>
  <si>
    <t>PLANILHA LIQUIDAÇÕES</t>
  </si>
  <si>
    <t>ALVORADA SISTEMA AMBIENTAL EIRELI.</t>
  </si>
  <si>
    <t>ATTEND AMBIENTAL S.A</t>
  </si>
  <si>
    <t>CONSORCIO NOVE GESTÃO DE RESIDUOS</t>
  </si>
  <si>
    <t>EMPRESA BRASILEIRA DE CORREIOS E TELEGRAFOS</t>
  </si>
  <si>
    <t>LAVANDERIA PAULISTA LTDA</t>
  </si>
  <si>
    <t>SILCON AMBIENTAL LTDA</t>
  </si>
  <si>
    <t>VB AMBIENTAL CONSULTORIA E PROJETOS LTDA - ME</t>
  </si>
  <si>
    <t xml:space="preserve">CÓDIGO
 EMPRESA </t>
  </si>
  <si>
    <t xml:space="preserve">FICHA </t>
  </si>
  <si>
    <t>CONT.</t>
  </si>
  <si>
    <t>SALDO
PROJETO</t>
  </si>
  <si>
    <t>LIQUIDADO</t>
  </si>
  <si>
    <t>EMPENHADO</t>
  </si>
  <si>
    <t>ALTERAÇÃO
ORÇAMENT./PROJETO</t>
  </si>
  <si>
    <t>CÓDIGO EMPRESA</t>
  </si>
  <si>
    <t>VALOR DO CONTRATO</t>
  </si>
  <si>
    <t>Coluna1</t>
  </si>
  <si>
    <t>RESERVADO</t>
  </si>
  <si>
    <t>ANULADO/
CEDIDO</t>
  </si>
  <si>
    <t>SUPLEMENTADO/
RECEBIDO</t>
  </si>
  <si>
    <t>NOA LOCAÇÃO DE CAMINHÕES</t>
  </si>
  <si>
    <t>NUNCA EXCLUIR ESSA COLUNA, É BASE DE FORMULA, SE EXCLUIR VAI DAR ERRO</t>
  </si>
  <si>
    <t>HISTÓRICO</t>
  </si>
  <si>
    <t>VALOR</t>
  </si>
  <si>
    <t>COMPLEMENTO</t>
  </si>
  <si>
    <t>DESBLOQUEIO</t>
  </si>
  <si>
    <t>JUSTIFICATIVA</t>
  </si>
  <si>
    <t>ANULADO</t>
  </si>
  <si>
    <t>SUPLEMENTADO</t>
  </si>
  <si>
    <t>PAGO</t>
  </si>
  <si>
    <t>ATRASADO</t>
  </si>
  <si>
    <t>NO PRAZO</t>
  </si>
  <si>
    <t>VALOR
 EMPENHO</t>
  </si>
  <si>
    <t>SALDO 
CANCELADO</t>
  </si>
  <si>
    <t>PAGTO</t>
  </si>
  <si>
    <t>DIAS EM 
ATRASO / A VENCER</t>
  </si>
  <si>
    <t>VALORES PAGOS 
(FORMA PAGTO)</t>
  </si>
  <si>
    <t xml:space="preserve">PROJETO </t>
  </si>
  <si>
    <t xml:space="preserve">ORÇADO </t>
  </si>
  <si>
    <t xml:space="preserve"> PERÍODO 
EXECUÇÃO
INICIAL</t>
  </si>
  <si>
    <t>DATA</t>
  </si>
  <si>
    <t>PROGRAMA</t>
  </si>
  <si>
    <t>SALDO RESERVA</t>
  </si>
  <si>
    <t>CONTRATO
 ARP - AF</t>
  </si>
  <si>
    <t>VIGENCIA CONTRATO
INÍCIO</t>
  </si>
  <si>
    <t>VIGÊNCIA CONTATO 
TÉRMINO</t>
  </si>
  <si>
    <t>34846/2022</t>
  </si>
  <si>
    <t>CONTINGENCIADO</t>
  </si>
  <si>
    <t>SALDO INICIAL 
COM CONTING.</t>
  </si>
  <si>
    <t xml:space="preserve">PROGRAMA </t>
  </si>
  <si>
    <t>41351/2022</t>
  </si>
  <si>
    <t>LOOPINVEST - BONSUCESSO</t>
  </si>
  <si>
    <t>LOOPINVEST - CAMPO SANTO</t>
  </si>
  <si>
    <t>41350/2022</t>
  </si>
  <si>
    <t>EXECUTAR COMERCIAL E SERVIÇOS LTDA</t>
  </si>
  <si>
    <t>32933/2023</t>
  </si>
  <si>
    <t>SALDO DISPONIVEL
PARA ESTORNO</t>
  </si>
  <si>
    <t>Valor Contrato</t>
  </si>
  <si>
    <t xml:space="preserve">Valor 2024 </t>
  </si>
  <si>
    <t xml:space="preserve">Vig. Término </t>
  </si>
  <si>
    <t xml:space="preserve">P.A </t>
  </si>
  <si>
    <t xml:space="preserve">Contrato nº </t>
  </si>
  <si>
    <t xml:space="preserve">Vig. Início </t>
  </si>
  <si>
    <t>Valor 2024  ATÉ 18/10</t>
  </si>
  <si>
    <t>ALVORADA SISTEMA AMBIENTAL EIRELI</t>
  </si>
  <si>
    <t>EXECUTAR COMERCIAL E SERVICOS LTDA</t>
  </si>
  <si>
    <t>SILCON AMBIENTAL S/A</t>
  </si>
  <si>
    <t>MÊS DESEMBOLSO NF</t>
  </si>
  <si>
    <t>LOOPINVEST BONSUCESSO</t>
  </si>
  <si>
    <t>111528-1</t>
  </si>
  <si>
    <t>111528-0</t>
  </si>
  <si>
    <t>SALDO</t>
  </si>
  <si>
    <t>DATA LIQUID.</t>
  </si>
  <si>
    <t>CÓD. EMPRESA</t>
  </si>
  <si>
    <t>DESCONTING.</t>
  </si>
  <si>
    <t>REFERÊNCIA DE VALIDAÇÃO DE DADOS DE VALORES</t>
  </si>
  <si>
    <t>NÃO EXCLUIR ESSA COLUNA</t>
  </si>
  <si>
    <t>11789/2022</t>
  </si>
  <si>
    <t>SALDO DESEMBOLSO MENSAL</t>
  </si>
  <si>
    <t>DADOS DOS CONTRATOS QUE SERVEM DE BASE PARA MEDIÇÕES</t>
  </si>
  <si>
    <t>TOTAL MEDIÇÕES</t>
  </si>
  <si>
    <t>TOTAL ALT. ORÇ</t>
  </si>
  <si>
    <t>36764/2023</t>
  </si>
  <si>
    <t>39201/2023</t>
  </si>
  <si>
    <t xml:space="preserve">DATA: </t>
  </si>
  <si>
    <t/>
  </si>
  <si>
    <t>VALIDAÇÃO
 LIQUIDAÇÃO</t>
  </si>
  <si>
    <t>ESTIMADO 2025</t>
  </si>
  <si>
    <t>11201/2023</t>
  </si>
  <si>
    <t>A3 LOCAÇÃO DE MÁQUINAS  E CAMINHÕES</t>
  </si>
  <si>
    <t>NÃO DELETAR NENHUMA INFORMAÇÃO DESTAS TABELAS POIS ELAS SERVEM DE BASE PARA AS DEMAIS PLANILHAS, APENAS ALTERAR AS 
INFORMAÇÕES DOS CONTRATOS QUANDO HOUVER,</t>
  </si>
  <si>
    <t>ATUALIZADO EM:</t>
  </si>
  <si>
    <t>DESCRIÇÃO PJ</t>
  </si>
  <si>
    <t>PROG.</t>
  </si>
  <si>
    <t>DEPTO</t>
  </si>
  <si>
    <t>23401/2022</t>
  </si>
  <si>
    <t>29501/2023 - DLC</t>
  </si>
  <si>
    <t>29601/2023 - DLC</t>
  </si>
  <si>
    <t>LOPES SAAB ENGENHARIA LTDA</t>
  </si>
  <si>
    <t>SALDO EMPENHO
JÁ COM ESTORNO</t>
  </si>
  <si>
    <t>LOPES SAAB</t>
  </si>
  <si>
    <t>39077/2023</t>
  </si>
  <si>
    <t>NEO-TAGUS COMERCIO E ASSISTENCIA TECNICA LTDA</t>
  </si>
  <si>
    <t>PREVISÃO DE 
PAGTO ATUAL</t>
  </si>
  <si>
    <t>18801/2024</t>
  </si>
  <si>
    <t>CDR PEDREIRA CENTRO DE DISPOSICAO DE RESIDUOS LTDA.</t>
  </si>
  <si>
    <t>6701/2024</t>
  </si>
  <si>
    <t xml:space="preserve"> </t>
  </si>
  <si>
    <t>ALTERAÇÃO ORÇAMENTÁRIA E PROJETO 2025</t>
  </si>
  <si>
    <t>ESTIMADO 2026</t>
  </si>
  <si>
    <t>DELURB</t>
  </si>
  <si>
    <t>COLETA DE LIXO</t>
  </si>
  <si>
    <t>Coleta, Tratamento e Destinação dos Resíduos Sólidos Urbanos</t>
  </si>
  <si>
    <t>3110.1545200302.124.01.1100000.339039.0000</t>
  </si>
  <si>
    <t>3110.1545200302.124.01.1100000.339030.0000</t>
  </si>
  <si>
    <t>DAF</t>
  </si>
  <si>
    <t>CONSULTORIA</t>
  </si>
  <si>
    <t>3110.1512200322.128.01.1100000.339035.0000</t>
  </si>
  <si>
    <t xml:space="preserve">Gestão e Modernização da Secretaria de Serviços Públicos </t>
  </si>
  <si>
    <t>CONTRATOS DE INFORMÁTICA</t>
  </si>
  <si>
    <t>3110.1512200322.128.01.1100000.339039.0000</t>
  </si>
  <si>
    <t>3110.1512200322.128.01.1100000.339040.0000</t>
  </si>
  <si>
    <t>3110.1545200321.032.01.1100000.449052.0000</t>
  </si>
  <si>
    <t xml:space="preserve">Implantação e Ampliação  da Secretaria de Serviços Públicos </t>
  </si>
  <si>
    <t>CURSO / CAPACITAÇÃO</t>
  </si>
  <si>
    <t>DIÁRIAS</t>
  </si>
  <si>
    <t>3110.1512200322.128.01.1100000.339014.0000</t>
  </si>
  <si>
    <t>EQUIPAMENTO DE PROTEÇÃO INDIVIDUAL (EPI)</t>
  </si>
  <si>
    <t>3110.1512200322.128.01.1100000.339030.000</t>
  </si>
  <si>
    <t>FORNECIMENTO DE ALIMENTAÇÃO ( COFEE, ALMOÇO E OUTROS)</t>
  </si>
  <si>
    <t>3110.1512200322.128.01.1100000.339030.0000</t>
  </si>
  <si>
    <t>Proteção e Benefício ao Trabalhador</t>
  </si>
  <si>
    <t xml:space="preserve"> Inversões Financeiras (SERVIÇOS FUNERÁRIOS)</t>
  </si>
  <si>
    <t>investimento (Maquinário e equipamentos)</t>
  </si>
  <si>
    <t>Investimento (outros)</t>
  </si>
  <si>
    <t>3110.1545200292.123.01.1100000.459062.0000</t>
  </si>
  <si>
    <t>3110.1512200322.128.01.1100000.449052.0000</t>
  </si>
  <si>
    <t>3110.1545200321.032.01.1100000.449030.0000</t>
  </si>
  <si>
    <t>3110.1545200321.032.01.1100000.449039.0000</t>
  </si>
  <si>
    <t>3110.1545200781.060.01.1100000.449039.0000</t>
  </si>
  <si>
    <t>Manutenção Funerária e Cemiterial</t>
  </si>
  <si>
    <t>Implantação,Ampliação e Modernização dos Próprios da SSP</t>
  </si>
  <si>
    <t>Locação de Imóveis</t>
  </si>
  <si>
    <t>Locação de Equipamentos de Informática</t>
  </si>
  <si>
    <t>3110.1512200322.128.01.1100000.339039.000</t>
  </si>
  <si>
    <t>MATERIAIS DE CONSTRUÇÃO</t>
  </si>
  <si>
    <t>Locação de Veículos</t>
  </si>
  <si>
    <t>MATERIAIS DE DISTRIBUIÇÃO GRATUITA</t>
  </si>
  <si>
    <t>MATERIAIS GRÁFICOS</t>
  </si>
  <si>
    <t>MATERIAIS DIVERSOS</t>
  </si>
  <si>
    <t>Materiais de Limpeza e Higiene</t>
  </si>
  <si>
    <t>DSF</t>
  </si>
  <si>
    <t>3110.1545200292.123.01.1100000.339032.0000</t>
  </si>
  <si>
    <t>Outros Odcs</t>
  </si>
  <si>
    <t>3110.1545200302.126.01.1100000.339030.0000</t>
  </si>
  <si>
    <t>3110.1545200302.126.01.1100000.339039.0000</t>
  </si>
  <si>
    <t>3110.1545200302.126.01.1100000.449052.0000</t>
  </si>
  <si>
    <t>3110.1512200322.128.01.1100000.339033.0000</t>
  </si>
  <si>
    <t>Modernização, Fortalecimento as Mudanças de Comportamento para Sustentabilidade.</t>
  </si>
  <si>
    <t>PASSAGENS</t>
  </si>
  <si>
    <t>Peças para máquinas e equipamentos</t>
  </si>
  <si>
    <t>Seguro de Veículos</t>
  </si>
  <si>
    <t>SERVIÇO DE POSTAGEM</t>
  </si>
  <si>
    <t>Serviços Funerários</t>
  </si>
  <si>
    <t>3110.1545200291.028.01.1100000.449030.0000</t>
  </si>
  <si>
    <t>3110.1545200291.028.01.1100000.449039.0000</t>
  </si>
  <si>
    <t>3110.1545200292.123.01.1100000.339030.0000</t>
  </si>
  <si>
    <t>3110.1545200292.123.01.1100000.339033.0000</t>
  </si>
  <si>
    <t>3110.1545200292.123.01.1100000.339039.0000</t>
  </si>
  <si>
    <t>3110.1545200292.123.01.1100000.449052.0000</t>
  </si>
  <si>
    <t>Implantação e Ampliação Funerária e Cemiterial</t>
  </si>
  <si>
    <t>Telefonia móvel</t>
  </si>
  <si>
    <t xml:space="preserve"> uniformes</t>
  </si>
  <si>
    <t xml:space="preserve"> CEMITÉRIO BONSUCESSO</t>
  </si>
  <si>
    <t>CEMITÉRIO VILA RIO</t>
  </si>
  <si>
    <t>3110.1545200291.028.01.1100000.449051.0000</t>
  </si>
  <si>
    <t>CUSTAS PROCESSUAIS</t>
  </si>
  <si>
    <t>LOCAÇÃO DE CAMINHÕES</t>
  </si>
  <si>
    <t xml:space="preserve"> LOCAÇÃO DE MÁQUINAS</t>
  </si>
  <si>
    <t>MANUTENÇÃO DE BENS MÓVEIS</t>
  </si>
  <si>
    <t>MUTIRÃO - MATERIAIS</t>
  </si>
  <si>
    <t>3110.1545200781.061.01.1100000.449030.0000</t>
  </si>
  <si>
    <t>3110.1545200781.061.01.1100000.449039.0000</t>
  </si>
  <si>
    <t>DMC</t>
  </si>
  <si>
    <t>Implantação e Ampliação de Pavimentação Comunitária</t>
  </si>
  <si>
    <t>RECARGA E MANUTENÇÃO DE EXTINTORES</t>
  </si>
  <si>
    <t>SERVIÇO DE TELECOMUNICAÇÕES - LINKS</t>
  </si>
  <si>
    <t>REPARAÇÃO DE DANOS CAUSADOS À TERCEIROS</t>
  </si>
  <si>
    <t>DPVAT</t>
  </si>
  <si>
    <t>PAGAMENTO DE MULTAS DE TRÂNSITO</t>
  </si>
  <si>
    <t>3110.1512200322.128.01.1100000.339093.0000</t>
  </si>
  <si>
    <t>Aterro</t>
  </si>
  <si>
    <t>3110.1545200301.029.01.1100000.449051.0000</t>
  </si>
  <si>
    <t>3110.1545200302.125.01.1100000.449052.0000</t>
  </si>
  <si>
    <t>Gestão do Sistema de Coleta de Resíduos.</t>
  </si>
  <si>
    <t xml:space="preserve">FUNDO MUNICIPAL DE RESÍDUOS SÓLIDOS </t>
  </si>
  <si>
    <t>3191.1545200332.130.01.1000259.339014.0564</t>
  </si>
  <si>
    <t>3191.1545200332.130.01.1000259.339030.0564</t>
  </si>
  <si>
    <t>3191.1545200332.130.01.1000259.339033.0564</t>
  </si>
  <si>
    <t>3191.1545200332.130.01.1000259.339035.0564</t>
  </si>
  <si>
    <t>3191.1545200332.130.01.1000259.339039.0564</t>
  </si>
  <si>
    <t>3191.1545200332.130.01.1000259.449052.0564</t>
  </si>
  <si>
    <t>3191.1545200332.130.01.1000259.339036.0564</t>
  </si>
  <si>
    <t>Gestão de Resíduos Sólidos no Município</t>
  </si>
  <si>
    <t>FMRS</t>
  </si>
  <si>
    <t>FUNDO MUNICIPAL FUNERÁRIO - FMF</t>
  </si>
  <si>
    <t>3192.1545200792.225.01.1000355.339030.0832</t>
  </si>
  <si>
    <t>3192.1545200792.225.01.1000355.339035.0832</t>
  </si>
  <si>
    <t>3192.1545200792.225.01.1000355.339036.0832</t>
  </si>
  <si>
    <t>3192.1545200792.225.01.1000355.339039.0832</t>
  </si>
  <si>
    <t>3192.1545200791.063.01.1000355.449051.0832</t>
  </si>
  <si>
    <t>3192.1545200791.063.01.1000355.449052.0832</t>
  </si>
  <si>
    <t>FMF</t>
  </si>
  <si>
    <t>Conservação Funerária e Cemiterial</t>
  </si>
  <si>
    <t>Modernização do Serviço Funerário e Cemiterial</t>
  </si>
  <si>
    <t>3110.1533100322.129.01.1100000.339030.0000</t>
  </si>
  <si>
    <t>Recebimento e Disposição Final de Resíduos Sólidos Urbanos gerados no Município de Guarulhos em Aterro Sanitário privado licenciado -CTR 026001/202-4DLC - Vigencia 26/07/2024 a 26/01/2027</t>
  </si>
  <si>
    <t>Contrato de Prestação de Serviços de Manutenção Preventiva e Corretiva em Relógios de Registro de Ponto e Nobreaks
CPS 23401/2022</t>
  </si>
  <si>
    <t>ARP 52511/2024
Vigência: 02/12/2024 a 02/12/2025
Fornecimento de Enfeites Florais
Processo SEI:1102.2025/0000148-7</t>
  </si>
  <si>
    <t>Fornecimento de Peças para Contrato de Prestação de Serviços de Manutenção Preventiva e Corretiva em Equipamentos de Ar Condicionado e Cortinas de Ar CPS 8801/2024 DLC</t>
  </si>
  <si>
    <t>Contrato de Prestação de Serviços de Seguro para 2 Caminhões da SSP
CPS 40301/2024</t>
  </si>
  <si>
    <t>Fornecimento de Peças para Contrato de Prestação de Serviços de Manutenção Preventiva e Corretiva em Plataforma de Acessibilidade Requisição 16/2024</t>
  </si>
  <si>
    <t>Prestação de serviços de coleta, transporte e destinação final ambientalmente adequada dos resíduos sólidos gerados no município de Guarulhos</t>
  </si>
  <si>
    <t>ARP 55811/2024
Vigência: 26/12/2024 a 26/12/2025
Fornecimento de Urnas Mortuárias
Processo SEI: 1102.2025/0000145-2</t>
  </si>
  <si>
    <t>Monitoramento Ambiental e Geotécnico do Aterro Sanitário de Guarulhos e do Aterro Controlado - CTR 018801/2024-DLC - Vigência 14/05/2024 a 14/05/2025</t>
  </si>
  <si>
    <t>Coleta e Transporte de Líquido percolado (chorume) gerado no Aterro Sanitário 
Contrato nº 24501/2022- DLC 
Vigência: 22/08/2024 a 22/08/2025</t>
  </si>
  <si>
    <t>Procedimento Licitatório para aquisição de EPIs para a Usina de Resíduos da Construção Civil
Requisição 001/2025</t>
  </si>
  <si>
    <t>Serviços de recepção e tratamento dos líquidos percolados (Chorume) gerados no Aterro Sanitário e no Aterro Controlado do Município de Guarulhos e a disposição final dos rejeitos gerados neste processo. CTR 6701/2024-DLC - Vigencia 08/03/2024 a 08/09/2026</t>
  </si>
  <si>
    <t xml:space="preserve">ARP 47811/2024
Vigência: 06/11/2024 A 06/11/2025
Fornecimento de Televisores
Processo SEI 1102.2025/0000149-5
</t>
  </si>
  <si>
    <t>Contrato de Prestação de Serviços de Manutenção Preventiva e Corretiva em Plataforma de Acessibilidade
Requisição 16/2024</t>
  </si>
  <si>
    <t>Dispensa de Licitação para aquisição de peças de reposição para PC Minipro C6300 (Positivo)
Requisição 24/2024</t>
  </si>
  <si>
    <t>ARP 55811/2024 
Vigência: 26/12/2024 a 26/12/2025 
Fornecimento de Urnas Mortuárias 
Processo SEI: 1102.2025/0000145-2</t>
  </si>
  <si>
    <t>Aquisição de EPIs para a Usina de Resíduos da Construção Civil
Requisição 21/2024</t>
  </si>
  <si>
    <t xml:space="preserve">Serviços de monitoramento e controle de fauna e de avifauna do Aterro Sanitário de Guarulhos, Bairro Cabuçu - CTR 37601/21 DLC - Vigencia 01/06/2024 a 01/06/2025
</t>
  </si>
  <si>
    <t>Procedimento Licitatório para aquisição de Telhas, Parafusos, Portas e Janelas
Requisição 28/2024</t>
  </si>
  <si>
    <t>ARP 55711/2024
Vigência: 26/12/2024 a 26/12/2025
Fornecimento de Urnas Mortuárias
Processo SEI: 1102.2025/0000144-4</t>
  </si>
  <si>
    <t>ontrato de Prestação de Serviços de Manutenção Preventiva e Corretiva em Equipamentos de Ar Condicionado e Cortinas de Ar CPS 8801/2024 DLC</t>
  </si>
  <si>
    <t>S H MACIEL LOPES LTDA</t>
  </si>
  <si>
    <t>L.C. KLIEMANN</t>
  </si>
  <si>
    <t>NELSON TAKAO YOSHIDA</t>
  </si>
  <si>
    <t xml:space="preserve">Contratação de Serviços Gráficos Confecção e fornecimento de Impressos- Contrato de prestação de serviços
Contrato nº: 043.601/2022 - DLC
</t>
  </si>
  <si>
    <t>Alteração orçamentaria</t>
  </si>
  <si>
    <t xml:space="preserve">Contratação de execução dos serviços de recepção, armazenamento e triagem no processo de destinação ambientalmente adequada dos resíduos recicláveis secos gerados no município de Guarulhos originados pela coleta seletiva ofertada pela Prefeitura Municipal de Guarulhos com cessão de uso de área da Central Municipal de Triagem Vila Galvão.
CTR 37101/2024 - DLC
Vigência  30 meses				
</t>
  </si>
  <si>
    <t xml:space="preserve">Contratação de execução dos serviços de recepção, armazenamento e triagem no processo de destinação ambientalmente adequada dos resíduos recicláveis secos gerados no município de Guarulhos originados pela coleta seletiva ofertada pela Prefeitura Municipal de Guarulhos.
CTR. 37301/2024
Vigência 30 meses						
</t>
  </si>
  <si>
    <t>Contratação de empresa para construção de lóculos/gavetas mortuárias em concreto armado, junto ao Cemitério Necropole do Campo Santo Contrato nº: 29601/2023 - DLC Prorrogação de contrato ate dia 29/06/2025</t>
  </si>
  <si>
    <t xml:space="preserve">Contratação de execução dos serviços de recepção, armazenamento e triagem no processo de destinação ambientalmente adequada dos resíduos recicláveis secos gerados no município de Guarulhos originados pela coleta seletiva ofertada pela Prefeitura Municipal de Guarulhos.
CTR. 37601/2024 - DLC
Vigência: 30 meses						
</t>
  </si>
  <si>
    <t>Execução de reforma e ampliação da área impermeabillizada do tanque reservatório de líquido percolado (chorume ) no aterro sanitário. - CTR36801/24 Vigencia 05/12/24 a 05/03/25</t>
  </si>
  <si>
    <t xml:space="preserve">Contratação de execução dos serviços de recepção, armazenamento e triagem no processo de destinação ambientalmente adequada dos resíduos reciclavéis secos gerados no município de Guarulhos originados pela coleta seletiva ofertada pela Prefeitura Municipal de Guarulhos.
CTR. 37501/2024.
Vigências: 30 meses						
</t>
  </si>
  <si>
    <t xml:space="preserve">Contratação de execução dos serviços de recepção, armazenamento e triagem no processo de destinação ambientalmente adequada dos resíduos reciclavéis secos gerados no município de Guarulhos originados pela coleta seletiva ofertada pela Prefeitura Municipal de Guarulhos com cessão de uso de área da Central Municipal de Triagem Ponte Alta	
CTR 37001/2024
Vigência 30 meses				
</t>
  </si>
  <si>
    <t>Coleta, transporte, tratamento e destinação ambientalmente adequada dos resíduos de serviços de saúde pública e privados. CRT 39201/2023 - vigencia 11/12/2023 a 11/06/2026</t>
  </si>
  <si>
    <t xml:space="preserve">Contratação de execução dos serviços de recepção, armazenamento e triagem no processo de destinação ambientalmente adequada dos resíduos recicláveis secos gerados no município de Guarulhos originados pela coleta seletiva ofertada pela Prefeitura Municipal de Guarulhos.
CTR. 37701/2024 - DLC
Vigência: 30 meses						
</t>
  </si>
  <si>
    <t>Contratação da Empresa Brasileira de Correios e Telégrafos – EBCT, para execução de serviços de postagens de correspondências.
Contrato nº:9912505446
Vigência:07/10/2024 a 07/10/2025</t>
  </si>
  <si>
    <t xml:space="preserve">Contratação de execução dos serviços de recepção, armazenamento e triagem no processo de destinação ambientalmente adequada dos resíduos reciclavéis secos gerados no município de Guarulhos originados pela coleta seletiva ofertada pela Prefeitura Municipal de Guarulhos com cessão de uso de área da Central Municipal de Triagem Taboão.
CTR 41101/2024
Vigência 30 meses					
</t>
  </si>
  <si>
    <t>(76,20%do Consórcio LOC GRU) locação de caminhões e máquinas
Pregão 29/2023DLC - Vigencia 26/04/23 a 26/04/24</t>
  </si>
  <si>
    <t xml:space="preserve">Contratação de execução dos serviços de recepção, armazenamento e triagem no processo de destinação ambientalmente adequada dos resíduos recicláveis secos gerados no município de Guarulhos originados pela coleta seletiva ofertada pela Prefeitura Municipal de Guarulhos.
CTR.37201/2024
Vigência 30 meses			
</t>
  </si>
  <si>
    <t xml:space="preserve">Contratação de execução dos serviços de recepção, armazenamento e triagem no processo de destinação ambientalmente adequada dos resíduos recicláveis secos gerados no município de Guarulhos originados pela coleta seletiva ofertada pela Prefeitura Municipal de Guarulhos. 
CTR. 37401/2024
Vigência 30 meses					
</t>
  </si>
  <si>
    <t xml:space="preserve">Operação do Aterro Sanitário de Guarulhos
Contrato  nº:38701/2024- DLC
Prazo de vigência contratual:18 meses contados  da data da ordem de inicio do serviço </t>
  </si>
  <si>
    <t>Contratação de empresa para construção de lóculos/gavetas mortuárias em concreto armado, junto ao Cemitério Nossa Senhora do Bonsucesso Contrato nº: 29501/2023 - DLC 
Prorrogação de contaro ate dia 27/02/2025</t>
  </si>
  <si>
    <t>COOPERATIVA DE TRABALHO NOVO BAMBI</t>
  </si>
  <si>
    <t>23,80% do Consórcio LOC GRU) Locação de caminhões e máquinas Contrato nº: 11201/2023 Vigência:12 meses contados da data de Ordem de Início dos serviços: 26/04/2024 a 26/04/2025</t>
  </si>
  <si>
    <t>ALFA-X COMERCIO E SERVIÇOS LTDA</t>
  </si>
  <si>
    <t>Contratação de empresa para construção de lóculos/gavetas mortuárias em concreto armado, junto ao Cemitério Nossa Senhora do Bonsucesso Contrato nº: 29501/2023 - DLC Prorrogação de contrato ate dia 27/02/2025</t>
  </si>
  <si>
    <t>FORNECIMENTO DE BANNER, FAIXA, ADESIVOS E OUTROS
Vigência: 	09/02/2024 a 09/02/2025
Ata de Registro de Preço nº.5611/2024- SF06</t>
  </si>
  <si>
    <t>C A DE O NEVES</t>
  </si>
  <si>
    <t>Contratação de execução dos serviços de recepção, armazenamento e triagem no processo de destinação ambientalmente adequada dos resíduos reciclavéis secos gerados no município de Guarulhos originados pela coleta seletiva ofertada pela Prefeitura Municipal de Guarulhos com cessão de uso de área da Central Municipal de Triagem Vila Galvão. - CTR 37101/2024 -Vigência 30 meses</t>
  </si>
  <si>
    <t>ARP 1311/2025 Vigência: 04/02/2025 a 04/02/2026 Fornecimento de Urnas Mortuárias Processo SEI 1102.2025/0000240-8</t>
  </si>
  <si>
    <t>ARP 1011/2025 Vigência: 20/01/2025 a 20/01/2026 Fornecimento de Urnas Mortuárias Processo SEI: 1102.2025/0000228-9</t>
  </si>
  <si>
    <t>ARP 14011/2024 Vigência: 22/04/2024 a 22/04/2025 FORNECIMENTO DE PÃO FRANCÊS COM MARGARINA Processo SEI: 1102. 2024/0000 892-7</t>
  </si>
  <si>
    <t>24980/2023</t>
  </si>
  <si>
    <t>IGM2 METROLOGIA E MANUTENCAO LTDA</t>
  </si>
  <si>
    <t>Recursos Vinculados</t>
  </si>
  <si>
    <t>Excesso - Recursos Vinculados - FEHIDRO</t>
  </si>
  <si>
    <t>3110.1545200301.029.02.1000366.449051.0893</t>
  </si>
  <si>
    <t>Implantação, Ampliação e Demais Ações Inerentes ao Sistema de Coleta de ResíduoS</t>
  </si>
  <si>
    <t>43/2025</t>
  </si>
  <si>
    <t>42/2025</t>
  </si>
  <si>
    <t>41/2025</t>
  </si>
  <si>
    <t>397/2025</t>
  </si>
  <si>
    <t>11225/2024</t>
  </si>
  <si>
    <t>5825/2024</t>
  </si>
  <si>
    <t>9513/20024</t>
  </si>
  <si>
    <t>39/2025</t>
  </si>
  <si>
    <t>NOA SERVICOS E LOCACAO LTDA</t>
  </si>
  <si>
    <t>Construção de central de triagem de materiais reciclaveis - Fehidro - CTR 28301/2024 DLC - Vigencia 13/09/24 a 13/04/25.</t>
  </si>
  <si>
    <t>PAIVA NOGUEIRA CONSTRUTORA LTDA</t>
  </si>
  <si>
    <t>CONSORCIO CENTRO DE TRATAMENTO DE RESIDUOS GUARULHOS</t>
  </si>
  <si>
    <t>44366/2022</t>
  </si>
  <si>
    <t>44/2025</t>
  </si>
  <si>
    <t>10152/2024</t>
  </si>
  <si>
    <t>:9912505446</t>
  </si>
  <si>
    <t>38/2025</t>
  </si>
  <si>
    <t>40/2025</t>
  </si>
  <si>
    <t>37/2025</t>
  </si>
  <si>
    <t>24081/2021</t>
  </si>
  <si>
    <t>25928/2021</t>
  </si>
  <si>
    <t>Prestação de Serviços de Locação de Conjunto de Uniformes com Lavagem, Higienização e Fornecimento de Armários Roupeiros e Coletores CPS 23401/2022 DLC</t>
  </si>
  <si>
    <t>ARP 8111/2024 Vigência: 27/02/2024 a 27/02/2025 FORNECIMENTO DE AREIA MÉDIA LAVADA</t>
  </si>
  <si>
    <t>9215/2025</t>
  </si>
  <si>
    <t>GPS 40301/2024</t>
  </si>
  <si>
    <t>1796/2024</t>
  </si>
  <si>
    <t>Coleta, transporte, tratamento e destinação ambientalmente adequada dos resíduos de serviços de saúde do Município de Guarulhos (Público e Privado)
CTR 39201/2023 
Vigência 11/12/2023 a 11/06/2026</t>
  </si>
  <si>
    <t>Adiantamento de Verba para Prestação de Serviço de Manutenção Corretiva em Portão Automático na Entrada/Saída de Veículos da Sede Administrativa da SSP</t>
  </si>
  <si>
    <t>Adiantamento de Verba para Aquisição de Material Manutenção Corretiva em Portão Automático na Entrada/Saída de Veículos da Sede Administrativa da SSP</t>
  </si>
  <si>
    <t>janeiro</t>
  </si>
  <si>
    <t>SEGUROS SURA S.A</t>
  </si>
  <si>
    <t>A3 TERRAPLENAGEM E ENGENHARIA LTDA</t>
  </si>
  <si>
    <t>9074/2024</t>
  </si>
  <si>
    <t>COOPERATIVA DE TRABALHO DE CATADORES E CATADORAS DE MATERIAL DE RECICLAGEM VILA RENATA CRV</t>
  </si>
  <si>
    <t>REINALDO CRUZ LIMA</t>
  </si>
  <si>
    <t>569/2025</t>
  </si>
  <si>
    <t>COOPERATIVA DE TRABALHO DE CATADORAS E CATADORES DE MATERIAIS RECICLAVEIS NOVA VIDA</t>
  </si>
  <si>
    <t>GIOVANA ANTUNES MODENA MACHADO</t>
  </si>
  <si>
    <t>ABEX SUPPLY IMPORTACAO E EXPORTACAO LTDA</t>
  </si>
  <si>
    <t>AFM COMERCIAL E SERVICOS LTDA</t>
  </si>
  <si>
    <t>BIGNOTTO INDUSTRIA E COMERCIO LTDA</t>
  </si>
  <si>
    <t>CDR PEDREIRA CENTRO DE DISPOSIÇÃO DE RESÍDUOS LTDA</t>
  </si>
  <si>
    <t>CECM PÂES LTDA</t>
  </si>
  <si>
    <t>COOPERATIVA DE TRABALHO COLETA TRIAGEM BENEFICIAMENTO E COMERCIO DE MATERIAIS RECICLAVEIS NOVO CICLO</t>
  </si>
  <si>
    <t>COOPERATIVA DE TRABALHO DAS CATADORAS E CATADORES DE MATERIAIS RECICLAVEIS LUTA E VIDA</t>
  </si>
  <si>
    <t>COOPERATIVA DE TRABALHO DE CATADORAS DE CATADORES DE MATERIAIS RECICLAVEIS GUARULHOS RECICLA</t>
  </si>
  <si>
    <t>COOPERATIVA DE TRABALHO DE CATADORAS E CATADORES DE MATERIAIS RECICLAVEIS SINERGIA BRASIL</t>
  </si>
  <si>
    <t>COOPERATIVA DE TRABALHO DE RECICLAGEM ECO GUARULHOS</t>
  </si>
  <si>
    <t>COOPERATIVA DE TRABALHO DOS CATADORES DA AREA DE MATERIAIS RECICLAVEIS DE GUARULHOS</t>
  </si>
  <si>
    <t>ERAGON COMERCIO E SERVICOS DE INFORMATICA E PAPELARIA LTDA</t>
  </si>
  <si>
    <t>RAFER INDÚSTRIA COMÉRCIO DE ARTEFATOS DE MADEIRA LTDA</t>
  </si>
  <si>
    <t>UA GRAFICA - COMERCIO E PRESTACAO DE SERVICOS GRAFICOS LTDA</t>
  </si>
  <si>
    <t>VB AMBIENTAL CONSULTORIA E PROJETOS LTDA-ME</t>
  </si>
  <si>
    <t>5825/2025</t>
  </si>
  <si>
    <t>L DOS SANTOS FERNANDES</t>
  </si>
  <si>
    <t>33110/2023</t>
  </si>
  <si>
    <t>12627/2024</t>
  </si>
  <si>
    <t>11737/2025</t>
  </si>
  <si>
    <t>10767/2024</t>
  </si>
  <si>
    <t>ELEMENTO 92</t>
  </si>
  <si>
    <t>3110.1545200302.124.01.1100000.339092.0000</t>
  </si>
  <si>
    <t xml:space="preserve">Operação do Aterro Sanitário de Guarulhos
CTR 32701/2022 - DLC 
VIGÊNCIA: 04/10/2024 A 04/01/2025
</t>
  </si>
  <si>
    <t>3110.1512200322.128.01.1100000.339092.0000</t>
  </si>
  <si>
    <t>Reempenho referente ao fornecimento de adaptador de rede, placa mãe e memoria,decorrente ao cancelamento do saldo do empenho nº 22356/2024, realizado pela Secretaria da Fazenda através do SEI nº 1103.2024/0000850-7/2024</t>
  </si>
  <si>
    <t xml:space="preserve">Reempenho referente ao fornecimento de bone decorrente ao cancelamento do saldo do empenho nº 4588/2024, realizado pela Secretaria da Fazenda através do SEI nº 1103.2024/0000850-7/2024 </t>
  </si>
  <si>
    <t>3110.1545200302.126.01.1100000.339092.0000</t>
  </si>
  <si>
    <t>Reempenho referente ao serviço de manutenção preventiva de ar condicionado,bem como o fornecimento de peças para sua manutenção, decorrente do cancelamento do saldo do empenho nº 6298/2024 e 6302/2024 realizado pela Secretaria da Fazenda através do SEI nº 1103.2024/0000850-7/2024</t>
  </si>
  <si>
    <t>Reempenho referente ao fornecimento de Lâmpada incandescente  decorrente ao cancelamento do saldo do empenho nº 22391/2024, realizado pela Secretaria da Fazenda através do SEI nº 1103.2024/0000850-7/2024</t>
  </si>
  <si>
    <t>Reempenho referente ao serviço de seguro veicular da retroescavadeira e picador cancelamento do saldo do empenho nº 22968/2024, realizado pela Secretaria da Fazenda através do SEI nº 1103.2024/0000850-7/2024</t>
  </si>
  <si>
    <t>Reempenho referente ao fornecimento de serviços de correios e telégrafos decorrente ao cancelamento do saldo do empenho nº 14199/2024, realizado pela Secretaria da Fazenda através do SEI nº 1103.2024/0000850-7/2024</t>
  </si>
  <si>
    <t>3110.1545200302.126.01.1100000.449092.0000</t>
  </si>
  <si>
    <t>Reempenho referente ao fornecimento de motobomba decorrente ao cancelamento do saldo do empenho nº 22275/2024, realizado pela Secretaria da Fazenda através do SEI nº 1103.2024/0000850-7/2024</t>
  </si>
  <si>
    <t>Reempenho referente a manutenção do relógio de ponto decorrente ao cancelamento do saldo do empenho nº 13578/2024, realizado pela Secretaria da Fazenda através do SEI nº 1103.2024/0000850-7/2024</t>
  </si>
  <si>
    <t>(76,20%do Consórcio LOC GRU) locação de caminhões e máquinas
Pregão 29/2023DLC - Vigencia 26/04/24 a 26/04/25</t>
  </si>
  <si>
    <t>GENTE SEGURADORA SA</t>
  </si>
  <si>
    <t>CCS COMERCIO SERVICOS E LOCACAO DE MAQUINAS E EQUIPAMENTOS LTDA</t>
  </si>
  <si>
    <t>MAIS ENERGIA COMPONENTES ELETRICOS LTDA</t>
  </si>
  <si>
    <t>CASAMAX COMERCIAL E SERVICOS LTDA</t>
  </si>
  <si>
    <t>62095/2022</t>
  </si>
  <si>
    <t>CTR 32701/2022</t>
  </si>
  <si>
    <t>24981/2023</t>
  </si>
  <si>
    <t>5978/2024</t>
  </si>
  <si>
    <t>35616/2023</t>
  </si>
  <si>
    <t>53597/2023</t>
  </si>
  <si>
    <t>361/2025</t>
  </si>
  <si>
    <t>ARP 52511/2024</t>
  </si>
  <si>
    <t>1063/2025</t>
  </si>
  <si>
    <t>ARP 1011/2025</t>
  </si>
  <si>
    <t>PR 29/2023</t>
  </si>
  <si>
    <t>NT</t>
  </si>
  <si>
    <t>RP 5611/2024</t>
  </si>
  <si>
    <t>56569/2023</t>
  </si>
  <si>
    <t>29501/2023</t>
  </si>
  <si>
    <t>29601/2023</t>
  </si>
  <si>
    <t>362/2025</t>
  </si>
  <si>
    <t>ARP 55711/2024</t>
  </si>
  <si>
    <t>59787/2023</t>
  </si>
  <si>
    <t>ARP 55711/2024 Vigência: 03/02/2025 A 03/02/2026 Fornecimento de Urnas Mortuárias SEI:1102.2025/0000635-7</t>
  </si>
  <si>
    <t>Fornecimento de Urnas Mortuárias - ARP 1011/2025</t>
  </si>
  <si>
    <t>1181/2025</t>
  </si>
  <si>
    <t>ARP 14011/2025</t>
  </si>
  <si>
    <t>CTR 026001/24</t>
  </si>
  <si>
    <t xml:space="preserve">Despesa referente multa em função do deslizamento de massa de resíduos sólidos disposto no Aterro Sanitário, que culminou na declaração de situação de emergência por meio do Decreto Municipal nº35.452/2018
Auto de Infração AII PM 15001881 e 15001882 ref CETESB </t>
  </si>
  <si>
    <t>7484/2019</t>
  </si>
  <si>
    <t>ARP 55811/2024
Vigência: 26/12/2024 A 26/12/2025
Fornecimento de Urnas Mortuárias
SEI 1102.2025/0000145-2</t>
  </si>
  <si>
    <t>ARP 55811/2024
Vigência: 26/12/2024 A 26/12/2025
Fornecimento de Urnas Mortuárias
1102.2025/0000145-2</t>
  </si>
  <si>
    <t>CETESB COMPANHIA AMBIENTAL DO ESTADO DE SAO PAULO</t>
  </si>
  <si>
    <t>CTR 11201/2023</t>
  </si>
  <si>
    <t>Contratação da Empresa Brasileira de Correios e Telégrafos – EBCT, para execução de serviços de postagens de correspondências. Contrato nº:9912505446 Vigência:07/10/2024 a 07/10/2025</t>
  </si>
  <si>
    <t>Contrato de Prestação de Serviços de Manutenção Preventiva e Corretiva em Relógios de Registro de Ponto e Nobreaks CPS 23401/2022 Contrato: 23401/2022 - DLC Vigência:28/07/2024 a 28/07/2025</t>
  </si>
  <si>
    <t>45/2025</t>
  </si>
  <si>
    <t>CTR 41101/2024</t>
  </si>
  <si>
    <t>CTR 23401/2022</t>
  </si>
  <si>
    <t>CTR 9912505446</t>
  </si>
  <si>
    <t>9464/2024</t>
  </si>
  <si>
    <t xml:space="preserve"> AF 900011/2025-DLC</t>
  </si>
  <si>
    <t>398/2025</t>
  </si>
  <si>
    <t>1102.2025.0000806-6/2025 SEI</t>
  </si>
  <si>
    <t>ARP 1311/2025</t>
  </si>
  <si>
    <t>9513/2024</t>
  </si>
  <si>
    <t>ARP 14011/2024</t>
  </si>
  <si>
    <t>CTR 6701/2024-DLC</t>
  </si>
  <si>
    <t>CTR 018801/2024-DLC</t>
  </si>
  <si>
    <t>CPS 23401/2022 DLC -</t>
  </si>
  <si>
    <t>11225/2025</t>
  </si>
  <si>
    <t xml:space="preserve">CASAMAX COMERCIAL  E SERVIÇOS </t>
  </si>
  <si>
    <t>LUGAR DA A3</t>
  </si>
  <si>
    <t>LOOPINVEST CAMPO SANTO</t>
  </si>
  <si>
    <t>363/2025</t>
  </si>
  <si>
    <t>ARP 55811/2024</t>
  </si>
  <si>
    <t>CTR 24501/2022</t>
  </si>
  <si>
    <t>CRT 38701/2024</t>
  </si>
  <si>
    <t>GPS 23401/2022</t>
  </si>
  <si>
    <t>CRT 39201/2023</t>
  </si>
  <si>
    <t>REQUISIÇÃO DE COMPRAS 002/2025 - AQUISIÇÃO DE FERRAMENTAS ELÉTRICAS.</t>
  </si>
  <si>
    <t>Serviços de monitoramento e controle de fauna e de avifauna do Aterro Sanitário de Guarulhos, Bairro Cabuçu - CTR 37601/21 DLC - Vigencia 01/06/2025 a 01/06/2026</t>
  </si>
  <si>
    <t>Serviço de Monitoramento Ambiental e Geotécnico do Aterro Sanitário de Guarulhos e do Aterro Controlado (Prorrogação do Contrato)
CTR 018801/2024-DLC - 
Vigência 14/05/2025 a 14/05/2026</t>
  </si>
  <si>
    <t>Prestação de Serviço de Manutenção Preventiva e Corretiva Equipamentos de Ar Condicionado e Cortinas de Ar PRORROGAÇÃO CONTRATUAL</t>
  </si>
  <si>
    <t>Materiais para Prestação de Serviço de Manutenção Preventiva e Corretiva Equipamentos de Ar Condicionado e Cortinas de Ar PRORROGAÇÃO CONTRATUAL</t>
  </si>
  <si>
    <t>MADWORK COMERCIO E REPRESENTACOES LTDA</t>
  </si>
  <si>
    <t>CJ PIRAMIDES MATERIAIS PARA CONSTRUCAO LTDA</t>
  </si>
  <si>
    <t>ROBEVAL BISPO SOARES - MATERIAL DE CONSTRUCAO</t>
  </si>
  <si>
    <t>CTR 26001/2024</t>
  </si>
  <si>
    <t>CTR 29601/2023</t>
  </si>
  <si>
    <t>3110.1533100322.129.01.1100000.339092.0000</t>
  </si>
  <si>
    <t>ARP 15111/2024 - VIGENCIA 24/04/2024 A 24/04/2025 - AQUISIÇÃO DE BLOCOS DE CONCRETO SEM FUNDO</t>
  </si>
  <si>
    <t>Reempenho referente ao fornecimento de materiais hidráulicos para instalação do reservatório de água do Aterro Sanitário, decorrente ao cancelamento do saldo do empenho nº 20854/2024, realizado pela Secretaria da Fazenda através do SEI nº 1103.2024/0000850-7/2024 ARP 900270/2024</t>
  </si>
  <si>
    <t>Reempenho referente ao serviço de manutençãopreventiva de equipamento de ar-condicionado, decorrente ao cancelamento do saldo do empenho nº 6298/2024, realizado pela Secretaria da Fazenda através do SEI nº 1103.2024/0000850-7/2024 ARP 900270/2024 - CTR 8801/2024 - dlc</t>
  </si>
  <si>
    <t>Reempenho referente ao fornecimento de pão francês com margarina, decorrente ao cancelamento do saldo do empenho nº 11528/2024, realizado pela Secretaria da Fazenda através do SEI nº 1103.2024/0000850-7/2024 ARP 14011/2024</t>
  </si>
  <si>
    <t>ARP 13111/2025 - PA 9494/2025 - VIGENCIA 10/04/2025 A 10/04/2026 - FORNECIMENTO DE CIMENTO CIMENTO PORTLAND CPII</t>
  </si>
  <si>
    <t>ARP 15011/2024 - VIGENCIA 24/04/2024 A 24/04/2025 - AQUISIÇÃO DE BLOCOS DE CONCRETO COM FUNDO.</t>
  </si>
  <si>
    <t>LIGA INDUSTRIA E COMÉRCIO DE MATERIAL PARA CONSTRUÇÃO LTDA .</t>
  </si>
  <si>
    <t>RABELO MAGAZINE COMERCIO LTDA.</t>
  </si>
  <si>
    <t>IGM2 METROLOGIA E MANUTENCAO LTDA.</t>
  </si>
  <si>
    <t>48.063.131 CLAYTON DE JESUS GONCALVES</t>
  </si>
  <si>
    <t>ARP 900270/2024</t>
  </si>
  <si>
    <t>9214/2024</t>
  </si>
  <si>
    <t>18843, 18901</t>
  </si>
  <si>
    <t>Procedimento Licitatório para Aquisição de Materiais Elétricos Diversos Requisição 07/2025</t>
  </si>
  <si>
    <t>CTR 37601/2021</t>
  </si>
  <si>
    <t>CTR 39201/2023</t>
  </si>
  <si>
    <t>ARP 1111/2025 - VIGENCIA 26/12/2024 A 26/12/2025
AQUISIÇÃO DE URNAS MORTUÁRIAS</t>
  </si>
  <si>
    <t>ARP 55811/2024-SF06 - VIGENCIA 26/12/2024 A 26/12/2025
AQUISIÇÃO DE URNAS MORTUÁRIAS</t>
  </si>
  <si>
    <t>ARP 55811/2024 - VIGENCIA 26/12/2024 A 26/12/2025
AQUISIÇÃO DE URNAS MORTUÁRIAS</t>
  </si>
  <si>
    <t>CTR 35401/2021</t>
  </si>
  <si>
    <t>ARP 15011/2024</t>
  </si>
  <si>
    <t>CTR 991205446</t>
  </si>
  <si>
    <t>CTR 37201/2024</t>
  </si>
  <si>
    <t>CTR 37001/2024</t>
  </si>
  <si>
    <t>CTR 37501/2024</t>
  </si>
  <si>
    <t>CTR 37101/2024</t>
  </si>
  <si>
    <t>CTR 37301/2024</t>
  </si>
  <si>
    <t>44366/2025</t>
  </si>
  <si>
    <t>ARP 13111/2025</t>
  </si>
  <si>
    <t>Reempenho referente ao serviço de Monitoramento Ambiental e Geotécnico do Aterro Sanitário de Guarulhos e do Aterro Controlado, decorrente do cancelamento do saldo de empenho nº 10366/2024 realizado pela Secretaria da Fazenda através do SEI nº 1103.2024/0000850-7/2024</t>
  </si>
  <si>
    <t>Procedimento Licitatório para aquisição de Materiais de Construção Diversos 
Requisição 06/2025</t>
  </si>
  <si>
    <t>Reempenho referente ao Serviços de Monitoramento e Controle de Fauna e de Avifauna do Aterro Sanitário de Guarulhos, decorrente do cancelamento do saldo de empenho nº 8713/2024 realizado pela Secretaria da Fazenda através do SEI nº 1103.2024/0000850-7/2024</t>
  </si>
  <si>
    <t>Reempenho referente ao Serviços de aquisição de Recargas e Cilindro de Gás, decorrente do cancelamento do saldo de empenho nº 13084/2024 realizado pela Secretaria da Fazenda através do SEI nº 1103.2024/0000850-7/2024</t>
  </si>
  <si>
    <t>Reempenho referente ao Serviços de Recarga e Manutenção de Extintores, decorrente do cancelamento do saldo de empenho nº 14662,14663,14664,14665/2024 realizado pela Secretaria da Fazenda através do SEI nº 1103.2024/0000850-7/2024</t>
  </si>
  <si>
    <t>ARP 18211/2024
Vigência: 12/06/2024 a 12/06/2025
Fornecimento de Concreto Usinado
SEI 1102.2024/0001346-7</t>
  </si>
  <si>
    <t>AIR PLANET GASES LTDA</t>
  </si>
  <si>
    <t>754/2024</t>
  </si>
  <si>
    <t>SANTA INÊS EQUIPAMENTOS CONTRA INCENDIO LTDA</t>
  </si>
  <si>
    <t>41521/2024</t>
  </si>
  <si>
    <t>119149</t>
  </si>
  <si>
    <t xml:space="preserve">DAF </t>
  </si>
  <si>
    <t>PAUPEDRA PEDREIRAS PAVIMENTAÇÕES E CONSTRUÇÕES LTDA</t>
  </si>
  <si>
    <t>Recarga de Extintores do DSF
Aditamento Renovação CPS 23801/2022 - DLC</t>
  </si>
  <si>
    <t>Manutenção de Extintores do DSF
Aditamento Renovação CPS 23801/2022 - DLC</t>
  </si>
  <si>
    <t xml:space="preserve">ARP 17511/2024
Vigência: 06/06/2024 a 06/06/2025
Lâmpada de LED Tubular
SEI: 14953/2025
</t>
  </si>
  <si>
    <t>ARP 18411/2024
Vigência: 12/06/2024 a 12/06/2025
FORNECIMENTO DE CONCRETO USINADO 
1102.2025/0001582-8</t>
  </si>
  <si>
    <t>Manutenção de Extintores da SSP
Aditamento Renovação CPS 23801/2022 - DLC</t>
  </si>
  <si>
    <t>ARP 52511/2024
Vigência: 02/12/2024 a 02/12/2025
SEI:1102.2025/0000148-7</t>
  </si>
  <si>
    <t>Procedimento Licitatório para aquisição de Materiais de Pintura Diversos
Requisição 008/2025</t>
  </si>
  <si>
    <t>Recarga de Extintores da SSP
Aditamento Renovação CPS 23801/2022 - DLC</t>
  </si>
  <si>
    <t>Procedimento Licitatório para aquisição de Materiais Hidráulicos Diversos 
Requisição 004/2025</t>
  </si>
  <si>
    <t>Prestação de serviços de coleta, transporte e destinação final ambientalmente adequada dos resíduos sólidos gerados no município de Guarulhos - CRT 35401/21-DLC - Vigencia 12/26/24 a 12/06/25</t>
  </si>
  <si>
    <t>ARP 1011/2025
Vigência: 20/01/2025 a 20/01/2026
Fornecimento de Urnas Mortuárias
1102.2025/0000228-9</t>
  </si>
  <si>
    <t>Coleta e Transporte de Líquido percolado (chorume) gerado no Aterro Sanitário Contrato nº 24501/2022- DLC Vigência: 22/08/2025 a 22/08/2026</t>
  </si>
  <si>
    <t>Prestação de serviços de coleta, transporte e destinação final ambientalmente adequada dos resíduos sólidos gerados no município de Guarulhos - CRT 35401/21-DLC - Vigencia 12/06/25 a 11/06/26</t>
  </si>
  <si>
    <t>GIGA INTEGRAÇÕES COMERCIAIS LTDA</t>
  </si>
  <si>
    <t>QUERETARO TECNOLOGIA DE PROTEÇÃO AMBEINTAL LTDA</t>
  </si>
  <si>
    <t>PROC SEI 17006/2025</t>
  </si>
  <si>
    <t>ARP 17511/2024</t>
  </si>
  <si>
    <t>CTR 29501/2023</t>
  </si>
  <si>
    <t>CTR 37401/2024</t>
  </si>
  <si>
    <t>CTR 37701/2024</t>
  </si>
  <si>
    <t>Procedimento licitatório para aquisição de Ferramentas Manuais Diversas
Requisição 03/2025</t>
  </si>
  <si>
    <t>Procedimento Licitatório para aquisição de Ferramentas Manuais (Escadas) 
Requisição 03/2025</t>
  </si>
  <si>
    <t>Serviços de recepção e  tratamento dos líquidos percolados (Chorume) gerados no Aterro Sanitário e no Aterro Controlado do Município de Guarulhos e a disposição final ambientalmente adequada dos rejeitos gerados neste processo.</t>
  </si>
  <si>
    <t>Renovação de Contrato de Manutenção Preventiva e Corretiva dos Relógios de Ponto e Nobreaks CPS 23401/2022 DLC</t>
  </si>
  <si>
    <t>ARP 26011/2025
Vigência: 05/06/2025 a 05/06/2026
Fornecimento de Produtos Funerários
SEI 1102.2025/0001766-9</t>
  </si>
  <si>
    <t>Procedimento Licitatório para aquisição de Refil para Filtros (Elemento Filtrante)
Requisição 11/2025
SEI 1102.2025/0001696-4</t>
  </si>
  <si>
    <t>M V SERVIÇOS E COMERCIO LTDA</t>
  </si>
  <si>
    <t>SEI 18150</t>
  </si>
  <si>
    <t>ARP 15111/2024</t>
  </si>
  <si>
    <t>18215/2025</t>
  </si>
  <si>
    <t>PE 90038/2025</t>
  </si>
  <si>
    <t>24081/23025</t>
  </si>
  <si>
    <t>13146/2024</t>
  </si>
  <si>
    <t>CTR 28301/2024</t>
  </si>
  <si>
    <t>PROC SEI 18380/2025</t>
  </si>
  <si>
    <t>1769/2024</t>
  </si>
  <si>
    <t>ARP 1111/2025</t>
  </si>
  <si>
    <t>Procedimento Licitatório para aquisição de EPIs diversos 
Requisição 10/2025</t>
  </si>
  <si>
    <t>Prestação de serviços de coleta, transporte e destinação final ambientalmente adequada dos resíduos sólidos gerados no município de Guarulhos - Reajuste Exercicio anterior</t>
  </si>
  <si>
    <t>(23,80% do Consórcio LOC GRU) Locação de caminhões e máquinas</t>
  </si>
  <si>
    <t>ARP 20511/2024
Vigência: 27/06/2024 a 27/06/2025
Fornecimento de Tela de Alambrado
SEI 1102.2024/0001358-0</t>
  </si>
  <si>
    <t>TELAFER COMERCIO DE TELAS E FERRAGENS LTDA</t>
  </si>
  <si>
    <t>CONSORCIO LOC GRU</t>
  </si>
  <si>
    <t>Proc Sei 19254/2025</t>
  </si>
  <si>
    <t>ARP 18211/2024</t>
  </si>
  <si>
    <t>Proc Sei 19459/2025</t>
  </si>
  <si>
    <t>ARP 20511/2024</t>
  </si>
  <si>
    <t>CTR 38701/2024</t>
  </si>
  <si>
    <t>1225/2024</t>
  </si>
  <si>
    <t>ARP 55811/2024
Vigência: 26/12/2024 a 26/12/2025
Fornecimento de Urnas Mortuárias 
SEI 1102.2025/0000145-2</t>
  </si>
  <si>
    <t>Aditamento Renovação de Contrato Contratação de Empresa Especializada para a disponibilização de acesso em Plataforma de Pesquisa de Preços para Compras Públicas</t>
  </si>
  <si>
    <t>Procedimento Licitatório para aquisição de Rodízios Giratórios para manutenção de Containers para coleta de resíduos
Requisição 01/2025 SSP02 
SEI 1102.2025/0001227-6</t>
  </si>
  <si>
    <t>PROMAXIMA GESTÃO EMPRESARIAL LTDA</t>
  </si>
  <si>
    <t xml:space="preserve">                                                                                                                                                                                                                                                               </t>
  </si>
  <si>
    <t>ARP 25911/2024
Vigência: 05/08/2024 a 05/08/2025
FORNECIMENTO DE TRANSPALETE MANUAL SEM BALANÇA
SEI 1102.2025/0001789-8</t>
  </si>
  <si>
    <t>PALETRANS EQUIPAMENTOS LTDA</t>
  </si>
  <si>
    <t>12705/2024</t>
  </si>
  <si>
    <t>Prestação de serviços de coleta, transporte e destinação final ambientalmente adequada dos resíduos sólidos gerados no município de Guarulhos - CRT 35401/21-DLC - Vigencia 12/06/24 a 12/06/25</t>
  </si>
  <si>
    <t>11414/2025</t>
  </si>
  <si>
    <t>REQ 01/2025</t>
  </si>
  <si>
    <t>ARP 26011/2025</t>
  </si>
  <si>
    <t xml:space="preserve">Procedimento Licitatório para Suportes Articulados 
Requisição 14/2025 </t>
  </si>
  <si>
    <t>Adiantamento de Verba
Fornecimento de peças Peneira Do Britador da Usina de RCC - Rolamento e Eixos
SEI 1102.2025/0002122-4</t>
  </si>
  <si>
    <t xml:space="preserve">Procedimento Licitatório para Aquisição de  Televisores 65 Polegadas e Suportes Articulados 
Requisição 14/2025 </t>
  </si>
  <si>
    <t>Adiantamento de Verba 
Serviço de mão de obra para Motor: Peneira Do Britador da Usina de RCC - Rolamento e Eixos.
SEI 1102.2025/0002122-4</t>
  </si>
  <si>
    <t>ARP 25911/2024</t>
  </si>
  <si>
    <t>53597/2025</t>
  </si>
  <si>
    <t>CRT 29501/2023</t>
  </si>
  <si>
    <t>21224/2025</t>
  </si>
  <si>
    <t>3681/2025</t>
  </si>
  <si>
    <t>ARP 42811/2024 Vigência: 15/10/2024 A 15/10/2025 FORNECIMENTO DE CADEIRA GIRATÓRIA COM BRAÇO SEI 1102.2025/0002194-1</t>
  </si>
  <si>
    <t>56569/2025</t>
  </si>
  <si>
    <t>ARP 52511/2025</t>
  </si>
  <si>
    <t>39/2026</t>
  </si>
  <si>
    <t>39/2027</t>
  </si>
  <si>
    <t xml:space="preserve">CTR 6701/2024-DLC </t>
  </si>
  <si>
    <t>CTR. 37301/2024</t>
  </si>
  <si>
    <t>. CTR. 37501/2024</t>
  </si>
  <si>
    <t>CTR. 37401/2024</t>
  </si>
  <si>
    <t> CTR. 37701/2024 </t>
  </si>
  <si>
    <t>19777/2025</t>
  </si>
  <si>
    <t> CTR.37201/2024</t>
  </si>
  <si>
    <t>CTR. 37501/2024</t>
  </si>
  <si>
    <t>Procedimento Licitatório para aquisição de Controlador de Vídeo Wall 2x3 Requisição 014/2025 SEI 1102.2025/0002181-0</t>
  </si>
  <si>
    <t>Adiantamento de Verba para aquisição de peças para manutenção e reparo em motor WEG 7,5CV, modelo 1740 112M W22 PLUS (nº de série N09MAI11 N1011773898) da peneira da Usina de Resíduos da Construção Civil SEI 1102.2025/0001977-7</t>
  </si>
  <si>
    <t>ARP 41511/2024 vigência: 11/10/2024 A 11/10/2025 Fornecimento de Tintas SEI 1102.2025/0002265-4</t>
  </si>
  <si>
    <t>Contratação da Empresa Brasileira de Correios e Telégrafos - EBCT, para execução de serviços de postagens de correspondências Prorrogação de Contrato</t>
  </si>
  <si>
    <t>Adiantamento de Verba para serviços de manutenção e reparo em motor WEG 7,5CV, modelo 1740 112M W22 PLUS (nº de série N09MAI11 N1011773898) da peneira da Usina de Resíduos da Construção Civíl SEI 1102.2025/0001977-7</t>
  </si>
  <si>
    <t>Renovação de Seguro de Diversos Veículos da SSP CPS 27701/2024 DLC</t>
  </si>
  <si>
    <t>ARP 118211/2025 Vigência: 12/06/2025 a 12/06/2026 FORNECIMENTO DE CONCRETO USINADO FCK20 SEI 1102.2024/0001346-7</t>
  </si>
  <si>
    <t>Procedimento Licitatório para aquisição de Suporte de parede ajustável para Monitor Videowall LED de 55 Polegadas Requisição 14/2025 SEI 1102.2025/0002267-0</t>
  </si>
  <si>
    <t>Procedimento Licitatório para Aquisição de Monitor Profissional Videowall LED de 55 Polegadas Requisição 14/2025 SEI 1102.2025/0002267-0</t>
  </si>
  <si>
    <t xml:space="preserve">MICHELE CRISTINA SPITTI LTDA </t>
  </si>
  <si>
    <t xml:space="preserve">SUPREME COMERCIAL LTDA </t>
  </si>
  <si>
    <t xml:space="preserve">LIGA INDUSTRIA E COMERCIO DE MATERIAL PARA CONSTRUÇÃO LTDA </t>
  </si>
  <si>
    <t>9513/2025</t>
  </si>
  <si>
    <t>REC 3649158</t>
  </si>
  <si>
    <t>8801/2024</t>
  </si>
  <si>
    <t>PE 29/2023-DLC</t>
  </si>
  <si>
    <t xml:space="preserve">Reempenho referente ao serviço de recepção, armazenamento e triagem dos resíduos recicláveis secos, decorrente do cancelamento dos saldos de empenho nº18224/2024, 18225/2024, 18226/2024, 18227/2024, 18228/2024, 18230/2024, 18232/2024, 18233/2024, 18234/2024, realizado pela Secretaria da Fazenda através do SEI nº 1103.2024/0000850-7/2024
</t>
  </si>
  <si>
    <t>DANIELLI &amp; JEISON DISTRIBUIDORA DE MATERIAIS PARA CONSTRUCAO LTDA</t>
  </si>
  <si>
    <t>PRESTAÇÃO DE SERVIÇO DE MANUTENÇÃO PREVENTIVA E CORRETIVA EQUIPAMENTOS DE AR CONDICIONADO E COTINAS DE AR. REQUISIÇÃO Nº 057/2023-SSP</t>
  </si>
  <si>
    <t>PRESTAÇÃO DE SERVIÇO DE MANUTENÇÃO PREVENTIVA E CORRETIVA EQUIPAMENTOS DE AR CONDICIONADO E COTINAS DE AR. (SERVIÇOS) REQUISIÇÃO Nº 057/2023-SSP</t>
  </si>
  <si>
    <t>ARP 1011/2025
Vigência: 03/02/2025 a 03/02/2026
03/02/2025 a 03/02/2026
SEI 1102.2025/0000228-9</t>
  </si>
  <si>
    <t>Procedimento Licitatório para aquisição de Motobomba a Gasolina 
Requisição 17/2025 
SEI 1102.2025/0002372-3</t>
  </si>
  <si>
    <t>ARP 1111/2025-SF06
Vigência: 03/02/2025 A 03/02/2026
Fornecimento de Urnas Mortuárias  
SEI 1102.2025/0000635-7</t>
  </si>
  <si>
    <t xml:space="preserve">ARP 55711/2024
Vigência: 26/12/2024 a 26/12/2025
Fornecimento de Urnas Mortuárias </t>
  </si>
  <si>
    <t>Procedimento Licitatório para Aquisição de Garrafão Térmico 5L e 12L
Requisição 19/2025
SEI 1102.2025/0002271-9</t>
  </si>
  <si>
    <t>Procedimento Licitatório para aquisição de Transformador Bivolt 
Requisição 16/2025
SEI 1102.2025/0002348-0</t>
  </si>
  <si>
    <t>Procedimento Licitatório para aquisição de Eletrodomésticos diversos para as Unidades da SVCSG 
Requisição 20/2025
SEI 1122.2025/0002556-3</t>
  </si>
  <si>
    <t>ARP 121511/2025-SF06 
Vigência: 10/07/2025 e 10/07/2026
FORNECIMENTO DE LUVA DE PROCEDIMENTO NÃO ESTÉRIL
SEI:1122.2025/0002543-1</t>
  </si>
  <si>
    <t>ARP 118211/2025
Vigência: 12/06/2025 a 12/06/2026
FORNECIMENTO DE CONCRETO USINADO FCK 20
SEI 1102.2024/0001346-7</t>
  </si>
  <si>
    <t>HC GROUP DO BRASIL IMPORTAÇÃO DISTRIBUIÇÃO LTDA</t>
  </si>
  <si>
    <t>CTR 37601/2024</t>
  </si>
  <si>
    <t>CRT 018801/2024-DLC</t>
  </si>
  <si>
    <t>28392/2025</t>
  </si>
  <si>
    <t>Despesa da RRT- Registro de Responsabilidade Técnica referente aos Ecopontos e Pet Eterno
Vigência:01/01/2025 a 31/12/2025</t>
  </si>
  <si>
    <t>Procedimento Licitatório para aquisição de Empilhadeira à Diesel
Requisição 15/2025
SEI 1102.2025/0002170-4</t>
  </si>
  <si>
    <t>Procedimento Licitatório para Contratação de Curso de Operador de Empilhadeira
Requisição 15/2025
SEI 1102.2025/0002170-4</t>
  </si>
  <si>
    <t>Procedimento Licitatório para aquisição de Materiais de Construção Diversos (Pós Fracassado)
Requisição 21/2025
SEI 1122.2025/0002723-0</t>
  </si>
  <si>
    <t>ARP 118211/2025</t>
  </si>
  <si>
    <t>PROC 24980/2023</t>
  </si>
  <si>
    <t>PROC SEI 30281/2025</t>
  </si>
  <si>
    <t>ARP 41511/2025</t>
  </si>
  <si>
    <t>24081/2025</t>
  </si>
  <si>
    <t>CRT 6701/2024-DLC</t>
  </si>
  <si>
    <t>AQUISIÇÃO DE CONCRETO USINADO
ARP 18211/2025 - VIGENCIA 12/06/25 A 12/06/26</t>
  </si>
  <si>
    <t xml:space="preserve">Contratação de empresa especializada em locação de caminhões. </t>
  </si>
  <si>
    <t>8034/2024</t>
  </si>
  <si>
    <t>Contratação de empresa especializada em locação de máquinas e equipamentos. - Processo 166/2026</t>
  </si>
  <si>
    <t xml:space="preserve"> CTR 37301/2024</t>
  </si>
  <si>
    <t>CTR 37401/2025</t>
  </si>
  <si>
    <t>ARP 115011/2024
Vigência: 24/04/2025 A 24/04/2026
Bloco de concreto para vedação aparente com fundo 14 X 19 X 39 de acordo com as Normas ABNT
SEI 1102.2025/0001047-8</t>
  </si>
  <si>
    <t>Procedimento Licitatório para aquisição de Tubo Metalon Retangular  e Disco flap Fibra
Requisição 22/2025 
SEI 1122.2025/0002935-6</t>
  </si>
  <si>
    <t>Procedimento Licitatório para prestação de serviços de instalação e configuração de Videoporteiro e de Controlador Acesso por reconhecimento facial
Requisição 23/2025
SEI 1122.2025/0002985-2</t>
  </si>
  <si>
    <t>Procedimento Licitatório para aquisição Equipamentos de Videoporteiro e de Controlador Acesso por reconhecimento facial
Requisição 23/2025
SEI 1122.2025/0002985-2</t>
  </si>
  <si>
    <t>JCPP MATERIAIS PARA CONSTRUÇÃO LTDA</t>
  </si>
  <si>
    <t>1122.2025/0003310-8/2025</t>
  </si>
  <si>
    <t>1102.2025/0001925-4/2025</t>
  </si>
  <si>
    <t>1102.2025/0001051-6/2025</t>
  </si>
  <si>
    <t>1102.2025/0002103-8/2025</t>
  </si>
  <si>
    <t>1102.2025/0001886-0/2025</t>
  </si>
  <si>
    <t>1102.2025/0002183-6/2025</t>
  </si>
  <si>
    <t>1102.2025-0001925-4/2025</t>
  </si>
  <si>
    <t>1102.2025-0001307-8/2025</t>
  </si>
  <si>
    <t>1102.2025/0001193-8/2025</t>
  </si>
  <si>
    <t>1102.2025/0000806-6/2025</t>
  </si>
  <si>
    <t>1102.2025.0000806-6/2025</t>
  </si>
  <si>
    <t>Procedimento Licitatório para aquisição de Eletrodomésticos diversos Requisição 20/2025</t>
  </si>
  <si>
    <t>1122202500034384/2025</t>
  </si>
  <si>
    <t>ARP 121511/2025</t>
  </si>
  <si>
    <t>6467/2024</t>
  </si>
  <si>
    <t>CPS 27701/2024</t>
  </si>
  <si>
    <t>80005310000004557.</t>
  </si>
  <si>
    <t>3110.1512200322.128.01.1100000.449052.000</t>
  </si>
  <si>
    <t>Procedimento Licitatório para aquisição de Mouse e Teclado Requisição 26/2025 SEI 1122.2025/0003111-3</t>
  </si>
  <si>
    <t>Procedimento Licitatório para aquisição de SSD e Compressor de Ar Requisição 26/2025 SEI 1122.2025/0003111-3</t>
  </si>
  <si>
    <t>Procedimento Licitatório Aquisição de Cancelas de Estacionamento e Botoeiras Requisição 24/2025 SEI 1122.2025/0003295-0</t>
  </si>
  <si>
    <t>Procedimento Licitatório para Contratação de Serviço de Instalação de Cancelas de Estacionamento Requisição 24/2025 SEI 1122.2025/0003295-0</t>
  </si>
  <si>
    <t>Renovação contratual.</t>
  </si>
  <si>
    <t>3192.1545200792.225.01.1000355.339062.0832</t>
  </si>
  <si>
    <t>Reserva para substituição dos empenhos: 3751/2025 - 3674/2025 e 3685/2025. Contrato 29501/2023 - DLC e 29601/2023 - DLC.</t>
  </si>
  <si>
    <t>Reserva para reemissão de empenho em substituição ao empenho 10388/2025.</t>
  </si>
  <si>
    <t>Reserva orçamentária para substituição do empenho: 12190/2025 para custear despesas com Fornecimento de enfeites florais ARP nº 052511/2024.</t>
  </si>
  <si>
    <t>Procedimento Licitatório para aquisição de Termometro Digital e Sensor de Temperatura portátil Requisição 28/2025 SEI 1122.2025/0003508-9</t>
  </si>
  <si>
    <t>LAVANDERIA PAULISTA LTDA.</t>
  </si>
  <si>
    <t>1487/2025</t>
  </si>
  <si>
    <t>ARP nº 052511/2024</t>
  </si>
  <si>
    <t>M CONSTRUÇÕES &amp; SERVIÇOS LTDA</t>
  </si>
  <si>
    <t>CPS 23401/2022</t>
  </si>
  <si>
    <t>alteração de projetos</t>
  </si>
  <si>
    <t>PROC SEIN 1193-8</t>
  </si>
  <si>
    <t>ARP 55711/2024
vigência 26/12/2024 a 25/12/2025</t>
  </si>
  <si>
    <t>Procedimento Licitatório para aquisição de Trator Agrícola Cabinado para compostagem
Requisição 29/2025
SEI 1122.2025/0003509-7</t>
  </si>
  <si>
    <t>Contrato de Fornecimento Proveniente de Saldo da ARP 118211/2025 Fornecimento de Concreto Usinado SEI 1122.2025/0003612-3</t>
  </si>
  <si>
    <t>Contrato de Fornecimento Proveniente de Salda da ARP 114211/2025 Fornecimento de Guia Reta SEI 1122.2025/0003621-2</t>
  </si>
  <si>
    <t>Contrato de Fornecimento Proveniente de Saldo da ARP 34811/2025 Fornecimento de Pó de Pedra SEI 1122.2025/0003738-3</t>
  </si>
  <si>
    <t>Contrato de Fornecimento Proveniente de Saldo da ARP 115011/2025 Fornecimento de Bloco de Concreto SEI 1122.2025/0003614-0</t>
  </si>
  <si>
    <t>Contrato de Fornecimento Proveniente de Saldo da ARP 117811/2025 Fornecimento Piso Intertravado 16 FACES SEI 1122.2025/0003602-6</t>
  </si>
  <si>
    <t>CBTS COMERCIAL BRASILEIRA DE TUBOS E SANEAMENTO LTDA</t>
  </si>
  <si>
    <t>1102.2025/00018380</t>
  </si>
  <si>
    <t xml:space="preserve"> Alteração de projeto</t>
  </si>
  <si>
    <t>descontigenciamento (fazenda que fez não veio para nos )</t>
  </si>
  <si>
    <t>ARP 55011/2024 Vigência: 16/12/2024 a 16/12/2025 Fornecimento de Álcool Etílico 70% Espuma e Dispensers SEI 1122.2025/0003936-0</t>
  </si>
  <si>
    <t xml:space="preserve">RECOMMED PRESTACAO DE SERVICOS E VENDAS LTDA </t>
  </si>
  <si>
    <t>3881/2025</t>
  </si>
  <si>
    <t>SEI 10516/2025</t>
  </si>
  <si>
    <t>1796/2025</t>
  </si>
  <si>
    <t>RELLEK TEL COMERCIAL LTDA</t>
  </si>
  <si>
    <t>6665/2024</t>
  </si>
  <si>
    <t>PREGAO 90157/2025</t>
  </si>
  <si>
    <t>213/2025</t>
  </si>
  <si>
    <t>CTR 43601/2022</t>
  </si>
  <si>
    <t>11789/22</t>
  </si>
  <si>
    <t>PROC SEI 1925-4/2025</t>
  </si>
  <si>
    <t>PRO SEI 1925-4/2025</t>
  </si>
  <si>
    <t>6665/2025</t>
  </si>
  <si>
    <t>WILLIAM FEIJO DIAS</t>
  </si>
  <si>
    <t>PROC SEI 46170/2025</t>
  </si>
  <si>
    <t>ANA CAROLINA SOUZA DINIZ</t>
  </si>
  <si>
    <t>46307/2025</t>
  </si>
  <si>
    <t>Req. 06/2025</t>
  </si>
  <si>
    <t>Renovação de Seguros para RETROESCAVADEIRA XC870-BR (COM TRANSMISSAO XCMG) e PICADOR DE GALHOS BC 1000 OXL 49BP</t>
  </si>
  <si>
    <t>ARP 1014011/2025
Vigência: 22/04/2025 a 22/04/2026
FORNECIMENTO DE PÃO FRANCÊS COM MARGARINA
SEI 1102.2024/0000892-7</t>
  </si>
  <si>
    <t>Renovação de Seguro  para 02 (duas) caminhonetes utilitárias pertencentes à estrutura organizacional da Subsecretaria de Gestão de Resíduos do Município de Guarulhos</t>
  </si>
  <si>
    <t>Procedimento Licitatório para aquisição de Revolvedor de Leiras 
Requisição 23/2025
SEI 1122.2025/0003565-8</t>
  </si>
  <si>
    <t>Reempenho referente aos serviços de locação de máquinas e caminhões.</t>
  </si>
  <si>
    <t>PROC SEI 46471/2025</t>
  </si>
  <si>
    <t>RELLEK TEK COMERCIAL LTDA</t>
  </si>
  <si>
    <t>SOUL DISTRIBUIDORA DE PRODUTOS E EQUIPAMENTOS INDUSTRIAIS LTDA</t>
  </si>
  <si>
    <t>LICITARE PRODUTOS NATERIAIS E SERVIÇOS LTDA</t>
  </si>
  <si>
    <t>58433/2023</t>
  </si>
  <si>
    <t>ARP 55011/2025</t>
  </si>
  <si>
    <t>1102202500019254/2025</t>
  </si>
  <si>
    <t>ARP 18211/2025</t>
  </si>
  <si>
    <t>Reajuste do contrato referente a prestação de serviços de coleta, transporte e destinação final ambientalmente adequada dos resíduos sólidos gerados no município de Guarulhos - CRT 35401/21-DLC - Vigencia 12/06/25 a 11/06/26</t>
  </si>
  <si>
    <t>N.S. KARYDI INDUSTRIA E COMERCIO LTDA</t>
  </si>
  <si>
    <t>ARP 32911/2025 Vigência: 18/08/2025 a 18/08/2026 FORNECIMENTO DE CAMISA BRIM AZUL ROYAL E CALÇA BRIM AZUL ROYAL SEI 1122.2025/0003938-6</t>
  </si>
  <si>
    <t>ARP 24811/2025 Vigência: 26/05/2025 a 26/05/2026 FORNECIMENTO DE COPOS DE AGUA MINERAL SEI 1122.2025/0003937-8</t>
  </si>
  <si>
    <t>HARMONY FOOD SOLUTIONS LTDA</t>
  </si>
  <si>
    <t>ARP 46811/2024 Vigência: 29/10/2024 a 29/10/2025 FORNECIMENTO DE REPELENTE E PROTETOR SOLAR SEI 1122.2025/0003935-1</t>
  </si>
  <si>
    <t>11789/2025</t>
  </si>
  <si>
    <t>56682/2025</t>
  </si>
  <si>
    <t>CTR 36801/2024</t>
  </si>
  <si>
    <t>CTR 6701/2024</t>
  </si>
  <si>
    <t>1122202500049667/2025</t>
  </si>
  <si>
    <t>ARP 24811/2025</t>
  </si>
  <si>
    <t>SEI 19254/2025</t>
  </si>
  <si>
    <t>1102202500010516/2025</t>
  </si>
  <si>
    <t>PREGAO 29/2023</t>
  </si>
  <si>
    <t>CTR 018801/2024</t>
  </si>
  <si>
    <t>A&amp;A GOLD PHARMA INDUSTRIA LTDA</t>
  </si>
  <si>
    <t>1122202500050576/2025</t>
  </si>
  <si>
    <t>ARP 46811/2024</t>
  </si>
  <si>
    <t>Pagamento de despesas de exercícios anteriores - Favorecido: ATTEND AMBIENTAL</t>
  </si>
  <si>
    <t>1122202500051254/2025</t>
  </si>
  <si>
    <t>ARP 32911/2025</t>
  </si>
  <si>
    <t>1122202500051157/2025</t>
  </si>
  <si>
    <t>ARP 18411/2024</t>
  </si>
  <si>
    <t>ARP115011/2025</t>
  </si>
  <si>
    <t>ARP 115011/2025</t>
  </si>
  <si>
    <t>ARP 117811/2025</t>
  </si>
  <si>
    <t>1122202500050428/2025</t>
  </si>
  <si>
    <t>ARP 114211/2025</t>
  </si>
  <si>
    <t>21079/2020</t>
  </si>
  <si>
    <t>CPS 23801/2022</t>
  </si>
  <si>
    <t>41521/2022</t>
  </si>
  <si>
    <t>1122202600000074/2025</t>
  </si>
  <si>
    <t>Req. 04/2025</t>
  </si>
  <si>
    <t>1122202500049660/2025</t>
  </si>
  <si>
    <t>1122202500046170/2025</t>
  </si>
  <si>
    <t>REQ 11/2025</t>
  </si>
  <si>
    <t>REQ 004/2025</t>
  </si>
  <si>
    <t>166/2025</t>
  </si>
  <si>
    <t>CRT 11201/2023</t>
  </si>
  <si>
    <t>''</t>
  </si>
  <si>
    <t>ok</t>
  </si>
  <si>
    <t>CONSELHO DE ARQUITETURA E URBANISMO DE SÃO PAULO (CAU-SP)</t>
  </si>
  <si>
    <t>OK</t>
  </si>
  <si>
    <t>23/12/025</t>
  </si>
  <si>
    <t>xxxxxxx</t>
  </si>
  <si>
    <t>3192.1545200791.063.01.1000355.449092.0832</t>
  </si>
  <si>
    <t>3192.1545200792.225.01.1000355.339092.0832</t>
  </si>
  <si>
    <t>Reserva para pagamento referente a prestação de serviços de construção de lóculos/gavetas mortuárias verticais, junto ao Cemitério Necrópole Campo Santo.</t>
  </si>
  <si>
    <t>Despesas de exercícios anteriores - CPTS nº29501/2023 - Construção de lóculos/gavetas mortuárias - período de execução: 01/09/2024 a 02/12/2024.</t>
  </si>
  <si>
    <t>Despesa de Exercícios anteriores - CPTS 29601/2023 - Construção de lóculos/gavetas mortuárias junto ao cemitério do Campo Santo - Período de execução: 01/09/2024 a 02/12/2024.</t>
  </si>
  <si>
    <t>3192.1545200792.225.01.1000355.339032.0832</t>
  </si>
  <si>
    <t>FORNECIMENTO DE URNAS MORTUÁRIAS PARA DISTRUIBUIÇÃO GRATUITA - ARP: 1111/2025.</t>
  </si>
  <si>
    <t>Fornecimento de urnas mortuárias para distribuição gratuita- ARP: 1311/2025 - PROCESSO SEI: 1102.2025/0000240-8.</t>
  </si>
  <si>
    <t>Reserva para aquisição de véu, conjuntos, edredom (parte inferior) caixa ossuária. SEI 1122.2025/0003871-1. ARP 026011/2025-SF06</t>
  </si>
  <si>
    <t>Reserva para substituição do empenho 19566/2025.</t>
  </si>
  <si>
    <t>Reserva para aquisição de véu, conjuntos, edredom (parte inferior) caixa ossuária. SEI 1122.2025/0003871-1 ARP 26011/2025-SF06</t>
  </si>
  <si>
    <t>L.C. KLIEMANN.</t>
  </si>
  <si>
    <t>CESAR PEREIRA ALVES</t>
  </si>
  <si>
    <t xml:space="preserve">CECM PÂES LTDA </t>
  </si>
  <si>
    <t>LOOPINVEST EMPREENDIMENTOS E PARTICIPACOES LTDA</t>
  </si>
  <si>
    <t>REIS COMERCIO ATACADISTA E VAREJISTA DE DIVERSOS ARTIGOS E SUPRIMENTOS LTDA</t>
  </si>
  <si>
    <t>MULTICODI DISTRIBUIDORA LTDA</t>
  </si>
  <si>
    <t>BRAVE DISTRIBUIDORA LTDA</t>
  </si>
  <si>
    <t>LELOOO AREIAS E TRANSPORTES LTDA</t>
  </si>
  <si>
    <t>LIGA INDUSTRIA E COMÉRCIO DE MATERIAL PARA CONSTRUÇÃO LTDA</t>
  </si>
  <si>
    <t>M V SERVICOS E COMERCIO LTDA</t>
  </si>
  <si>
    <t>LOOPINVEST EMPREENDIMENTOS E PARTICIPACOES LTDA.</t>
  </si>
  <si>
    <t>BIGNOTTO INDUSTRIA E COMERCIO </t>
  </si>
  <si>
    <t>P.R.M. SERVICOS E MAO DE OBRA ESPECIALIZADA LTDA</t>
  </si>
  <si>
    <t>RR AUTOMAÇÃO E MOTORES EIRE</t>
  </si>
  <si>
    <t>11819/20254</t>
  </si>
  <si>
    <t>SEI 21941/2025</t>
  </si>
  <si>
    <t>ARP 42811/2024</t>
  </si>
  <si>
    <t>1122202600001585/2026</t>
  </si>
  <si>
    <t>ARP 101411/2025</t>
  </si>
  <si>
    <t>01/01/2026.</t>
  </si>
  <si>
    <t>110220250010516/2025</t>
  </si>
  <si>
    <t xml:space="preserve">                                                                   </t>
  </si>
  <si>
    <t>1122202600005084/2026</t>
  </si>
  <si>
    <t>NE</t>
  </si>
  <si>
    <t>8000531000005660000.</t>
  </si>
  <si>
    <t>260000000045.</t>
  </si>
  <si>
    <t>1122202600003111/2026</t>
  </si>
  <si>
    <t>37383/2025</t>
  </si>
  <si>
    <t>ARP 34811/2025</t>
  </si>
  <si>
    <t>1122202500046471/2025</t>
  </si>
  <si>
    <t>REQUISIÇÃO 06/2025</t>
  </si>
  <si>
    <t>x</t>
  </si>
  <si>
    <t>11798/2022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</si>
</sst>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R$&quot;\ * #,##0.00_-;\-&quot;R$&quot;\ * #,##0.00_-;_-&quot;R$&quot;\ * &quot;-&quot;??_-;_-@_-"/>
    <numFmt numFmtId="43" formatCode="_-* #,##0.00_-;\-* #,##0.00_-;_-* &quot;-&quot;??_-;_-@_-"/>
    <numFmt numFmtId="164" formatCode="dd/mm/yy;@"/>
    <numFmt numFmtId="165" formatCode="0;[Red]0"/>
    <numFmt numFmtId="166" formatCode="d/m/yyyy"/>
    <numFmt numFmtId="167" formatCode="&quot;R$&quot;\ #,##0.00"/>
    <numFmt numFmtId="168" formatCode="_-* #,##0.00_-;\-* #,##0.00_-;_-* \-??_-;_-@_-"/>
    <numFmt numFmtId="169" formatCode="_(&quot;R$ &quot;* #,##0.00_);_(&quot;R$ &quot;* \(#,##0.00\);_(&quot;R$ &quot;* &quot;-&quot;??_);_(@_)"/>
    <numFmt numFmtId="170" formatCode="&quot; R$ &quot;* #,##0.00\ ;&quot; R$ &quot;* \(#,##0.00\);&quot; R$ &quot;* \-#\ ;@\ "/>
  </numFmts>
  <fonts count="201">
    <font>
      <sz val="11"/>
      <color theme="1"/>
      <name val="Calibri"/>
      <family val="2"/>
      <scheme val="minor"/>
    </font>
    <font>
      <sz val="11"/>
      <color theme="1"/>
      <name val="Calibri"/>
      <family val="2"/>
      <scheme val="minor"/>
    </font>
    <font>
      <sz val="11"/>
      <name val="Calibri"/>
      <family val="2"/>
      <scheme val="minor"/>
    </font>
    <font>
      <sz val="11"/>
      <color rgb="FF030303"/>
      <name val="Arial"/>
      <family val="2"/>
    </font>
    <font>
      <sz val="11"/>
      <color rgb="FF000000"/>
      <name val="Calibri"/>
      <family val="2"/>
      <charset val="1"/>
    </font>
    <font>
      <sz val="12"/>
      <name val="Calibri"/>
      <family val="2"/>
      <scheme val="minor"/>
    </font>
    <font>
      <b/>
      <sz val="11"/>
      <color theme="0"/>
      <name val="Calibri"/>
      <family val="2"/>
      <scheme val="minor"/>
    </font>
    <font>
      <b/>
      <sz val="18"/>
      <color rgb="FFFF0000"/>
      <name val="Calibri"/>
      <family val="2"/>
      <scheme val="minor"/>
    </font>
    <font>
      <sz val="11"/>
      <color rgb="FF002060"/>
      <name val="Calibri"/>
      <family val="2"/>
      <scheme val="minor"/>
    </font>
    <font>
      <sz val="8"/>
      <name val="Calibri"/>
      <family val="2"/>
      <scheme val="minor"/>
    </font>
    <font>
      <b/>
      <sz val="12"/>
      <color rgb="FF002060"/>
      <name val="Calibri"/>
      <family val="2"/>
      <scheme val="minor"/>
    </font>
    <font>
      <b/>
      <sz val="11"/>
      <color theme="1"/>
      <name val="Calibri"/>
      <family val="2"/>
      <scheme val="minor"/>
    </font>
    <font>
      <sz val="9"/>
      <color rgb="FF000000"/>
      <name val="Arial"/>
      <family val="2"/>
    </font>
    <font>
      <sz val="11"/>
      <color theme="8" tint="-0.499984740745262"/>
      <name val="Calibri"/>
      <family val="2"/>
      <scheme val="minor"/>
    </font>
    <font>
      <b/>
      <sz val="12"/>
      <name val="Calibri"/>
      <family val="2"/>
      <scheme val="minor"/>
    </font>
    <font>
      <b/>
      <sz val="14"/>
      <color theme="7" tint="-0.499984740745262"/>
      <name val="Calibri"/>
      <family val="2"/>
      <scheme val="minor"/>
    </font>
    <font>
      <b/>
      <sz val="12"/>
      <color theme="8" tint="-0.499984740745262"/>
      <name val="Calibri"/>
      <family val="2"/>
      <scheme val="minor"/>
    </font>
    <font>
      <b/>
      <sz val="16"/>
      <color theme="8" tint="-0.499984740745262"/>
      <name val="Calibri"/>
      <family val="2"/>
      <scheme val="minor"/>
    </font>
    <font>
      <sz val="10"/>
      <name val="Arial"/>
      <family val="2"/>
    </font>
    <font>
      <sz val="10"/>
      <name val="Arial"/>
      <family val="2"/>
    </font>
    <font>
      <b/>
      <sz val="15"/>
      <color indexed="56"/>
      <name val="Calibri"/>
      <family val="2"/>
    </font>
    <font>
      <b/>
      <sz val="15"/>
      <color indexed="62"/>
      <name val="Calibri"/>
      <family val="2"/>
    </font>
    <font>
      <sz val="11"/>
      <name val="Calibri"/>
      <family val="2"/>
    </font>
    <font>
      <b/>
      <sz val="11"/>
      <color theme="3"/>
      <name val="Calibri"/>
      <family val="2"/>
      <scheme val="minor"/>
    </font>
    <font>
      <b/>
      <sz val="15"/>
      <color theme="3"/>
      <name val="Calibri"/>
      <family val="2"/>
      <scheme val="minor"/>
    </font>
    <font>
      <b/>
      <sz val="13"/>
      <color theme="3"/>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b/>
      <sz val="10"/>
      <name val="Calibri"/>
      <family val="2"/>
      <scheme val="minor"/>
    </font>
    <font>
      <i/>
      <sz val="11"/>
      <color rgb="FF002060"/>
      <name val="Calibri"/>
      <family val="2"/>
      <scheme val="minor"/>
    </font>
    <font>
      <b/>
      <i/>
      <sz val="11"/>
      <color rgb="FF002060"/>
      <name val="Calibri"/>
      <family val="2"/>
      <scheme val="minor"/>
    </font>
    <font>
      <b/>
      <sz val="14"/>
      <name val="Calibri"/>
      <family val="2"/>
      <scheme val="minor"/>
    </font>
    <font>
      <b/>
      <sz val="12"/>
      <color rgb="FFFF0000"/>
      <name val="Calibri"/>
      <family val="2"/>
      <scheme val="minor"/>
    </font>
    <font>
      <sz val="11"/>
      <color theme="8" tint="-0.499984740745262"/>
      <name val="Calibri"/>
      <family val="2"/>
      <scheme val="minor"/>
    </font>
    <font>
      <b/>
      <sz val="12"/>
      <color theme="3"/>
      <name val="Calibri"/>
      <family val="2"/>
      <scheme val="minor"/>
    </font>
    <font>
      <sz val="11"/>
      <name val="Calibri"/>
      <family val="2"/>
      <scheme val="minor"/>
    </font>
    <font>
      <sz val="11"/>
      <name val="Calibri"/>
      <family val="2"/>
    </font>
    <font>
      <sz val="11"/>
      <color theme="8" tint="-0.499984740745262"/>
      <name val="Calibri"/>
      <family val="2"/>
      <scheme val="minor"/>
    </font>
    <font>
      <sz val="11"/>
      <color theme="1"/>
      <name val="Calibri"/>
      <family val="2"/>
      <scheme val="minor"/>
    </font>
    <font>
      <sz val="11"/>
      <color rgb="FF000000"/>
      <name val="Calibri"/>
      <family val="2"/>
    </font>
    <font>
      <b/>
      <sz val="14"/>
      <color theme="5" tint="-0.499984740745262"/>
      <name val="Calibri"/>
      <family val="2"/>
      <scheme val="minor"/>
    </font>
    <font>
      <b/>
      <sz val="12"/>
      <color theme="0" tint="-0.14999847407452621"/>
      <name val="Calibri"/>
      <family val="2"/>
      <scheme val="minor"/>
    </font>
    <font>
      <sz val="12"/>
      <color theme="0" tint="-0.14999847407452621"/>
      <name val="Calibri"/>
      <family val="2"/>
      <scheme val="minor"/>
    </font>
    <font>
      <sz val="11"/>
      <color theme="0" tint="-0.14999847407452621"/>
      <name val="Calibri"/>
      <family val="2"/>
      <scheme val="minor"/>
    </font>
    <font>
      <sz val="11"/>
      <color theme="0"/>
      <name val="Calibri"/>
      <family val="2"/>
    </font>
    <font>
      <sz val="11"/>
      <color theme="8" tint="-0.499984740745262"/>
      <name val="Calibri"/>
      <family val="2"/>
      <scheme val="minor"/>
    </font>
    <font>
      <sz val="11"/>
      <name val="Calibri"/>
      <family val="2"/>
      <scheme val="minor"/>
    </font>
    <font>
      <sz val="11"/>
      <name val="Calibri"/>
      <family val="2"/>
    </font>
    <font>
      <sz val="11"/>
      <color theme="1"/>
      <name val="Calibri"/>
      <family val="2"/>
      <scheme val="minor"/>
    </font>
    <font>
      <b/>
      <sz val="14"/>
      <color theme="0"/>
      <name val="Calibri"/>
      <family val="2"/>
      <scheme val="minor"/>
    </font>
    <font>
      <b/>
      <sz val="18"/>
      <color theme="0"/>
      <name val="Calibri"/>
      <family val="2"/>
      <scheme val="minor"/>
    </font>
    <font>
      <b/>
      <sz val="12"/>
      <color theme="5" tint="-0.499984740745262"/>
      <name val="Calibri"/>
      <family val="2"/>
      <scheme val="minor"/>
    </font>
    <font>
      <sz val="11"/>
      <name val="Calibri"/>
      <family val="2"/>
      <scheme val="minor"/>
    </font>
    <font>
      <sz val="11"/>
      <name val="Calibri"/>
      <family val="2"/>
    </font>
    <font>
      <sz val="11"/>
      <color theme="1"/>
      <name val="Calibri"/>
      <family val="2"/>
      <scheme val="minor"/>
    </font>
    <font>
      <sz val="11"/>
      <color theme="8" tint="-0.499984740745262"/>
      <name val="Calibri"/>
      <family val="2"/>
      <scheme val="minor"/>
    </font>
    <font>
      <sz val="11"/>
      <name val="Calibri"/>
      <family val="2"/>
      <scheme val="minor"/>
    </font>
    <font>
      <sz val="11"/>
      <name val="Calibri"/>
      <family val="2"/>
    </font>
    <font>
      <sz val="11"/>
      <color theme="8" tint="-0.499984740745262"/>
      <name val="Calibri"/>
      <family val="2"/>
      <scheme val="minor"/>
    </font>
    <font>
      <b/>
      <sz val="11"/>
      <color rgb="FFFF0000"/>
      <name val="Calibri"/>
      <family val="2"/>
      <scheme val="minor"/>
    </font>
    <font>
      <sz val="11"/>
      <name val="Calibri"/>
      <family val="2"/>
      <scheme val="minor"/>
    </font>
    <font>
      <sz val="11"/>
      <name val="Calibri"/>
      <family val="2"/>
    </font>
    <font>
      <b/>
      <sz val="11"/>
      <color rgb="FF002060"/>
      <name val="Calibri"/>
      <family val="2"/>
      <scheme val="minor"/>
    </font>
    <font>
      <sz val="11"/>
      <color theme="8" tint="-0.499984740745262"/>
      <name val="Calibri"/>
      <family val="2"/>
      <scheme val="minor"/>
    </font>
    <font>
      <sz val="11"/>
      <color theme="1"/>
      <name val="Calibri"/>
      <family val="2"/>
      <scheme val="minor"/>
    </font>
    <font>
      <sz val="11"/>
      <name val="Calibri"/>
      <family val="2"/>
      <scheme val="minor"/>
    </font>
    <font>
      <sz val="11"/>
      <name val="Calibri"/>
      <family val="2"/>
    </font>
    <font>
      <sz val="11"/>
      <color theme="1"/>
      <name val="Calibri"/>
      <family val="2"/>
      <scheme val="minor"/>
    </font>
    <font>
      <sz val="11"/>
      <name val="Calibri"/>
      <family val="2"/>
      <scheme val="minor"/>
    </font>
    <font>
      <sz val="11"/>
      <name val="Calibri"/>
      <family val="2"/>
    </font>
    <font>
      <sz val="11"/>
      <color theme="8" tint="-0.499984740745262"/>
      <name val="Calibri"/>
      <family val="2"/>
      <scheme val="minor"/>
    </font>
    <font>
      <sz val="11"/>
      <name val="Calibri"/>
      <family val="2"/>
      <scheme val="minor"/>
    </font>
    <font>
      <sz val="11"/>
      <name val="Calibri"/>
      <family val="2"/>
    </font>
    <font>
      <sz val="11"/>
      <color theme="1"/>
      <name val="Calibri"/>
      <family val="2"/>
      <scheme val="minor"/>
    </font>
    <font>
      <sz val="11"/>
      <name val="Calibri"/>
      <family val="2"/>
      <scheme val="minor"/>
    </font>
    <font>
      <sz val="11"/>
      <name val="Calibri"/>
      <family val="2"/>
    </font>
    <font>
      <sz val="11"/>
      <color theme="8" tint="-0.499984740745262"/>
      <name val="Calibri"/>
      <family val="2"/>
      <scheme val="minor"/>
    </font>
    <font>
      <sz val="11"/>
      <color theme="1"/>
      <name val="Calibri"/>
      <family val="2"/>
      <scheme val="minor"/>
    </font>
    <font>
      <b/>
      <sz val="24"/>
      <color rgb="FF203864"/>
      <name val="Calibri"/>
      <family val="2"/>
      <scheme val="minor"/>
    </font>
    <font>
      <b/>
      <u/>
      <sz val="24"/>
      <color rgb="FF002060"/>
      <name val="Calibri"/>
      <family val="2"/>
      <scheme val="minor"/>
    </font>
    <font>
      <sz val="11"/>
      <color theme="8" tint="-0.499984740745262"/>
      <name val="Calibri"/>
      <family val="2"/>
      <scheme val="minor"/>
    </font>
    <font>
      <sz val="11"/>
      <name val="Calibri"/>
      <family val="2"/>
      <scheme val="minor"/>
    </font>
    <font>
      <sz val="11"/>
      <name val="Calibri"/>
      <family val="2"/>
    </font>
    <font>
      <sz val="11"/>
      <name val="Calibri"/>
      <family val="2"/>
      <scheme val="minor"/>
    </font>
    <font>
      <sz val="11"/>
      <name val="Calibri"/>
      <family val="2"/>
    </font>
    <font>
      <sz val="11"/>
      <color theme="8" tint="-0.499984740745262"/>
      <name val="Calibri"/>
      <family val="2"/>
      <scheme val="minor"/>
    </font>
    <font>
      <sz val="11"/>
      <color theme="1"/>
      <name val="Calibri"/>
      <family val="2"/>
      <scheme val="minor"/>
    </font>
    <font>
      <sz val="11"/>
      <name val="Calibri"/>
      <family val="2"/>
      <scheme val="minor"/>
    </font>
    <font>
      <sz val="11"/>
      <name val="Calibri"/>
      <family val="2"/>
    </font>
    <font>
      <sz val="11"/>
      <color theme="1"/>
      <name val="Calibri"/>
      <family val="2"/>
      <scheme val="minor"/>
    </font>
    <font>
      <sz val="11"/>
      <name val="Calibri"/>
      <family val="2"/>
      <scheme val="minor"/>
    </font>
    <font>
      <sz val="11"/>
      <name val="Calibri"/>
      <family val="2"/>
    </font>
    <font>
      <sz val="11"/>
      <name val="Calibri"/>
      <family val="2"/>
      <scheme val="minor"/>
    </font>
    <font>
      <sz val="11"/>
      <color rgb="FF002060"/>
      <name val="Calibri"/>
      <family val="2"/>
      <scheme val="minor"/>
    </font>
    <font>
      <sz val="11"/>
      <name val="Calibri"/>
      <family val="2"/>
    </font>
    <font>
      <sz val="11"/>
      <color theme="1"/>
      <name val="Calibri"/>
      <family val="2"/>
      <scheme val="minor"/>
    </font>
    <font>
      <sz val="11"/>
      <color theme="8" tint="-0.499984740745262"/>
      <name val="Calibri"/>
      <family val="2"/>
      <scheme val="minor"/>
    </font>
    <font>
      <sz val="11"/>
      <name val="Calibri"/>
      <family val="2"/>
      <scheme val="minor"/>
    </font>
    <font>
      <sz val="11"/>
      <name val="Calibri"/>
      <family val="2"/>
    </font>
    <font>
      <b/>
      <sz val="11"/>
      <color rgb="FF002060"/>
      <name val="Calibri"/>
      <family val="2"/>
      <scheme val="minor"/>
    </font>
    <font>
      <sz val="11"/>
      <name val="Calibri"/>
      <family val="2"/>
      <scheme val="minor"/>
    </font>
    <font>
      <sz val="11"/>
      <color rgb="FF002060"/>
      <name val="Calibri"/>
      <family val="2"/>
      <scheme val="minor"/>
    </font>
    <font>
      <sz val="11"/>
      <name val="Calibri"/>
      <family val="2"/>
    </font>
    <font>
      <sz val="11"/>
      <color theme="1"/>
      <name val="Calibri"/>
      <family val="2"/>
      <scheme val="minor"/>
    </font>
    <font>
      <sz val="11"/>
      <color theme="8" tint="-0.499984740745262"/>
      <name val="Calibri"/>
      <family val="2"/>
      <scheme val="minor"/>
    </font>
    <font>
      <b/>
      <sz val="11"/>
      <color rgb="FF002060"/>
      <name val="Calibri"/>
      <family val="2"/>
      <scheme val="minor"/>
    </font>
    <font>
      <b/>
      <sz val="11"/>
      <name val="Calibri"/>
      <family val="2"/>
      <scheme val="minor"/>
    </font>
    <font>
      <sz val="11"/>
      <name val="Calibri"/>
      <family val="2"/>
      <scheme val="minor"/>
    </font>
    <font>
      <sz val="11"/>
      <color rgb="FF002060"/>
      <name val="Calibri"/>
      <family val="2"/>
      <scheme val="minor"/>
    </font>
    <font>
      <sz val="11"/>
      <name val="Calibri"/>
      <family val="2"/>
    </font>
    <font>
      <sz val="11"/>
      <color theme="8" tint="-0.499984740745262"/>
      <name val="Calibri"/>
      <family val="2"/>
      <scheme val="minor"/>
    </font>
    <font>
      <b/>
      <sz val="11"/>
      <color rgb="FF002060"/>
      <name val="Calibri"/>
      <family val="2"/>
      <scheme val="minor"/>
    </font>
    <font>
      <sz val="11"/>
      <color theme="8" tint="-0.499984740745262"/>
      <name val="Calibri"/>
      <family val="2"/>
      <scheme val="minor"/>
    </font>
    <font>
      <sz val="11"/>
      <name val="Calibri"/>
      <family val="2"/>
      <scheme val="minor"/>
    </font>
    <font>
      <sz val="11"/>
      <name val="Calibri"/>
      <family val="2"/>
    </font>
    <font>
      <sz val="11"/>
      <name val="Calibri"/>
      <family val="2"/>
      <scheme val="minor"/>
    </font>
    <font>
      <sz val="11"/>
      <color rgb="FF002060"/>
      <name val="Calibri"/>
      <family val="2"/>
      <scheme val="minor"/>
    </font>
    <font>
      <sz val="11"/>
      <name val="Calibri"/>
      <family val="2"/>
    </font>
    <font>
      <sz val="11"/>
      <color theme="8" tint="-0.499984740745262"/>
      <name val="Calibri"/>
      <family val="2"/>
      <scheme val="minor"/>
    </font>
    <font>
      <b/>
      <sz val="11"/>
      <color rgb="FF002060"/>
      <name val="Calibri"/>
      <family val="2"/>
      <scheme val="minor"/>
    </font>
    <font>
      <sz val="11"/>
      <color theme="8" tint="-0.499984740745262"/>
      <name val="Calibri"/>
      <family val="2"/>
      <scheme val="minor"/>
    </font>
    <font>
      <sz val="11"/>
      <name val="Calibri"/>
      <family val="2"/>
      <scheme val="minor"/>
    </font>
    <font>
      <sz val="11"/>
      <name val="Calibri"/>
      <family val="2"/>
    </font>
    <font>
      <sz val="11"/>
      <name val="Calibri"/>
      <family val="2"/>
      <scheme val="minor"/>
    </font>
    <font>
      <sz val="11"/>
      <color rgb="FF002060"/>
      <name val="Calibri"/>
      <family val="2"/>
      <scheme val="minor"/>
    </font>
    <font>
      <sz val="11"/>
      <name val="Calibri"/>
      <family val="2"/>
    </font>
    <font>
      <sz val="11"/>
      <color theme="8" tint="-0.499984740745262"/>
      <name val="Calibri"/>
      <family val="2"/>
      <scheme val="minor"/>
    </font>
    <font>
      <b/>
      <sz val="11"/>
      <color rgb="FF002060"/>
      <name val="Calibri"/>
      <family val="2"/>
      <scheme val="minor"/>
    </font>
    <font>
      <sz val="11"/>
      <name val="Calibri"/>
      <family val="2"/>
      <scheme val="minor"/>
    </font>
    <font>
      <sz val="11"/>
      <name val="Calibri"/>
      <family val="2"/>
    </font>
    <font>
      <sz val="11"/>
      <color theme="8" tint="-0.499984740745262"/>
      <name val="Calibri"/>
      <family val="2"/>
      <scheme val="minor"/>
    </font>
    <font>
      <sz val="11"/>
      <name val="Calibri"/>
      <family val="2"/>
      <scheme val="minor"/>
    </font>
    <font>
      <sz val="11"/>
      <name val="Calibri"/>
      <family val="2"/>
    </font>
    <font>
      <sz val="11"/>
      <color theme="8" tint="-0.499984740745262"/>
      <name val="Calibri"/>
      <family val="2"/>
      <scheme val="minor"/>
    </font>
    <font>
      <sz val="11"/>
      <name val="Calibri"/>
      <family val="2"/>
      <scheme val="minor"/>
    </font>
    <font>
      <sz val="11"/>
      <color rgb="FF002060"/>
      <name val="Calibri"/>
      <family val="2"/>
      <scheme val="minor"/>
    </font>
    <font>
      <sz val="11"/>
      <name val="Calibri"/>
      <family val="2"/>
    </font>
    <font>
      <b/>
      <sz val="11"/>
      <color rgb="FF002060"/>
      <name val="Calibri"/>
      <family val="2"/>
      <scheme val="minor"/>
    </font>
    <font>
      <sz val="11"/>
      <name val="Calibri"/>
      <family val="2"/>
      <scheme val="minor"/>
    </font>
    <font>
      <sz val="11"/>
      <color rgb="FF002060"/>
      <name val="Calibri"/>
      <family val="2"/>
      <scheme val="minor"/>
    </font>
    <font>
      <sz val="11"/>
      <name val="Calibri"/>
      <family val="2"/>
    </font>
    <font>
      <b/>
      <sz val="11"/>
      <color rgb="FF002060"/>
      <name val="Calibri"/>
      <family val="2"/>
      <scheme val="minor"/>
    </font>
    <font>
      <sz val="11"/>
      <name val="Calibri"/>
      <family val="2"/>
      <scheme val="minor"/>
    </font>
    <font>
      <sz val="11"/>
      <name val="Calibri"/>
      <family val="2"/>
    </font>
    <font>
      <sz val="11"/>
      <name val="Calibri"/>
      <family val="2"/>
      <scheme val="minor"/>
    </font>
    <font>
      <sz val="11"/>
      <name val="Calibri"/>
      <family val="2"/>
    </font>
    <font>
      <sz val="11"/>
      <name val="Calibri"/>
      <family val="2"/>
      <scheme val="minor"/>
    </font>
    <font>
      <sz val="11"/>
      <color rgb="FF002060"/>
      <name val="Calibri"/>
      <family val="2"/>
      <scheme val="minor"/>
    </font>
    <font>
      <sz val="11"/>
      <name val="Calibri"/>
      <family val="2"/>
    </font>
    <font>
      <sz val="11"/>
      <color theme="8" tint="-0.499984740745262"/>
      <name val="Calibri"/>
      <family val="2"/>
      <scheme val="minor"/>
    </font>
    <font>
      <sz val="11"/>
      <color theme="1"/>
      <name val="Calibri"/>
      <family val="2"/>
      <scheme val="minor"/>
    </font>
    <font>
      <b/>
      <sz val="11"/>
      <color rgb="FF002060"/>
      <name val="Calibri"/>
      <family val="2"/>
      <scheme val="minor"/>
    </font>
    <font>
      <b/>
      <sz val="14"/>
      <color theme="8" tint="-0.499984740745262"/>
      <name val="Calibri"/>
      <family val="2"/>
      <scheme val="minor"/>
    </font>
    <font>
      <sz val="11"/>
      <name val="Calibri"/>
      <family val="2"/>
      <scheme val="minor"/>
    </font>
    <font>
      <sz val="11"/>
      <color rgb="FF002060"/>
      <name val="Calibri"/>
      <family val="2"/>
      <scheme val="minor"/>
    </font>
    <font>
      <sz val="11"/>
      <name val="Calibri"/>
      <family val="2"/>
    </font>
    <font>
      <sz val="11"/>
      <color theme="1"/>
      <name val="Calibri"/>
      <family val="2"/>
      <scheme val="minor"/>
    </font>
    <font>
      <sz val="11"/>
      <name val="Calibri"/>
      <family val="2"/>
      <scheme val="minor"/>
    </font>
    <font>
      <sz val="11"/>
      <color rgb="FF002060"/>
      <name val="Calibri"/>
      <family val="2"/>
      <scheme val="minor"/>
    </font>
    <font>
      <sz val="11"/>
      <name val="Calibri"/>
      <family val="2"/>
    </font>
    <font>
      <sz val="11"/>
      <color theme="1"/>
      <name val="Calibri"/>
      <family val="2"/>
      <scheme val="minor"/>
    </font>
    <font>
      <sz val="11"/>
      <color theme="8" tint="-0.499984740745262"/>
      <name val="Calibri"/>
      <family val="2"/>
      <scheme val="minor"/>
    </font>
    <font>
      <sz val="11"/>
      <name val="Calibri"/>
      <family val="2"/>
      <scheme val="minor"/>
    </font>
    <font>
      <sz val="11"/>
      <color rgb="FF002060"/>
      <name val="Calibri"/>
      <family val="2"/>
      <scheme val="minor"/>
    </font>
    <font>
      <sz val="11"/>
      <name val="Calibri"/>
      <family val="2"/>
    </font>
    <font>
      <sz val="11"/>
      <color theme="1"/>
      <name val="Calibri"/>
      <family val="2"/>
      <scheme val="minor"/>
    </font>
    <font>
      <sz val="11"/>
      <color theme="8" tint="-0.499984740745262"/>
      <name val="Calibri"/>
      <family val="2"/>
      <scheme val="minor"/>
    </font>
    <font>
      <sz val="11"/>
      <name val="Calibri"/>
      <family val="2"/>
      <scheme val="minor"/>
    </font>
    <font>
      <sz val="11"/>
      <color rgb="FF002060"/>
      <name val="Calibri"/>
      <family val="2"/>
      <scheme val="minor"/>
    </font>
    <font>
      <sz val="11"/>
      <name val="Calibri"/>
      <family val="2"/>
    </font>
    <font>
      <sz val="11"/>
      <color theme="1"/>
      <name val="Calibri"/>
      <family val="2"/>
      <scheme val="minor"/>
    </font>
    <font>
      <sz val="11"/>
      <color theme="8" tint="-0.499984740745262"/>
      <name val="Calibri"/>
      <family val="2"/>
      <scheme val="minor"/>
    </font>
    <font>
      <sz val="11"/>
      <color theme="1"/>
      <name val="Calibri"/>
      <family val="2"/>
      <scheme val="minor"/>
    </font>
    <font>
      <sz val="11"/>
      <name val="Calibri"/>
      <family val="2"/>
      <scheme val="minor"/>
    </font>
    <font>
      <sz val="11"/>
      <color rgb="FF002060"/>
      <name val="Calibri"/>
      <family val="2"/>
      <scheme val="minor"/>
    </font>
    <font>
      <sz val="11"/>
      <name val="Calibri"/>
      <family val="2"/>
    </font>
    <font>
      <sz val="11"/>
      <color theme="8" tint="-0.499984740745262"/>
      <name val="Calibri"/>
      <family val="2"/>
      <scheme val="minor"/>
    </font>
    <font>
      <sz val="11"/>
      <name val="Calibri"/>
      <family val="2"/>
      <scheme val="minor"/>
    </font>
    <font>
      <sz val="11"/>
      <color rgb="FF002060"/>
      <name val="Calibri"/>
      <family val="2"/>
      <scheme val="minor"/>
    </font>
    <font>
      <sz val="11"/>
      <name val="Calibri"/>
      <family val="2"/>
    </font>
    <font>
      <sz val="9"/>
      <color rgb="FF000000"/>
      <name val="Segoe UI"/>
      <family val="2"/>
    </font>
    <font>
      <sz val="11"/>
      <color theme="8" tint="-0.499984740745262"/>
      <name val="Calibri"/>
      <family val="2"/>
      <scheme val="minor"/>
    </font>
    <font>
      <sz val="11"/>
      <color theme="1"/>
      <name val="Calibri"/>
      <family val="2"/>
      <scheme val="minor"/>
    </font>
    <font>
      <sz val="11"/>
      <name val="Calibri"/>
      <family val="2"/>
      <scheme val="minor"/>
    </font>
    <font>
      <sz val="11"/>
      <color rgb="FF002060"/>
      <name val="Calibri"/>
      <family val="2"/>
      <scheme val="minor"/>
    </font>
    <font>
      <sz val="11"/>
      <name val="Calibri"/>
      <family val="2"/>
    </font>
    <font>
      <b/>
      <sz val="11"/>
      <color rgb="FF002060"/>
      <name val="Calibri"/>
      <family val="2"/>
      <scheme val="minor"/>
    </font>
    <font>
      <sz val="11"/>
      <color theme="8" tint="-0.499984740745262"/>
      <name val="Calibri"/>
      <family val="2"/>
      <scheme val="minor"/>
    </font>
    <font>
      <sz val="11"/>
      <name val="Calibri"/>
      <family val="2"/>
      <scheme val="minor"/>
    </font>
    <font>
      <sz val="11"/>
      <color rgb="FF002060"/>
      <name val="Calibri"/>
      <family val="2"/>
      <scheme val="minor"/>
    </font>
    <font>
      <sz val="11"/>
      <name val="Calibri"/>
      <family val="2"/>
    </font>
    <font>
      <sz val="11"/>
      <name val="Calibri"/>
      <scheme val="minor"/>
    </font>
    <font>
      <sz val="11"/>
      <color rgb="FF002060"/>
      <name val="Calibri"/>
      <scheme val="minor"/>
    </font>
    <font>
      <sz val="11"/>
      <name val="Calibri"/>
    </font>
  </fonts>
  <fills count="51">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4" tint="0.59999389629810485"/>
        <bgColor indexed="64"/>
      </patternFill>
    </fill>
    <fill>
      <patternFill patternType="solid">
        <fgColor rgb="FFFFD9D9"/>
        <bgColor indexed="64"/>
      </patternFill>
    </fill>
    <fill>
      <patternFill patternType="solid">
        <fgColor theme="0"/>
        <bgColor indexed="64"/>
      </patternFill>
    </fill>
    <fill>
      <patternFill patternType="solid">
        <fgColor theme="7" tint="0.59999389629810485"/>
        <bgColor indexed="64"/>
      </patternFill>
    </fill>
    <fill>
      <patternFill patternType="solid">
        <fgColor rgb="FFFF0000"/>
        <bgColor indexed="64"/>
      </patternFill>
    </fill>
    <fill>
      <patternFill patternType="solid">
        <fgColor rgb="FFC6EF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
      <patternFill patternType="solid">
        <fgColor rgb="FF00206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4" tint="0.39997558519241921"/>
        <bgColor theme="4" tint="0.79998168889431442"/>
      </patternFill>
    </fill>
    <fill>
      <patternFill patternType="solid">
        <fgColor theme="4" tint="0.59999389629810485"/>
        <bgColor theme="4" tint="0.79998168889431442"/>
      </patternFill>
    </fill>
    <fill>
      <patternFill patternType="solid">
        <fgColor rgb="FFFFFFFF"/>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9" tint="0.59999389629810485"/>
        <bgColor indexed="64"/>
      </patternFill>
    </fill>
    <fill>
      <patternFill patternType="solid">
        <fgColor theme="0"/>
        <bgColor theme="4" tint="0.79998168889431442"/>
      </patternFill>
    </fill>
    <fill>
      <patternFill patternType="solid">
        <fgColor rgb="FFF9F9F9"/>
        <bgColor indexed="64"/>
      </patternFill>
    </fill>
    <fill>
      <patternFill patternType="solid">
        <fgColor theme="7" tint="0.79998168889431442"/>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right/>
      <top style="thin">
        <color theme="4"/>
      </top>
      <bottom style="double">
        <color theme="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bottom/>
      <diagonal/>
    </border>
    <border>
      <left style="hair">
        <color rgb="FF002060"/>
      </left>
      <right style="hair">
        <color rgb="FF002060"/>
      </right>
      <top style="hair">
        <color rgb="FF002060"/>
      </top>
      <bottom style="hair">
        <color rgb="FF002060"/>
      </bottom>
      <diagonal/>
    </border>
    <border>
      <left style="hair">
        <color rgb="FF002060"/>
      </left>
      <right/>
      <top style="hair">
        <color rgb="FF002060"/>
      </top>
      <bottom style="hair">
        <color rgb="FF002060"/>
      </bottom>
      <diagonal/>
    </border>
    <border>
      <left/>
      <right style="hair">
        <color rgb="FF002060"/>
      </right>
      <top style="hair">
        <color rgb="FF002060"/>
      </top>
      <bottom style="hair">
        <color rgb="FF002060"/>
      </bottom>
      <diagonal/>
    </border>
    <border>
      <left/>
      <right/>
      <top style="hair">
        <color rgb="FF002060"/>
      </top>
      <bottom style="hair">
        <color rgb="FF002060"/>
      </bottom>
      <diagonal/>
    </border>
    <border>
      <left/>
      <right/>
      <top/>
      <bottom style="thick">
        <color indexed="62"/>
      </bottom>
      <diagonal/>
    </border>
    <border>
      <left/>
      <right/>
      <top/>
      <bottom style="thick">
        <color indexed="49"/>
      </bottom>
      <diagonal/>
    </border>
    <border>
      <left/>
      <right style="hair">
        <color indexed="64"/>
      </right>
      <top style="hair">
        <color indexed="64"/>
      </top>
      <bottom style="hair">
        <color indexed="64"/>
      </bottom>
      <diagonal/>
    </border>
    <border>
      <left/>
      <right style="hair">
        <color indexed="64"/>
      </right>
      <top/>
      <bottom style="hair">
        <color indexed="64"/>
      </bottom>
      <diagonal/>
    </border>
    <border>
      <left style="hair">
        <color indexed="64"/>
      </left>
      <right/>
      <top/>
      <bottom style="hair">
        <color indexed="64"/>
      </bottom>
      <diagonal/>
    </border>
    <border>
      <left style="hair">
        <color rgb="FF002060"/>
      </left>
      <right style="hair">
        <color rgb="FF002060"/>
      </right>
      <top style="hair">
        <color rgb="FF002060"/>
      </top>
      <bottom/>
      <diagonal/>
    </border>
    <border>
      <left style="medium">
        <color rgb="FF002060"/>
      </left>
      <right style="medium">
        <color rgb="FF002060"/>
      </right>
      <top/>
      <bottom style="double">
        <color rgb="FF002060"/>
      </bottom>
      <diagonal/>
    </border>
    <border>
      <left style="hair">
        <color indexed="64"/>
      </left>
      <right/>
      <top/>
      <bottom/>
      <diagonal/>
    </border>
    <border>
      <left/>
      <right style="hair">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hair">
        <color rgb="FF00206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double">
        <color theme="4" tint="-0.24994659260841701"/>
      </bottom>
      <diagonal/>
    </border>
    <border>
      <left style="hair">
        <color rgb="FF002060"/>
      </left>
      <right style="hair">
        <color rgb="FF002060"/>
      </right>
      <top/>
      <bottom/>
      <diagonal/>
    </border>
    <border>
      <left style="hair">
        <color theme="8" tint="-0.24994659260841701"/>
      </left>
      <right style="hair">
        <color theme="8" tint="-0.24994659260841701"/>
      </right>
      <top style="hair">
        <color theme="8" tint="-0.24994659260841701"/>
      </top>
      <bottom style="hair">
        <color theme="8" tint="-0.24994659260841701"/>
      </bottom>
      <diagonal/>
    </border>
    <border>
      <left/>
      <right/>
      <top/>
      <bottom style="hair">
        <color theme="8" tint="-0.24994659260841701"/>
      </bottom>
      <diagonal/>
    </border>
    <border>
      <left style="thin">
        <color theme="8" tint="-0.24994659260841701"/>
      </left>
      <right style="hair">
        <color theme="8" tint="-0.24994659260841701"/>
      </right>
      <top style="hair">
        <color theme="8" tint="-0.24994659260841701"/>
      </top>
      <bottom style="hair">
        <color theme="8" tint="-0.24994659260841701"/>
      </bottom>
      <diagonal/>
    </border>
    <border>
      <left/>
      <right/>
      <top/>
      <bottom style="thin">
        <color theme="8" tint="-0.24994659260841701"/>
      </bottom>
      <diagonal/>
    </border>
    <border>
      <left style="thin">
        <color theme="5" tint="0.39994506668294322"/>
      </left>
      <right/>
      <top style="thin">
        <color theme="5" tint="0.39994506668294322"/>
      </top>
      <bottom/>
      <diagonal/>
    </border>
    <border>
      <left/>
      <right/>
      <top style="thin">
        <color theme="5" tint="0.39994506668294322"/>
      </top>
      <bottom/>
      <diagonal/>
    </border>
    <border>
      <left style="thin">
        <color theme="5" tint="0.39994506668294322"/>
      </left>
      <right/>
      <top/>
      <bottom style="thin">
        <color theme="8" tint="-0.24994659260841701"/>
      </bottom>
      <diagonal/>
    </border>
    <border>
      <left/>
      <right style="thin">
        <color theme="5" tint="0.39994506668294322"/>
      </right>
      <top/>
      <bottom/>
      <diagonal/>
    </border>
    <border>
      <left/>
      <right style="thin">
        <color theme="5" tint="0.39994506668294322"/>
      </right>
      <top/>
      <bottom style="hair">
        <color theme="8" tint="-0.24994659260841701"/>
      </bottom>
      <diagonal/>
    </border>
    <border>
      <left style="hair">
        <color rgb="FF002060"/>
      </left>
      <right/>
      <top/>
      <bottom/>
      <diagonal/>
    </border>
    <border>
      <left style="thin">
        <color theme="5" tint="0.39994506668294322"/>
      </left>
      <right/>
      <top/>
      <bottom/>
      <diagonal/>
    </border>
    <border>
      <left/>
      <right/>
      <top style="hair">
        <color rgb="FF002060"/>
      </top>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top style="hair">
        <color indexed="64"/>
      </top>
      <bottom style="hair">
        <color indexed="64"/>
      </bottom>
      <diagonal/>
    </border>
    <border>
      <left/>
      <right/>
      <top/>
      <bottom style="medium">
        <color indexed="64"/>
      </bottom>
      <diagonal/>
    </border>
    <border>
      <left style="hair">
        <color theme="8" tint="-0.499984740745262"/>
      </left>
      <right style="hair">
        <color theme="8" tint="-0.499984740745262"/>
      </right>
      <top/>
      <bottom style="hair">
        <color theme="8" tint="-0.499984740745262"/>
      </bottom>
      <diagonal/>
    </border>
    <border>
      <left style="slantDashDot">
        <color rgb="FF002060"/>
      </left>
      <right style="slantDashDot">
        <color rgb="FF002060"/>
      </right>
      <top style="slantDashDot">
        <color rgb="FF002060"/>
      </top>
      <bottom style="slantDashDot">
        <color rgb="FF002060"/>
      </bottom>
      <diagonal/>
    </border>
    <border>
      <left/>
      <right style="hair">
        <color rgb="FF002060"/>
      </right>
      <top style="thin">
        <color theme="8" tint="-0.24994659260841701"/>
      </top>
      <bottom/>
      <diagonal/>
    </border>
    <border>
      <left/>
      <right style="hair">
        <color rgb="FF002060"/>
      </right>
      <top/>
      <bottom/>
      <diagonal/>
    </border>
    <border>
      <left/>
      <right style="hair">
        <color rgb="FF002060"/>
      </right>
      <top/>
      <bottom style="hair">
        <color rgb="FF002060"/>
      </bottom>
      <diagonal/>
    </border>
    <border>
      <left style="hair">
        <color theme="8" tint="-0.24994659260841701"/>
      </left>
      <right/>
      <top style="hair">
        <color theme="8" tint="-0.24994659260841701"/>
      </top>
      <bottom style="hair">
        <color theme="8" tint="-0.24994659260841701"/>
      </bottom>
      <diagonal/>
    </border>
    <border>
      <left style="slantDashDot">
        <color rgb="FF002060"/>
      </left>
      <right/>
      <top style="slantDashDot">
        <color rgb="FF002060"/>
      </top>
      <bottom style="slantDashDot">
        <color rgb="FF002060"/>
      </bottom>
      <diagonal/>
    </border>
    <border>
      <left style="hair">
        <color theme="8" tint="-0.24994659260841701"/>
      </left>
      <right style="hair">
        <color theme="8" tint="-0.24994659260841701"/>
      </right>
      <top style="hair">
        <color theme="8" tint="-0.24994659260841701"/>
      </top>
      <bottom/>
      <diagonal/>
    </border>
    <border>
      <left style="hair">
        <color theme="8" tint="-0.24994659260841701"/>
      </left>
      <right style="hair">
        <color theme="8" tint="-0.24994659260841701"/>
      </right>
      <top/>
      <bottom/>
      <diagonal/>
    </border>
    <border>
      <left style="hair">
        <color theme="8" tint="-0.24994659260841701"/>
      </left>
      <right style="hair">
        <color theme="8" tint="-0.24994659260841701"/>
      </right>
      <top/>
      <bottom style="hair">
        <color theme="8" tint="-0.24994659260841701"/>
      </bottom>
      <diagonal/>
    </border>
    <border>
      <left style="hair">
        <color indexed="64"/>
      </left>
      <right style="hair">
        <color indexed="64"/>
      </right>
      <top style="hair">
        <color indexed="64"/>
      </top>
      <bottom/>
      <diagonal/>
    </border>
    <border>
      <left style="hair">
        <color rgb="FF002060"/>
      </left>
      <right style="hair">
        <color rgb="FF002060"/>
      </right>
      <top/>
      <bottom style="hair">
        <color rgb="FF002060"/>
      </bottom>
      <diagonal/>
    </border>
    <border>
      <left style="thin">
        <color rgb="FF002060"/>
      </left>
      <right style="hair">
        <color rgb="FF002060"/>
      </right>
      <top style="hair">
        <color rgb="FF002060"/>
      </top>
      <bottom style="hair">
        <color rgb="FF002060"/>
      </bottom>
      <diagonal/>
    </border>
    <border>
      <left style="hair">
        <color rgb="FF002060"/>
      </left>
      <right/>
      <top style="hair">
        <color rgb="FF002060"/>
      </top>
      <bottom/>
      <diagonal/>
    </border>
    <border>
      <left style="hair">
        <color rgb="FF002060"/>
      </left>
      <right/>
      <top/>
      <bottom style="hair">
        <color rgb="FF002060"/>
      </bottom>
      <diagonal/>
    </border>
    <border>
      <left/>
      <right style="hair">
        <color rgb="FF002060"/>
      </right>
      <top style="hair">
        <color theme="8" tint="-0.24994659260841701"/>
      </top>
      <bottom/>
      <diagonal/>
    </border>
    <border>
      <left style="thin">
        <color indexed="64"/>
      </left>
      <right/>
      <top/>
      <bottom/>
      <diagonal/>
    </border>
    <border>
      <left/>
      <right style="hair">
        <color rgb="FF002060"/>
      </right>
      <top style="hair">
        <color rgb="FF002060"/>
      </top>
      <bottom/>
      <diagonal/>
    </border>
    <border>
      <left style="hair">
        <color theme="4"/>
      </left>
      <right style="hair">
        <color theme="4"/>
      </right>
      <top style="hair">
        <color theme="4"/>
      </top>
      <bottom style="hair">
        <color theme="4"/>
      </bottom>
      <diagonal/>
    </border>
    <border>
      <left style="medium">
        <color rgb="FF002060"/>
      </left>
      <right style="medium">
        <color rgb="FF002060"/>
      </right>
      <top style="thin">
        <color indexed="64"/>
      </top>
      <bottom style="double">
        <color indexed="64"/>
      </bottom>
      <diagonal/>
    </border>
    <border>
      <left style="hair">
        <color indexed="64"/>
      </left>
      <right/>
      <top style="hair">
        <color indexed="64"/>
      </top>
      <bottom style="hair">
        <color indexed="64"/>
      </bottom>
      <diagonal/>
    </border>
    <border>
      <left style="hair">
        <color theme="8" tint="-0.499984740745262"/>
      </left>
      <right style="hair">
        <color theme="8" tint="-0.499984740745262"/>
      </right>
      <top style="hair">
        <color theme="8" tint="-0.499984740745262"/>
      </top>
      <bottom/>
      <diagonal/>
    </border>
    <border>
      <left style="medium">
        <color rgb="FFE6E6E6"/>
      </left>
      <right style="medium">
        <color rgb="FFE6E6E6"/>
      </right>
      <top style="medium">
        <color rgb="FFE6E6E6"/>
      </top>
      <bottom style="medium">
        <color rgb="FFE6E6E6"/>
      </bottom>
      <diagonal/>
    </border>
  </borders>
  <cellStyleXfs count="64">
    <xf numFmtId="0" fontId="0" fillId="0" borderId="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0" fontId="4" fillId="0" borderId="0"/>
    <xf numFmtId="164" fontId="4" fillId="0" borderId="0" applyBorder="0" applyProtection="0"/>
    <xf numFmtId="166" fontId="4" fillId="0" borderId="0" applyBorder="0" applyProtection="0"/>
    <xf numFmtId="0" fontId="11" fillId="0" borderId="2" applyNumberFormat="0" applyFill="0" applyAlignment="0" applyProtection="0"/>
    <xf numFmtId="0" fontId="19" fillId="0" borderId="0"/>
    <xf numFmtId="168" fontId="18" fillId="0" borderId="0"/>
    <xf numFmtId="170" fontId="18" fillId="0" borderId="0"/>
    <xf numFmtId="0" fontId="18" fillId="0" borderId="0"/>
    <xf numFmtId="169" fontId="19" fillId="0" borderId="0" applyFont="0" applyFill="0" applyBorder="0" applyAlignment="0" applyProtection="0"/>
    <xf numFmtId="169" fontId="18" fillId="0" borderId="0" applyFont="0" applyFill="0" applyBorder="0" applyAlignment="0" applyProtection="0"/>
    <xf numFmtId="169" fontId="18" fillId="0" borderId="0" applyFont="0" applyFill="0" applyBorder="0" applyAlignment="0" applyProtection="0"/>
    <xf numFmtId="169" fontId="18" fillId="0" borderId="0" applyFont="0" applyFill="0" applyBorder="0" applyAlignment="0" applyProtection="0"/>
    <xf numFmtId="169" fontId="18" fillId="0" borderId="0" applyFont="0" applyFill="0" applyBorder="0" applyAlignment="0" applyProtection="0"/>
    <xf numFmtId="169" fontId="18" fillId="0" borderId="0" applyFont="0" applyFill="0" applyBorder="0" applyAlignment="0" applyProtection="0"/>
    <xf numFmtId="169" fontId="18" fillId="0" borderId="0" applyFont="0" applyFill="0" applyBorder="0" applyAlignment="0" applyProtection="0"/>
    <xf numFmtId="169" fontId="18" fillId="0" borderId="0" applyFont="0" applyFill="0" applyBorder="0" applyAlignment="0" applyProtection="0"/>
    <xf numFmtId="0" fontId="18" fillId="0" borderId="0"/>
    <xf numFmtId="0" fontId="18" fillId="0" borderId="0"/>
    <xf numFmtId="0" fontId="20" fillId="0" borderId="10" applyNumberFormat="0" applyFill="0" applyAlignment="0" applyProtection="0"/>
    <xf numFmtId="0" fontId="21" fillId="0" borderId="11" applyNumberFormat="0" applyFill="0" applyAlignment="0" applyProtection="0"/>
    <xf numFmtId="0" fontId="24" fillId="0" borderId="19" applyNumberFormat="0" applyFill="0" applyAlignment="0" applyProtection="0"/>
    <xf numFmtId="0" fontId="25" fillId="0" borderId="20" applyNumberFormat="0" applyFill="0" applyAlignment="0" applyProtection="0"/>
    <xf numFmtId="0" fontId="23" fillId="0" borderId="21" applyNumberFormat="0" applyFill="0" applyAlignment="0" applyProtection="0"/>
    <xf numFmtId="0" fontId="23" fillId="0" borderId="0" applyNumberFormat="0" applyFill="0" applyBorder="0" applyAlignment="0" applyProtection="0"/>
    <xf numFmtId="0" fontId="26" fillId="9" borderId="0" applyNumberFormat="0" applyBorder="0" applyAlignment="0" applyProtection="0"/>
    <xf numFmtId="0" fontId="27" fillId="10" borderId="22" applyNumberFormat="0" applyAlignment="0" applyProtection="0"/>
    <xf numFmtId="0" fontId="28" fillId="11" borderId="23" applyNumberFormat="0" applyAlignment="0" applyProtection="0"/>
    <xf numFmtId="0" fontId="29" fillId="11" borderId="22" applyNumberFormat="0" applyAlignment="0" applyProtection="0"/>
    <xf numFmtId="0" fontId="30" fillId="0" borderId="24" applyNumberFormat="0" applyFill="0" applyAlignment="0" applyProtection="0"/>
    <xf numFmtId="0" fontId="6" fillId="12" borderId="25" applyNumberFormat="0" applyAlignment="0" applyProtection="0"/>
    <xf numFmtId="0" fontId="31" fillId="0" borderId="0" applyNumberFormat="0" applyFill="0" applyBorder="0" applyAlignment="0" applyProtection="0"/>
    <xf numFmtId="0" fontId="1" fillId="13" borderId="26" applyNumberFormat="0" applyFont="0" applyAlignment="0" applyProtection="0"/>
    <xf numFmtId="0" fontId="32" fillId="0" borderId="0" applyNumberFormat="0" applyFill="0" applyBorder="0" applyAlignment="0" applyProtection="0"/>
    <xf numFmtId="0" fontId="33"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33"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33"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33"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33"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33"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33" fillId="17" borderId="0" applyNumberFormat="0" applyBorder="0" applyAlignment="0" applyProtection="0"/>
    <xf numFmtId="0" fontId="33" fillId="21" borderId="0" applyNumberFormat="0" applyBorder="0" applyAlignment="0" applyProtection="0"/>
    <xf numFmtId="0" fontId="33" fillId="25" borderId="0" applyNumberFormat="0" applyBorder="0" applyAlignment="0" applyProtection="0"/>
    <xf numFmtId="0" fontId="33" fillId="29" borderId="0" applyNumberFormat="0" applyBorder="0" applyAlignment="0" applyProtection="0"/>
    <xf numFmtId="0" fontId="33" fillId="33" borderId="0" applyNumberFormat="0" applyBorder="0" applyAlignment="0" applyProtection="0"/>
    <xf numFmtId="0" fontId="33" fillId="37" borderId="0" applyNumberFormat="0" applyBorder="0" applyAlignment="0" applyProtection="0"/>
    <xf numFmtId="0" fontId="34" fillId="0" borderId="0" applyNumberFormat="0" applyFill="0" applyBorder="0" applyAlignment="0" applyProtection="0"/>
    <xf numFmtId="43" fontId="1" fillId="0" borderId="0" applyFont="0" applyFill="0" applyBorder="0" applyAlignment="0" applyProtection="0"/>
    <xf numFmtId="43" fontId="1" fillId="0" borderId="0" applyFont="0" applyFill="0" applyBorder="0" applyAlignment="0" applyProtection="0"/>
  </cellStyleXfs>
  <cellXfs count="1083">
    <xf numFmtId="0" fontId="0" fillId="0" borderId="0" xfId="0"/>
    <xf numFmtId="0" fontId="2" fillId="0" borderId="0" xfId="0" applyFont="1" applyAlignment="1">
      <alignment horizontal="center"/>
    </xf>
    <xf numFmtId="165" fontId="2" fillId="0" borderId="0" xfId="0" applyNumberFormat="1" applyFont="1" applyAlignment="1">
      <alignment horizontal="center"/>
    </xf>
    <xf numFmtId="164" fontId="2" fillId="0" borderId="0" xfId="0" applyNumberFormat="1" applyFont="1" applyAlignment="1">
      <alignment horizontal="center"/>
    </xf>
    <xf numFmtId="49" fontId="2" fillId="0" borderId="0" xfId="0" applyNumberFormat="1" applyFont="1" applyAlignment="1">
      <alignment horizontal="center"/>
    </xf>
    <xf numFmtId="0" fontId="2" fillId="0" borderId="0" xfId="0" applyFont="1" applyAlignment="1">
      <alignment horizontal="center" wrapText="1"/>
    </xf>
    <xf numFmtId="43" fontId="0" fillId="3" borderId="1" xfId="1" applyFont="1" applyFill="1" applyBorder="1" applyAlignment="1">
      <alignment horizontal="right"/>
    </xf>
    <xf numFmtId="0" fontId="0" fillId="3" borderId="1" xfId="0" applyFill="1" applyBorder="1" applyAlignment="1">
      <alignment horizontal="right"/>
    </xf>
    <xf numFmtId="43" fontId="0" fillId="3" borderId="1" xfId="1" applyFont="1" applyFill="1" applyBorder="1"/>
    <xf numFmtId="0" fontId="0" fillId="3" borderId="1" xfId="0" applyFill="1" applyBorder="1"/>
    <xf numFmtId="4" fontId="0" fillId="0" borderId="0" xfId="0" applyNumberFormat="1"/>
    <xf numFmtId="43" fontId="0" fillId="0" borderId="0" xfId="0" applyNumberFormat="1"/>
    <xf numFmtId="0" fontId="0" fillId="0" borderId="0" xfId="0" applyAlignment="1">
      <alignment horizontal="center"/>
    </xf>
    <xf numFmtId="0" fontId="8" fillId="0" borderId="0" xfId="0" applyFont="1" applyAlignment="1">
      <alignment horizontal="left"/>
    </xf>
    <xf numFmtId="0" fontId="8" fillId="0" borderId="0" xfId="0" applyFont="1"/>
    <xf numFmtId="0" fontId="0" fillId="0" borderId="0" xfId="0" applyAlignment="1">
      <alignment horizontal="right"/>
    </xf>
    <xf numFmtId="43" fontId="0" fillId="0" borderId="0" xfId="1" applyFont="1"/>
    <xf numFmtId="1" fontId="0" fillId="0" borderId="0" xfId="0" applyNumberFormat="1"/>
    <xf numFmtId="0" fontId="0" fillId="0" borderId="0" xfId="0" applyAlignment="1">
      <alignment horizontal="left"/>
    </xf>
    <xf numFmtId="0" fontId="5" fillId="0" borderId="0" xfId="0" applyFont="1" applyAlignment="1">
      <alignment vertical="center"/>
    </xf>
    <xf numFmtId="0" fontId="14" fillId="0" borderId="0" xfId="0" applyFont="1" applyAlignment="1">
      <alignment horizontal="left" vertical="center"/>
    </xf>
    <xf numFmtId="167" fontId="8" fillId="0" borderId="0" xfId="0" applyNumberFormat="1" applyFont="1" applyAlignment="1">
      <alignment horizontal="center"/>
    </xf>
    <xf numFmtId="0" fontId="0" fillId="7" borderId="0" xfId="0" applyFill="1"/>
    <xf numFmtId="49" fontId="5" fillId="7" borderId="0" xfId="0" applyNumberFormat="1" applyFont="1" applyFill="1" applyAlignment="1">
      <alignment horizontal="center" vertical="center"/>
    </xf>
    <xf numFmtId="0" fontId="15" fillId="7" borderId="0" xfId="0" applyFont="1" applyFill="1" applyAlignment="1">
      <alignment horizontal="center" vertical="center"/>
    </xf>
    <xf numFmtId="43" fontId="3" fillId="3" borderId="1" xfId="1" applyFont="1" applyFill="1" applyBorder="1"/>
    <xf numFmtId="165" fontId="10" fillId="4" borderId="6" xfId="0" applyNumberFormat="1" applyFont="1" applyFill="1" applyBorder="1" applyAlignment="1">
      <alignment horizontal="center" vertical="center" wrapText="1"/>
    </xf>
    <xf numFmtId="49" fontId="10" fillId="4" borderId="6" xfId="0" applyNumberFormat="1" applyFont="1" applyFill="1" applyBorder="1" applyAlignment="1">
      <alignment horizontal="center" vertical="center" wrapText="1"/>
    </xf>
    <xf numFmtId="0" fontId="10" fillId="4" borderId="6" xfId="0" applyFont="1" applyFill="1" applyBorder="1" applyAlignment="1">
      <alignment horizontal="center" vertical="center" wrapText="1"/>
    </xf>
    <xf numFmtId="164" fontId="10" fillId="4" borderId="6" xfId="0" applyNumberFormat="1" applyFont="1" applyFill="1" applyBorder="1" applyAlignment="1">
      <alignment horizontal="center" vertical="center" wrapText="1"/>
    </xf>
    <xf numFmtId="167" fontId="10" fillId="4" borderId="6" xfId="2" applyNumberFormat="1" applyFont="1" applyFill="1" applyBorder="1" applyAlignment="1">
      <alignment horizontal="center" vertical="center" wrapText="1"/>
    </xf>
    <xf numFmtId="4" fontId="0" fillId="0" borderId="0" xfId="0" applyNumberFormat="1" applyAlignment="1">
      <alignment horizontal="left"/>
    </xf>
    <xf numFmtId="1" fontId="2" fillId="0" borderId="0" xfId="0" applyNumberFormat="1" applyFont="1" applyAlignment="1">
      <alignment horizontal="center"/>
    </xf>
    <xf numFmtId="1" fontId="10" fillId="4" borderId="6" xfId="0" applyNumberFormat="1" applyFont="1" applyFill="1" applyBorder="1" applyAlignment="1">
      <alignment horizontal="center" vertical="center" wrapText="1"/>
    </xf>
    <xf numFmtId="1" fontId="16" fillId="4" borderId="4" xfId="7" applyNumberFormat="1" applyFont="1" applyFill="1" applyBorder="1" applyAlignment="1">
      <alignment horizontal="center" vertical="center"/>
    </xf>
    <xf numFmtId="0" fontId="10" fillId="4" borderId="15" xfId="0" applyFont="1" applyFill="1" applyBorder="1" applyAlignment="1">
      <alignment horizontal="center" vertical="center" wrapText="1"/>
    </xf>
    <xf numFmtId="1" fontId="13" fillId="0" borderId="3" xfId="0" applyNumberFormat="1" applyFont="1" applyBorder="1" applyAlignment="1" applyProtection="1">
      <alignment horizontal="center"/>
      <protection locked="0"/>
    </xf>
    <xf numFmtId="1" fontId="0" fillId="0" borderId="0" xfId="0" applyNumberFormat="1" applyAlignment="1">
      <alignment horizontal="center"/>
    </xf>
    <xf numFmtId="167" fontId="8" fillId="0" borderId="0" xfId="0" applyNumberFormat="1" applyFont="1" applyAlignment="1">
      <alignment horizontal="right"/>
    </xf>
    <xf numFmtId="0" fontId="0" fillId="0" borderId="0" xfId="0" applyAlignment="1">
      <alignment horizontal="center" vertical="center"/>
    </xf>
    <xf numFmtId="43" fontId="0" fillId="0" borderId="0" xfId="0" applyNumberFormat="1" applyAlignment="1">
      <alignment horizontal="center" vertical="center"/>
    </xf>
    <xf numFmtId="49" fontId="10" fillId="4" borderId="15" xfId="0" applyNumberFormat="1" applyFont="1" applyFill="1" applyBorder="1" applyAlignment="1">
      <alignment horizontal="center" vertical="center" wrapText="1"/>
    </xf>
    <xf numFmtId="49" fontId="2" fillId="0" borderId="0" xfId="0" applyNumberFormat="1" applyFont="1" applyAlignment="1">
      <alignment horizontal="center" vertical="center"/>
    </xf>
    <xf numFmtId="49" fontId="2" fillId="0" borderId="0" xfId="0" applyNumberFormat="1" applyFont="1"/>
    <xf numFmtId="49" fontId="0" fillId="0" borderId="0" xfId="0" applyNumberFormat="1"/>
    <xf numFmtId="167" fontId="2" fillId="0" borderId="0" xfId="0" applyNumberFormat="1" applyFont="1" applyAlignment="1">
      <alignment horizontal="center"/>
    </xf>
    <xf numFmtId="0" fontId="35" fillId="8" borderId="0" xfId="0" applyFont="1" applyFill="1" applyAlignment="1">
      <alignment horizontal="center" wrapText="1"/>
    </xf>
    <xf numFmtId="0" fontId="2" fillId="0" borderId="0" xfId="0" applyFont="1"/>
    <xf numFmtId="1" fontId="13" fillId="4" borderId="12" xfId="0" applyNumberFormat="1" applyFont="1" applyFill="1" applyBorder="1" applyAlignment="1">
      <alignment horizontal="center"/>
    </xf>
    <xf numFmtId="4" fontId="0" fillId="0" borderId="0" xfId="1" applyNumberFormat="1" applyFont="1" applyFill="1" applyBorder="1"/>
    <xf numFmtId="0" fontId="0" fillId="6" borderId="0" xfId="0" applyFill="1"/>
    <xf numFmtId="43" fontId="0" fillId="0" borderId="0" xfId="1" applyFont="1" applyFill="1"/>
    <xf numFmtId="0" fontId="0" fillId="0" borderId="0" xfId="0" applyAlignment="1">
      <alignment vertical="center"/>
    </xf>
    <xf numFmtId="43" fontId="0" fillId="0" borderId="0" xfId="1" applyFont="1" applyBorder="1"/>
    <xf numFmtId="14" fontId="0" fillId="0" borderId="0" xfId="0" applyNumberFormat="1"/>
    <xf numFmtId="0" fontId="11" fillId="0" borderId="0" xfId="0" applyFont="1"/>
    <xf numFmtId="49" fontId="38" fillId="0" borderId="0" xfId="0" applyNumberFormat="1" applyFont="1" applyAlignment="1">
      <alignment horizontal="center" vertical="center" wrapText="1"/>
    </xf>
    <xf numFmtId="0" fontId="33" fillId="0" borderId="0" xfId="0" applyFont="1"/>
    <xf numFmtId="43" fontId="2" fillId="0" borderId="0" xfId="1" applyFont="1" applyFill="1" applyBorder="1"/>
    <xf numFmtId="1" fontId="40" fillId="0" borderId="3" xfId="0" applyNumberFormat="1" applyFont="1" applyBorder="1" applyAlignment="1" applyProtection="1">
      <alignment horizontal="center"/>
      <protection locked="0"/>
    </xf>
    <xf numFmtId="1" fontId="16" fillId="4" borderId="13" xfId="0" applyNumberFormat="1" applyFont="1" applyFill="1" applyBorder="1" applyAlignment="1">
      <alignment horizontal="center" vertical="center"/>
    </xf>
    <xf numFmtId="1" fontId="16" fillId="4" borderId="4" xfId="0" applyNumberFormat="1" applyFont="1" applyFill="1" applyBorder="1" applyAlignment="1">
      <alignment horizontal="center" vertical="center"/>
    </xf>
    <xf numFmtId="44" fontId="0" fillId="0" borderId="0" xfId="0" applyNumberFormat="1"/>
    <xf numFmtId="44" fontId="16" fillId="4" borderId="4" xfId="7" applyNumberFormat="1" applyFont="1" applyFill="1" applyBorder="1" applyAlignment="1" applyProtection="1">
      <alignment horizontal="center" vertical="center" wrapText="1"/>
    </xf>
    <xf numFmtId="44" fontId="13" fillId="0" borderId="3" xfId="1" applyNumberFormat="1" applyFont="1" applyFill="1" applyBorder="1" applyAlignment="1" applyProtection="1">
      <protection locked="0"/>
    </xf>
    <xf numFmtId="44" fontId="40" fillId="0" borderId="3" xfId="1" applyNumberFormat="1" applyFont="1" applyFill="1" applyBorder="1" applyAlignment="1" applyProtection="1">
      <protection locked="0"/>
    </xf>
    <xf numFmtId="44" fontId="0" fillId="0" borderId="0" xfId="1" applyNumberFormat="1" applyFont="1" applyProtection="1"/>
    <xf numFmtId="44" fontId="16" fillId="4" borderId="4" xfId="7" applyNumberFormat="1" applyFont="1" applyFill="1" applyBorder="1" applyAlignment="1" applyProtection="1">
      <alignment horizontal="center" vertical="center"/>
    </xf>
    <xf numFmtId="44" fontId="16" fillId="4" borderId="14" xfId="7" applyNumberFormat="1" applyFont="1" applyFill="1" applyBorder="1" applyAlignment="1" applyProtection="1">
      <alignment horizontal="center" vertical="center" wrapText="1"/>
    </xf>
    <xf numFmtId="44" fontId="13" fillId="0" borderId="3" xfId="1" applyNumberFormat="1" applyFont="1" applyFill="1" applyBorder="1" applyAlignment="1" applyProtection="1"/>
    <xf numFmtId="1" fontId="16" fillId="4" borderId="4" xfId="7" applyNumberFormat="1" applyFont="1" applyFill="1" applyBorder="1" applyAlignment="1">
      <alignment horizontal="center" vertical="center" wrapText="1"/>
    </xf>
    <xf numFmtId="1" fontId="13" fillId="0" borderId="0" xfId="0" applyNumberFormat="1" applyFont="1" applyAlignment="1">
      <alignment horizontal="center"/>
    </xf>
    <xf numFmtId="1" fontId="13" fillId="0" borderId="0" xfId="0" applyNumberFormat="1" applyFont="1" applyAlignment="1" applyProtection="1">
      <alignment horizontal="center"/>
      <protection locked="0"/>
    </xf>
    <xf numFmtId="167" fontId="0" fillId="0" borderId="0" xfId="0" applyNumberFormat="1" applyAlignment="1">
      <alignment horizontal="right"/>
    </xf>
    <xf numFmtId="1" fontId="16" fillId="4" borderId="5" xfId="0" applyNumberFormat="1" applyFont="1" applyFill="1" applyBorder="1" applyAlignment="1">
      <alignment horizontal="center" vertical="center"/>
    </xf>
    <xf numFmtId="167" fontId="39" fillId="0" borderId="0" xfId="0" applyNumberFormat="1" applyFont="1" applyAlignment="1">
      <alignment horizontal="left" vertical="center" wrapText="1"/>
    </xf>
    <xf numFmtId="14" fontId="16" fillId="4" borderId="13" xfId="0" applyNumberFormat="1" applyFont="1" applyFill="1" applyBorder="1" applyAlignment="1">
      <alignment horizontal="center" vertical="center"/>
    </xf>
    <xf numFmtId="14" fontId="13" fillId="0" borderId="0" xfId="0" applyNumberFormat="1" applyFont="1" applyAlignment="1">
      <alignment horizontal="center"/>
    </xf>
    <xf numFmtId="1" fontId="44" fillId="0" borderId="3" xfId="0" applyNumberFormat="1" applyFont="1" applyBorder="1" applyAlignment="1" applyProtection="1">
      <alignment horizontal="center"/>
      <protection locked="0"/>
    </xf>
    <xf numFmtId="44" fontId="44" fillId="0" borderId="3" xfId="1" applyNumberFormat="1" applyFont="1" applyFill="1" applyBorder="1" applyAlignment="1" applyProtection="1">
      <protection locked="0"/>
    </xf>
    <xf numFmtId="167" fontId="16" fillId="4" borderId="34" xfId="0" applyNumberFormat="1" applyFont="1" applyFill="1" applyBorder="1" applyAlignment="1">
      <alignment horizontal="center" vertical="center" wrapText="1"/>
    </xf>
    <xf numFmtId="1" fontId="8" fillId="0" borderId="0" xfId="0" applyNumberFormat="1" applyFont="1" applyAlignment="1">
      <alignment horizontal="center"/>
    </xf>
    <xf numFmtId="1" fontId="8" fillId="0" borderId="0" xfId="0" applyNumberFormat="1" applyFont="1"/>
    <xf numFmtId="1" fontId="0" fillId="0" borderId="3" xfId="0" applyNumberFormat="1" applyBorder="1" applyAlignment="1">
      <alignment horizontal="center"/>
    </xf>
    <xf numFmtId="44" fontId="41" fillId="0" borderId="33" xfId="24" applyNumberFormat="1" applyFont="1" applyBorder="1" applyAlignment="1">
      <alignment horizontal="center"/>
    </xf>
    <xf numFmtId="43" fontId="2" fillId="0" borderId="0" xfId="1" applyFont="1" applyFill="1" applyBorder="1" applyAlignment="1">
      <alignment horizontal="left"/>
    </xf>
    <xf numFmtId="0" fontId="46" fillId="0" borderId="0" xfId="0" applyFont="1"/>
    <xf numFmtId="0" fontId="2" fillId="0" borderId="0" xfId="1" applyNumberFormat="1" applyFont="1" applyBorder="1" applyAlignment="1">
      <alignment horizontal="left"/>
    </xf>
    <xf numFmtId="0" fontId="2" fillId="0" borderId="0" xfId="0" applyFont="1" applyAlignment="1">
      <alignment horizontal="left"/>
    </xf>
    <xf numFmtId="167" fontId="10" fillId="4" borderId="35" xfId="2" applyNumberFormat="1" applyFont="1" applyFill="1" applyBorder="1" applyAlignment="1">
      <alignment horizontal="center" vertical="center" wrapText="1"/>
    </xf>
    <xf numFmtId="43" fontId="2" fillId="0" borderId="0" xfId="0" applyNumberFormat="1" applyFont="1"/>
    <xf numFmtId="167" fontId="48" fillId="38" borderId="39" xfId="2" applyNumberFormat="1" applyFont="1" applyFill="1" applyBorder="1" applyAlignment="1">
      <alignment horizontal="center" vertical="center" wrapText="1"/>
    </xf>
    <xf numFmtId="167" fontId="48" fillId="38" borderId="40" xfId="2" applyNumberFormat="1" applyFont="1" applyFill="1" applyBorder="1" applyAlignment="1">
      <alignment horizontal="center" vertical="center" wrapText="1"/>
    </xf>
    <xf numFmtId="167" fontId="49" fillId="38" borderId="41" xfId="2" applyNumberFormat="1" applyFont="1" applyFill="1" applyBorder="1" applyAlignment="1">
      <alignment horizontal="center" vertical="center" wrapText="1"/>
    </xf>
    <xf numFmtId="167" fontId="49" fillId="38" borderId="38" xfId="2" applyNumberFormat="1" applyFont="1" applyFill="1" applyBorder="1" applyAlignment="1">
      <alignment horizontal="center" vertical="center" wrapText="1"/>
    </xf>
    <xf numFmtId="167" fontId="49" fillId="38" borderId="38" xfId="2" applyNumberFormat="1" applyFont="1" applyFill="1" applyBorder="1" applyAlignment="1">
      <alignment vertical="center" wrapText="1"/>
    </xf>
    <xf numFmtId="43" fontId="49" fillId="38" borderId="38" xfId="2" applyNumberFormat="1" applyFont="1" applyFill="1" applyBorder="1" applyAlignment="1">
      <alignment vertical="center" wrapText="1"/>
    </xf>
    <xf numFmtId="0" fontId="50" fillId="38" borderId="0" xfId="0" applyFont="1" applyFill="1" applyAlignment="1">
      <alignment horizontal="center" vertical="center"/>
    </xf>
    <xf numFmtId="167" fontId="33" fillId="39" borderId="35" xfId="1" applyNumberFormat="1" applyFont="1" applyFill="1" applyBorder="1" applyAlignment="1">
      <alignment horizontal="center"/>
    </xf>
    <xf numFmtId="167" fontId="51" fillId="39" borderId="35" xfId="1" applyNumberFormat="1" applyFont="1" applyFill="1" applyBorder="1" applyAlignment="1">
      <alignment horizontal="center"/>
    </xf>
    <xf numFmtId="43" fontId="51" fillId="39" borderId="35" xfId="1" applyFont="1" applyFill="1" applyBorder="1" applyAlignment="1">
      <alignment horizontal="center"/>
    </xf>
    <xf numFmtId="43" fontId="0" fillId="2" borderId="16" xfId="1" applyFont="1" applyFill="1" applyBorder="1" applyAlignment="1">
      <alignment horizontal="center" vertical="center"/>
    </xf>
    <xf numFmtId="44" fontId="0" fillId="2" borderId="16" xfId="1" applyNumberFormat="1" applyFont="1" applyFill="1" applyBorder="1" applyAlignment="1">
      <alignment horizontal="center" vertical="center"/>
    </xf>
    <xf numFmtId="1" fontId="44" fillId="4" borderId="12" xfId="0" applyNumberFormat="1" applyFont="1" applyFill="1" applyBorder="1" applyAlignment="1">
      <alignment horizontal="center"/>
    </xf>
    <xf numFmtId="49" fontId="13" fillId="0" borderId="3" xfId="0" applyNumberFormat="1" applyFont="1" applyBorder="1" applyProtection="1">
      <protection locked="0"/>
    </xf>
    <xf numFmtId="165" fontId="42" fillId="0" borderId="6" xfId="0" applyNumberFormat="1" applyFont="1" applyBorder="1" applyAlignment="1" applyProtection="1">
      <alignment horizontal="center" vertical="center"/>
      <protection locked="0"/>
    </xf>
    <xf numFmtId="0" fontId="42" fillId="0" borderId="6" xfId="0" applyFont="1" applyBorder="1" applyAlignment="1" applyProtection="1">
      <alignment horizontal="center" vertical="center" wrapText="1"/>
      <protection locked="0"/>
    </xf>
    <xf numFmtId="0" fontId="42" fillId="0" borderId="6" xfId="0" applyFont="1" applyBorder="1" applyAlignment="1" applyProtection="1">
      <alignment horizontal="center" vertical="center"/>
      <protection locked="0"/>
    </xf>
    <xf numFmtId="0" fontId="42" fillId="0" borderId="6" xfId="0" applyFont="1" applyBorder="1" applyAlignment="1">
      <alignment horizontal="center" vertical="center" wrapText="1"/>
    </xf>
    <xf numFmtId="0" fontId="2" fillId="0" borderId="6" xfId="0" applyFont="1" applyBorder="1" applyAlignment="1" applyProtection="1">
      <alignment horizontal="center" vertical="center"/>
      <protection locked="0"/>
    </xf>
    <xf numFmtId="14" fontId="42" fillId="0" borderId="6" xfId="0" applyNumberFormat="1" applyFont="1" applyBorder="1" applyAlignment="1" applyProtection="1">
      <alignment horizontal="center" vertical="center"/>
      <protection locked="0"/>
    </xf>
    <xf numFmtId="1" fontId="16" fillId="4" borderId="18" xfId="0" applyNumberFormat="1" applyFont="1" applyFill="1" applyBorder="1" applyAlignment="1">
      <alignment horizontal="center" vertical="center"/>
    </xf>
    <xf numFmtId="0" fontId="2" fillId="0" borderId="6" xfId="0" applyFont="1" applyBorder="1" applyAlignment="1" applyProtection="1">
      <alignment horizontal="center" vertical="center" wrapText="1"/>
      <protection locked="0"/>
    </xf>
    <xf numFmtId="14" fontId="2" fillId="0" borderId="6" xfId="0" applyNumberFormat="1" applyFont="1" applyBorder="1" applyAlignment="1" applyProtection="1">
      <alignment horizontal="center" vertical="center"/>
      <protection locked="0"/>
    </xf>
    <xf numFmtId="165" fontId="2" fillId="0" borderId="6" xfId="0" applyNumberFormat="1" applyFont="1" applyBorder="1" applyAlignment="1" applyProtection="1">
      <alignment horizontal="center" vertical="center"/>
      <protection locked="0"/>
    </xf>
    <xf numFmtId="49" fontId="47" fillId="0" borderId="0" xfId="0" applyNumberFormat="1" applyFont="1" applyAlignment="1">
      <alignment vertical="center" wrapText="1"/>
    </xf>
    <xf numFmtId="1" fontId="47" fillId="0" borderId="0" xfId="1" applyNumberFormat="1" applyFont="1" applyAlignment="1">
      <alignment horizontal="center" vertical="center" wrapText="1"/>
    </xf>
    <xf numFmtId="49" fontId="47" fillId="0" borderId="42" xfId="0" applyNumberFormat="1" applyFont="1" applyBorder="1" applyAlignment="1">
      <alignment vertical="center" wrapText="1"/>
    </xf>
    <xf numFmtId="49" fontId="47" fillId="0" borderId="0" xfId="0" applyNumberFormat="1" applyFont="1" applyAlignment="1">
      <alignment vertical="center"/>
    </xf>
    <xf numFmtId="49" fontId="47" fillId="0" borderId="42" xfId="0" applyNumberFormat="1" applyFont="1" applyBorder="1" applyAlignment="1">
      <alignment vertical="center"/>
    </xf>
    <xf numFmtId="49" fontId="13" fillId="0" borderId="0" xfId="0" applyNumberFormat="1" applyFont="1"/>
    <xf numFmtId="49" fontId="47" fillId="0" borderId="36" xfId="0" applyNumberFormat="1" applyFont="1" applyBorder="1" applyAlignment="1">
      <alignment vertical="center" wrapText="1"/>
    </xf>
    <xf numFmtId="49" fontId="47" fillId="0" borderId="43" xfId="0" applyNumberFormat="1" applyFont="1" applyBorder="1" applyAlignment="1">
      <alignment vertical="center" wrapText="1"/>
    </xf>
    <xf numFmtId="0" fontId="47" fillId="0" borderId="0" xfId="1" applyNumberFormat="1" applyFont="1" applyAlignment="1">
      <alignment horizontal="center" vertical="center" wrapText="1"/>
    </xf>
    <xf numFmtId="49" fontId="47" fillId="0" borderId="36" xfId="0" applyNumberFormat="1" applyFont="1" applyBorder="1" applyAlignment="1">
      <alignment vertical="center"/>
    </xf>
    <xf numFmtId="0" fontId="16" fillId="4" borderId="44" xfId="0" applyFont="1" applyFill="1" applyBorder="1" applyAlignment="1">
      <alignment horizontal="center" vertical="center"/>
    </xf>
    <xf numFmtId="1" fontId="16" fillId="4" borderId="44" xfId="0" applyNumberFormat="1" applyFont="1" applyFill="1" applyBorder="1" applyAlignment="1">
      <alignment horizontal="center" vertical="center"/>
    </xf>
    <xf numFmtId="167" fontId="16" fillId="4" borderId="44" xfId="0" applyNumberFormat="1" applyFont="1" applyFill="1" applyBorder="1" applyAlignment="1">
      <alignment horizontal="center" vertical="center" wrapText="1"/>
    </xf>
    <xf numFmtId="167" fontId="16" fillId="2" borderId="44" xfId="1" applyNumberFormat="1" applyFont="1" applyFill="1" applyBorder="1" applyAlignment="1">
      <alignment horizontal="center" vertical="center"/>
    </xf>
    <xf numFmtId="167" fontId="16" fillId="2" borderId="44" xfId="1" applyNumberFormat="1" applyFont="1" applyFill="1" applyBorder="1" applyAlignment="1">
      <alignment horizontal="center" vertical="center" wrapText="1"/>
    </xf>
    <xf numFmtId="167" fontId="16" fillId="4" borderId="44" xfId="1" applyNumberFormat="1" applyFont="1" applyFill="1" applyBorder="1" applyAlignment="1">
      <alignment horizontal="center" vertical="center" wrapText="1"/>
    </xf>
    <xf numFmtId="0" fontId="2" fillId="41" borderId="37" xfId="0" applyFont="1" applyFill="1" applyBorder="1" applyAlignment="1">
      <alignment horizontal="left"/>
    </xf>
    <xf numFmtId="43" fontId="2" fillId="41" borderId="35" xfId="0" applyNumberFormat="1" applyFont="1" applyFill="1" applyBorder="1" applyAlignment="1">
      <alignment horizontal="left"/>
    </xf>
    <xf numFmtId="0" fontId="49" fillId="38" borderId="45" xfId="2" applyNumberFormat="1" applyFont="1" applyFill="1" applyBorder="1" applyAlignment="1">
      <alignment horizontal="center" vertical="center" wrapText="1"/>
    </xf>
    <xf numFmtId="167" fontId="49" fillId="38" borderId="0" xfId="2" applyNumberFormat="1" applyFont="1" applyFill="1" applyBorder="1" applyAlignment="1">
      <alignment horizontal="center" vertical="center" wrapText="1"/>
    </xf>
    <xf numFmtId="167" fontId="49" fillId="38" borderId="6" xfId="2" applyNumberFormat="1" applyFont="1" applyFill="1" applyBorder="1" applyAlignment="1">
      <alignment vertical="center" wrapText="1"/>
    </xf>
    <xf numFmtId="1" fontId="2" fillId="41" borderId="6" xfId="0" applyNumberFormat="1" applyFont="1" applyFill="1" applyBorder="1" applyAlignment="1">
      <alignment horizontal="left"/>
    </xf>
    <xf numFmtId="43" fontId="2" fillId="41" borderId="6" xfId="0" applyNumberFormat="1" applyFont="1" applyFill="1" applyBorder="1" applyAlignment="1">
      <alignment horizontal="left"/>
    </xf>
    <xf numFmtId="43" fontId="2" fillId="0" borderId="0" xfId="0" applyNumberFormat="1" applyFont="1" applyAlignment="1">
      <alignment horizontal="left"/>
    </xf>
    <xf numFmtId="0" fontId="2" fillId="0" borderId="15" xfId="0" applyFont="1" applyBorder="1" applyAlignment="1" applyProtection="1">
      <alignment horizontal="center" vertical="center" wrapText="1"/>
      <protection locked="0"/>
    </xf>
    <xf numFmtId="1" fontId="42" fillId="0" borderId="6" xfId="0" applyNumberFormat="1" applyFont="1" applyBorder="1" applyAlignment="1" applyProtection="1">
      <alignment horizontal="center" vertical="center"/>
      <protection locked="0"/>
    </xf>
    <xf numFmtId="1" fontId="52" fillId="0" borderId="3" xfId="0" applyNumberFormat="1" applyFont="1" applyBorder="1" applyAlignment="1" applyProtection="1">
      <alignment horizontal="center"/>
      <protection locked="0"/>
    </xf>
    <xf numFmtId="44" fontId="52" fillId="0" borderId="3" xfId="1" applyNumberFormat="1" applyFont="1" applyFill="1" applyBorder="1" applyAlignment="1" applyProtection="1">
      <protection locked="0"/>
    </xf>
    <xf numFmtId="14" fontId="53" fillId="0" borderId="6" xfId="0" applyNumberFormat="1" applyFont="1" applyBorder="1" applyAlignment="1" applyProtection="1">
      <alignment horizontal="center" vertical="center"/>
      <protection locked="0"/>
    </xf>
    <xf numFmtId="0" fontId="53" fillId="0" borderId="6" xfId="0" applyFont="1" applyBorder="1" applyAlignment="1" applyProtection="1">
      <alignment horizontal="center" vertical="center" wrapText="1"/>
      <protection locked="0"/>
    </xf>
    <xf numFmtId="0" fontId="53" fillId="0" borderId="6" xfId="0" applyFont="1" applyBorder="1" applyAlignment="1" applyProtection="1">
      <alignment horizontal="center" vertical="center"/>
      <protection locked="0"/>
    </xf>
    <xf numFmtId="14" fontId="42" fillId="0" borderId="6" xfId="0" applyNumberFormat="1" applyFont="1" applyBorder="1" applyAlignment="1" applyProtection="1">
      <alignment horizontal="center" vertical="center" wrapText="1"/>
      <protection locked="0"/>
    </xf>
    <xf numFmtId="14" fontId="2" fillId="0" borderId="6" xfId="0" applyNumberFormat="1" applyFont="1" applyBorder="1" applyAlignment="1" applyProtection="1">
      <alignment horizontal="center" vertical="center" wrapText="1"/>
      <protection locked="0"/>
    </xf>
    <xf numFmtId="14" fontId="53" fillId="0" borderId="6" xfId="0" applyNumberFormat="1" applyFont="1" applyBorder="1" applyAlignment="1" applyProtection="1">
      <alignment horizontal="center" vertical="center" wrapText="1"/>
      <protection locked="0"/>
    </xf>
    <xf numFmtId="43" fontId="0" fillId="0" borderId="0" xfId="1" applyFont="1" applyAlignment="1">
      <alignment horizontal="center" vertical="center"/>
    </xf>
    <xf numFmtId="0" fontId="22" fillId="0" borderId="6" xfId="0" applyFont="1" applyBorder="1" applyAlignment="1">
      <alignment horizontal="center" vertical="center"/>
    </xf>
    <xf numFmtId="14" fontId="40" fillId="0" borderId="12" xfId="0" applyNumberFormat="1" applyFont="1" applyBorder="1" applyAlignment="1">
      <alignment horizontal="center"/>
    </xf>
    <xf numFmtId="14" fontId="13" fillId="0" borderId="12" xfId="0" applyNumberFormat="1" applyFont="1" applyBorder="1" applyAlignment="1">
      <alignment horizontal="center"/>
    </xf>
    <xf numFmtId="14" fontId="44" fillId="0" borderId="12" xfId="0" applyNumberFormat="1" applyFont="1" applyBorder="1" applyAlignment="1">
      <alignment horizontal="center"/>
    </xf>
    <xf numFmtId="14" fontId="52" fillId="0" borderId="12" xfId="0" applyNumberFormat="1" applyFont="1" applyBorder="1" applyAlignment="1">
      <alignment horizontal="center"/>
    </xf>
    <xf numFmtId="1" fontId="13" fillId="0" borderId="12" xfId="0" applyNumberFormat="1" applyFont="1" applyBorder="1" applyAlignment="1">
      <alignment horizontal="center"/>
    </xf>
    <xf numFmtId="1" fontId="13" fillId="0" borderId="12" xfId="0" applyNumberFormat="1" applyFont="1" applyBorder="1" applyAlignment="1" applyProtection="1">
      <alignment horizontal="center"/>
      <protection locked="0"/>
    </xf>
    <xf numFmtId="1" fontId="52" fillId="0" borderId="12" xfId="0" applyNumberFormat="1" applyFont="1" applyBorder="1" applyAlignment="1" applyProtection="1">
      <alignment horizontal="center"/>
      <protection locked="0"/>
    </xf>
    <xf numFmtId="44" fontId="0" fillId="0" borderId="47" xfId="1" applyNumberFormat="1" applyFont="1" applyBorder="1"/>
    <xf numFmtId="0" fontId="47" fillId="0" borderId="0" xfId="1" applyNumberFormat="1" applyFont="1" applyFill="1" applyAlignment="1">
      <alignment horizontal="center" vertical="center" wrapText="1"/>
    </xf>
    <xf numFmtId="0" fontId="7" fillId="0" borderId="0" xfId="0" applyFont="1" applyAlignment="1">
      <alignment horizontal="center"/>
    </xf>
    <xf numFmtId="164" fontId="0" fillId="0" borderId="0" xfId="0" applyNumberFormat="1" applyAlignment="1">
      <alignment horizontal="center" vertical="center"/>
    </xf>
    <xf numFmtId="43" fontId="0" fillId="0" borderId="0" xfId="1" applyFont="1" applyFill="1" applyBorder="1"/>
    <xf numFmtId="4" fontId="0" fillId="7" borderId="0" xfId="0" applyNumberFormat="1" applyFill="1"/>
    <xf numFmtId="0" fontId="7" fillId="7" borderId="0" xfId="0" applyFont="1" applyFill="1"/>
    <xf numFmtId="49" fontId="2" fillId="0" borderId="6" xfId="0" applyNumberFormat="1" applyFont="1" applyBorder="1" applyAlignment="1" applyProtection="1">
      <alignment horizontal="center" vertical="center"/>
      <protection locked="0"/>
    </xf>
    <xf numFmtId="49" fontId="53" fillId="0" borderId="6" xfId="0" applyNumberFormat="1" applyFont="1" applyBorder="1" applyAlignment="1" applyProtection="1">
      <alignment horizontal="center" vertical="center"/>
      <protection locked="0"/>
    </xf>
    <xf numFmtId="1" fontId="0" fillId="0" borderId="3" xfId="0" applyNumberFormat="1" applyBorder="1" applyAlignment="1" applyProtection="1">
      <alignment horizontal="center"/>
      <protection locked="0"/>
    </xf>
    <xf numFmtId="0" fontId="16" fillId="4" borderId="5" xfId="7" applyFont="1" applyFill="1" applyBorder="1" applyAlignment="1">
      <alignment horizontal="center" vertical="center" wrapText="1"/>
    </xf>
    <xf numFmtId="0" fontId="16" fillId="4" borderId="5" xfId="7" applyFont="1" applyFill="1" applyBorder="1" applyAlignment="1">
      <alignment horizontal="center" vertical="center"/>
    </xf>
    <xf numFmtId="1" fontId="16" fillId="4" borderId="5" xfId="7" applyNumberFormat="1" applyFont="1" applyFill="1" applyBorder="1" applyAlignment="1">
      <alignment horizontal="center" vertical="center"/>
    </xf>
    <xf numFmtId="0" fontId="16" fillId="4" borderId="5" xfId="7" applyFont="1" applyFill="1" applyBorder="1" applyAlignment="1" applyProtection="1">
      <alignment horizontal="center" vertical="center"/>
    </xf>
    <xf numFmtId="44" fontId="16" fillId="4" borderId="5" xfId="7" applyNumberFormat="1" applyFont="1" applyFill="1" applyBorder="1" applyAlignment="1" applyProtection="1">
      <alignment horizontal="center" vertical="center" wrapText="1"/>
    </xf>
    <xf numFmtId="167" fontId="16" fillId="4" borderId="5" xfId="7" applyNumberFormat="1" applyFont="1" applyFill="1" applyBorder="1" applyAlignment="1" applyProtection="1">
      <alignment horizontal="center" vertical="center"/>
    </xf>
    <xf numFmtId="43" fontId="16" fillId="4" borderId="17" xfId="1" applyFont="1" applyFill="1" applyBorder="1" applyAlignment="1">
      <alignment horizontal="center" vertical="center" wrapText="1"/>
    </xf>
    <xf numFmtId="0" fontId="0" fillId="0" borderId="3" xfId="0" applyBorder="1"/>
    <xf numFmtId="44" fontId="0" fillId="0" borderId="3" xfId="0" applyNumberFormat="1" applyBorder="1"/>
    <xf numFmtId="0" fontId="0" fillId="40" borderId="47" xfId="0" applyFill="1" applyBorder="1" applyAlignment="1">
      <alignment horizontal="center"/>
    </xf>
    <xf numFmtId="1" fontId="0" fillId="40" borderId="47" xfId="0" applyNumberFormat="1" applyFill="1" applyBorder="1" applyAlignment="1">
      <alignment horizontal="center"/>
    </xf>
    <xf numFmtId="0" fontId="0" fillId="40" borderId="47" xfId="0" applyFill="1" applyBorder="1"/>
    <xf numFmtId="1" fontId="0" fillId="40" borderId="47" xfId="0" applyNumberFormat="1" applyFill="1" applyBorder="1"/>
    <xf numFmtId="44" fontId="0" fillId="40" borderId="47" xfId="1" applyNumberFormat="1" applyFont="1" applyFill="1" applyBorder="1"/>
    <xf numFmtId="44" fontId="13" fillId="4" borderId="47" xfId="1" applyNumberFormat="1" applyFont="1" applyFill="1" applyBorder="1" applyAlignment="1">
      <alignment horizontal="right"/>
    </xf>
    <xf numFmtId="44" fontId="8" fillId="4" borderId="47" xfId="1" applyNumberFormat="1" applyFont="1" applyFill="1" applyBorder="1"/>
    <xf numFmtId="0" fontId="0" fillId="0" borderId="47" xfId="0" applyBorder="1" applyAlignment="1">
      <alignment horizontal="center"/>
    </xf>
    <xf numFmtId="1" fontId="0" fillId="0" borderId="47" xfId="0" applyNumberFormat="1" applyBorder="1" applyAlignment="1">
      <alignment horizontal="center"/>
    </xf>
    <xf numFmtId="0" fontId="0" fillId="0" borderId="47" xfId="0" applyBorder="1"/>
    <xf numFmtId="1" fontId="0" fillId="0" borderId="47" xfId="0" applyNumberFormat="1" applyBorder="1"/>
    <xf numFmtId="44" fontId="0" fillId="0" borderId="3" xfId="1" applyNumberFormat="1" applyFont="1" applyFill="1" applyBorder="1" applyProtection="1">
      <protection locked="0"/>
    </xf>
    <xf numFmtId="44" fontId="0" fillId="0" borderId="3" xfId="1" applyNumberFormat="1" applyFont="1" applyFill="1" applyBorder="1" applyAlignment="1" applyProtection="1">
      <alignment horizontal="right"/>
    </xf>
    <xf numFmtId="44" fontId="41" fillId="0" borderId="0" xfId="24" applyNumberFormat="1" applyFont="1" applyFill="1" applyBorder="1" applyAlignment="1">
      <alignment horizontal="center"/>
    </xf>
    <xf numFmtId="0" fontId="53" fillId="0" borderId="6" xfId="0" applyFont="1" applyBorder="1" applyAlignment="1">
      <alignment horizontal="center" vertical="center" wrapText="1"/>
    </xf>
    <xf numFmtId="1" fontId="53" fillId="0" borderId="6" xfId="0" applyNumberFormat="1" applyFont="1" applyBorder="1" applyAlignment="1" applyProtection="1">
      <alignment horizontal="center" vertical="center"/>
      <protection locked="0"/>
    </xf>
    <xf numFmtId="44" fontId="55" fillId="0" borderId="3" xfId="1" applyNumberFormat="1" applyFont="1" applyFill="1" applyBorder="1" applyProtection="1">
      <protection locked="0"/>
    </xf>
    <xf numFmtId="44" fontId="55" fillId="0" borderId="3" xfId="1" applyNumberFormat="1" applyFont="1" applyFill="1" applyBorder="1" applyAlignment="1" applyProtection="1">
      <alignment horizontal="right"/>
    </xf>
    <xf numFmtId="14" fontId="2" fillId="0" borderId="15" xfId="0" applyNumberFormat="1" applyFont="1" applyBorder="1" applyAlignment="1" applyProtection="1">
      <alignment horizontal="center" vertical="center" wrapText="1"/>
      <protection locked="0"/>
    </xf>
    <xf numFmtId="1" fontId="2" fillId="0" borderId="6" xfId="0" applyNumberFormat="1" applyFont="1" applyBorder="1" applyAlignment="1" applyProtection="1">
      <alignment horizontal="center" vertical="center"/>
      <protection locked="0"/>
    </xf>
    <xf numFmtId="0" fontId="2" fillId="0" borderId="6" xfId="0" applyFont="1" applyBorder="1" applyAlignment="1">
      <alignment horizontal="center" vertical="center" wrapText="1"/>
    </xf>
    <xf numFmtId="14" fontId="2" fillId="6" borderId="6" xfId="0" applyNumberFormat="1" applyFont="1" applyFill="1" applyBorder="1" applyAlignment="1">
      <alignment horizontal="center" vertical="center" wrapText="1"/>
    </xf>
    <xf numFmtId="44" fontId="0" fillId="4" borderId="3" xfId="1" applyNumberFormat="1" applyFont="1" applyFill="1" applyBorder="1"/>
    <xf numFmtId="44" fontId="45" fillId="0" borderId="3" xfId="1" applyNumberFormat="1" applyFont="1" applyFill="1" applyBorder="1" applyProtection="1">
      <protection locked="0"/>
    </xf>
    <xf numFmtId="14" fontId="0" fillId="0" borderId="3" xfId="0" applyNumberFormat="1" applyBorder="1" applyAlignment="1" applyProtection="1">
      <alignment horizontal="center"/>
      <protection locked="0"/>
    </xf>
    <xf numFmtId="14" fontId="49" fillId="38" borderId="38" xfId="2" applyNumberFormat="1" applyFont="1" applyFill="1" applyBorder="1" applyAlignment="1">
      <alignment horizontal="center" vertical="center" wrapText="1"/>
    </xf>
    <xf numFmtId="14" fontId="49" fillId="38" borderId="0" xfId="2" applyNumberFormat="1" applyFont="1" applyFill="1" applyBorder="1" applyAlignment="1">
      <alignment horizontal="center" vertical="center" wrapText="1"/>
    </xf>
    <xf numFmtId="14" fontId="49" fillId="38" borderId="0" xfId="2" applyNumberFormat="1" applyFont="1" applyFill="1" applyBorder="1" applyAlignment="1">
      <alignment vertical="center" wrapText="1"/>
    </xf>
    <xf numFmtId="14" fontId="49" fillId="38" borderId="36" xfId="2" applyNumberFormat="1" applyFont="1" applyFill="1" applyBorder="1" applyAlignment="1">
      <alignment horizontal="center" vertical="center" wrapText="1"/>
    </xf>
    <xf numFmtId="0" fontId="33" fillId="0" borderId="0" xfId="0" applyFont="1" applyAlignment="1">
      <alignment vertical="center"/>
    </xf>
    <xf numFmtId="167" fontId="48" fillId="0" borderId="0" xfId="2" applyNumberFormat="1" applyFont="1" applyFill="1" applyBorder="1" applyAlignment="1">
      <alignment horizontal="center" vertical="center" wrapText="1"/>
    </xf>
    <xf numFmtId="43" fontId="2" fillId="0" borderId="0" xfId="0" applyNumberFormat="1" applyFont="1" applyAlignment="1">
      <alignment horizontal="left" vertical="center"/>
    </xf>
    <xf numFmtId="43" fontId="2" fillId="0" borderId="0" xfId="0" applyNumberFormat="1" applyFont="1" applyAlignment="1">
      <alignment horizontal="center" vertical="center"/>
    </xf>
    <xf numFmtId="0" fontId="33" fillId="0" borderId="0" xfId="0" applyFont="1" applyAlignment="1">
      <alignment horizontal="center"/>
    </xf>
    <xf numFmtId="43" fontId="2" fillId="0" borderId="0" xfId="0" applyNumberFormat="1" applyFont="1" applyAlignment="1">
      <alignment horizontal="center"/>
    </xf>
    <xf numFmtId="167" fontId="10" fillId="4" borderId="6" xfId="2" applyNumberFormat="1" applyFont="1" applyFill="1" applyBorder="1" applyAlignment="1">
      <alignment horizontal="left" vertical="center" wrapText="1"/>
    </xf>
    <xf numFmtId="167" fontId="2" fillId="41" borderId="47" xfId="0" applyNumberFormat="1" applyFont="1" applyFill="1" applyBorder="1" applyAlignment="1">
      <alignment horizontal="right" vertical="center"/>
    </xf>
    <xf numFmtId="167" fontId="10" fillId="4" borderId="7" xfId="2" applyNumberFormat="1" applyFont="1" applyFill="1" applyBorder="1" applyAlignment="1">
      <alignment horizontal="left" vertical="center" wrapText="1"/>
    </xf>
    <xf numFmtId="43" fontId="2" fillId="0" borderId="51" xfId="0" applyNumberFormat="1" applyFont="1" applyBorder="1" applyAlignment="1">
      <alignment horizontal="right" vertical="center"/>
    </xf>
    <xf numFmtId="167" fontId="2" fillId="41" borderId="50" xfId="0" applyNumberFormat="1" applyFont="1" applyFill="1" applyBorder="1" applyAlignment="1">
      <alignment horizontal="right" vertical="center"/>
    </xf>
    <xf numFmtId="49" fontId="13" fillId="0" borderId="48" xfId="0" applyNumberFormat="1" applyFont="1" applyBorder="1" applyProtection="1">
      <protection locked="0"/>
    </xf>
    <xf numFmtId="165" fontId="36" fillId="0" borderId="27" xfId="0" applyNumberFormat="1" applyFont="1" applyBorder="1" applyAlignment="1">
      <alignment vertical="center" wrapText="1"/>
    </xf>
    <xf numFmtId="49" fontId="37" fillId="0" borderId="0" xfId="0" applyNumberFormat="1" applyFont="1" applyAlignment="1">
      <alignment horizontal="left" vertical="center"/>
    </xf>
    <xf numFmtId="0" fontId="7" fillId="0" borderId="0" xfId="0" applyFont="1"/>
    <xf numFmtId="167" fontId="0" fillId="3" borderId="1" xfId="0" applyNumberFormat="1" applyFill="1" applyBorder="1"/>
    <xf numFmtId="43" fontId="2" fillId="0" borderId="0" xfId="0" applyNumberFormat="1" applyFont="1" applyAlignment="1">
      <alignment horizontal="right" vertical="center"/>
    </xf>
    <xf numFmtId="167" fontId="2" fillId="0" borderId="0" xfId="0" applyNumberFormat="1" applyFont="1" applyAlignment="1">
      <alignment horizontal="right" vertical="center"/>
    </xf>
    <xf numFmtId="167" fontId="10" fillId="4" borderId="55" xfId="2" applyNumberFormat="1" applyFont="1" applyFill="1" applyBorder="1" applyAlignment="1">
      <alignment horizontal="center" vertical="center" wrapText="1"/>
    </xf>
    <xf numFmtId="43" fontId="2" fillId="41" borderId="55" xfId="0" applyNumberFormat="1" applyFont="1" applyFill="1" applyBorder="1" applyAlignment="1">
      <alignment horizontal="left"/>
    </xf>
    <xf numFmtId="43" fontId="2" fillId="0" borderId="56" xfId="0" applyNumberFormat="1" applyFont="1" applyBorder="1" applyAlignment="1">
      <alignment horizontal="right" vertical="center"/>
    </xf>
    <xf numFmtId="14" fontId="59" fillId="0" borderId="6" xfId="0" applyNumberFormat="1" applyFont="1" applyBorder="1" applyAlignment="1" applyProtection="1">
      <alignment horizontal="center" vertical="center"/>
      <protection locked="0"/>
    </xf>
    <xf numFmtId="49" fontId="59" fillId="0" borderId="6" xfId="0" applyNumberFormat="1" applyFont="1" applyBorder="1" applyAlignment="1" applyProtection="1">
      <alignment horizontal="center" vertical="center"/>
      <protection locked="0"/>
    </xf>
    <xf numFmtId="14" fontId="59" fillId="0" borderId="6" xfId="0" applyNumberFormat="1" applyFont="1" applyBorder="1" applyAlignment="1" applyProtection="1">
      <alignment horizontal="center" vertical="center" wrapText="1"/>
      <protection locked="0"/>
    </xf>
    <xf numFmtId="0" fontId="59" fillId="0" borderId="6" xfId="0" applyFont="1" applyBorder="1" applyAlignment="1">
      <alignment horizontal="center" vertical="center" wrapText="1"/>
    </xf>
    <xf numFmtId="44" fontId="61" fillId="0" borderId="3" xfId="1" applyNumberFormat="1" applyFont="1" applyFill="1" applyBorder="1" applyProtection="1">
      <protection locked="0"/>
    </xf>
    <xf numFmtId="44" fontId="61" fillId="0" borderId="3" xfId="1" applyNumberFormat="1" applyFont="1" applyFill="1" applyBorder="1" applyAlignment="1" applyProtection="1">
      <alignment horizontal="right"/>
    </xf>
    <xf numFmtId="1" fontId="59" fillId="0" borderId="6" xfId="0" applyNumberFormat="1" applyFont="1" applyBorder="1" applyAlignment="1" applyProtection="1">
      <alignment horizontal="center" vertical="center"/>
      <protection locked="0"/>
    </xf>
    <xf numFmtId="14" fontId="62" fillId="0" borderId="12" xfId="0" applyNumberFormat="1" applyFont="1" applyBorder="1" applyAlignment="1">
      <alignment horizontal="center"/>
    </xf>
    <xf numFmtId="1" fontId="62" fillId="0" borderId="3" xfId="0" applyNumberFormat="1" applyFont="1" applyBorder="1" applyAlignment="1" applyProtection="1">
      <alignment horizontal="center"/>
      <protection locked="0"/>
    </xf>
    <xf numFmtId="44" fontId="62" fillId="0" borderId="3" xfId="1" applyNumberFormat="1" applyFont="1" applyFill="1" applyBorder="1" applyAlignment="1" applyProtection="1">
      <protection locked="0"/>
    </xf>
    <xf numFmtId="14" fontId="2" fillId="0" borderId="0" xfId="0" applyNumberFormat="1" applyFont="1" applyAlignment="1">
      <alignment horizontal="center"/>
    </xf>
    <xf numFmtId="14" fontId="0" fillId="0" borderId="0" xfId="0" applyNumberFormat="1" applyAlignment="1">
      <alignment horizontal="left"/>
    </xf>
    <xf numFmtId="49" fontId="6" fillId="39" borderId="0" xfId="0" applyNumberFormat="1" applyFont="1" applyFill="1" applyAlignment="1">
      <alignment horizontal="right" vertical="center"/>
    </xf>
    <xf numFmtId="14" fontId="6" fillId="39" borderId="0" xfId="0" applyNumberFormat="1" applyFont="1" applyFill="1" applyAlignment="1">
      <alignment horizontal="left"/>
    </xf>
    <xf numFmtId="14" fontId="2" fillId="6" borderId="6" xfId="0" applyNumberFormat="1" applyFont="1" applyFill="1" applyBorder="1" applyAlignment="1" applyProtection="1">
      <alignment horizontal="center" vertical="center" wrapText="1"/>
      <protection locked="0"/>
    </xf>
    <xf numFmtId="0" fontId="2" fillId="6" borderId="6" xfId="0" applyFont="1" applyFill="1" applyBorder="1" applyAlignment="1" applyProtection="1">
      <alignment horizontal="center" vertical="center" wrapText="1"/>
      <protection locked="0"/>
    </xf>
    <xf numFmtId="1" fontId="0" fillId="0" borderId="60" xfId="0" applyNumberFormat="1" applyBorder="1" applyAlignment="1" applyProtection="1">
      <alignment horizontal="center"/>
      <protection locked="0"/>
    </xf>
    <xf numFmtId="44" fontId="61" fillId="0" borderId="60" xfId="1" applyNumberFormat="1" applyFont="1" applyFill="1" applyBorder="1" applyProtection="1">
      <protection locked="0"/>
    </xf>
    <xf numFmtId="44" fontId="62" fillId="0" borderId="3" xfId="1" applyNumberFormat="1" applyFont="1" applyFill="1" applyBorder="1" applyAlignment="1" applyProtection="1"/>
    <xf numFmtId="44" fontId="33" fillId="39" borderId="35" xfId="1" applyNumberFormat="1" applyFont="1" applyFill="1" applyBorder="1" applyAlignment="1">
      <alignment horizontal="center"/>
    </xf>
    <xf numFmtId="44" fontId="61" fillId="0" borderId="60" xfId="1" applyNumberFormat="1" applyFont="1" applyFill="1" applyBorder="1" applyAlignment="1" applyProtection="1">
      <alignment horizontal="right"/>
    </xf>
    <xf numFmtId="14" fontId="63" fillId="0" borderId="6" xfId="0" applyNumberFormat="1" applyFont="1" applyBorder="1" applyAlignment="1" applyProtection="1">
      <alignment horizontal="center" vertical="center"/>
      <protection locked="0"/>
    </xf>
    <xf numFmtId="1" fontId="63" fillId="0" borderId="6" xfId="0" applyNumberFormat="1" applyFont="1" applyBorder="1" applyAlignment="1" applyProtection="1">
      <alignment horizontal="center" vertical="center"/>
      <protection locked="0"/>
    </xf>
    <xf numFmtId="14" fontId="63" fillId="0" borderId="6" xfId="0" applyNumberFormat="1" applyFont="1" applyBorder="1" applyAlignment="1" applyProtection="1">
      <alignment horizontal="center" vertical="center" wrapText="1"/>
      <protection locked="0"/>
    </xf>
    <xf numFmtId="0" fontId="63" fillId="0" borderId="6" xfId="0" applyFont="1" applyBorder="1" applyAlignment="1">
      <alignment horizontal="center" vertical="center" wrapText="1"/>
    </xf>
    <xf numFmtId="0" fontId="0" fillId="0" borderId="17" xfId="0" applyBorder="1"/>
    <xf numFmtId="14" fontId="65" fillId="0" borderId="12" xfId="0" applyNumberFormat="1" applyFont="1" applyBorder="1" applyAlignment="1">
      <alignment horizontal="center"/>
    </xf>
    <xf numFmtId="1" fontId="65" fillId="0" borderId="3" xfId="0" applyNumberFormat="1" applyFont="1" applyBorder="1" applyAlignment="1" applyProtection="1">
      <alignment horizontal="center"/>
      <protection locked="0"/>
    </xf>
    <xf numFmtId="44" fontId="65" fillId="0" borderId="3" xfId="1" applyNumberFormat="1" applyFont="1" applyFill="1" applyBorder="1" applyAlignment="1" applyProtection="1">
      <protection locked="0"/>
    </xf>
    <xf numFmtId="0" fontId="22" fillId="0" borderId="15" xfId="0" applyFont="1" applyBorder="1" applyAlignment="1">
      <alignment horizontal="center" vertical="center"/>
    </xf>
    <xf numFmtId="0" fontId="2" fillId="0" borderId="61" xfId="0" applyFont="1" applyBorder="1" applyAlignment="1" applyProtection="1">
      <alignment horizontal="center" vertical="center" wrapText="1"/>
      <protection locked="0"/>
    </xf>
    <xf numFmtId="0" fontId="22" fillId="0" borderId="61" xfId="0" applyFont="1" applyBorder="1" applyAlignment="1">
      <alignment horizontal="center" vertical="center"/>
    </xf>
    <xf numFmtId="0" fontId="22" fillId="0" borderId="6" xfId="0" applyFont="1" applyBorder="1" applyAlignment="1" applyProtection="1">
      <alignment horizontal="center" vertical="center"/>
      <protection locked="0"/>
    </xf>
    <xf numFmtId="0" fontId="22" fillId="0" borderId="7" xfId="0" applyFont="1" applyBorder="1" applyAlignment="1" applyProtection="1">
      <alignment horizontal="center" vertical="center"/>
      <protection locked="0"/>
    </xf>
    <xf numFmtId="0" fontId="10" fillId="4" borderId="7" xfId="0" applyFont="1" applyFill="1" applyBorder="1" applyAlignment="1">
      <alignment horizontal="center" vertical="center" wrapText="1"/>
    </xf>
    <xf numFmtId="0" fontId="54" fillId="0" borderId="7" xfId="0" applyFont="1" applyBorder="1" applyAlignment="1" applyProtection="1">
      <alignment horizontal="center" vertical="center"/>
      <protection locked="0"/>
    </xf>
    <xf numFmtId="0" fontId="60" fillId="0" borderId="7" xfId="0" applyFont="1" applyBorder="1" applyAlignment="1" applyProtection="1">
      <alignment horizontal="center" vertical="center"/>
      <protection locked="0"/>
    </xf>
    <xf numFmtId="0" fontId="43" fillId="0" borderId="7" xfId="0" applyFont="1" applyBorder="1" applyAlignment="1" applyProtection="1">
      <alignment horizontal="center" vertical="center"/>
      <protection locked="0"/>
    </xf>
    <xf numFmtId="0" fontId="64" fillId="0" borderId="7" xfId="0" applyFont="1" applyBorder="1" applyAlignment="1" applyProtection="1">
      <alignment horizontal="center" vertical="center"/>
      <protection locked="0"/>
    </xf>
    <xf numFmtId="0" fontId="22" fillId="0" borderId="7" xfId="0" applyFont="1" applyBorder="1" applyAlignment="1" applyProtection="1">
      <alignment vertical="center"/>
      <protection locked="0"/>
    </xf>
    <xf numFmtId="0" fontId="2" fillId="0" borderId="17" xfId="0" applyFont="1" applyBorder="1"/>
    <xf numFmtId="0" fontId="0" fillId="0" borderId="17" xfId="0" applyBorder="1" applyAlignment="1">
      <alignment horizontal="center" vertical="center"/>
    </xf>
    <xf numFmtId="0" fontId="0" fillId="0" borderId="17" xfId="0" applyBorder="1" applyAlignment="1">
      <alignment vertical="center"/>
    </xf>
    <xf numFmtId="0" fontId="22" fillId="0" borderId="17" xfId="0" applyFont="1" applyBorder="1" applyAlignment="1" applyProtection="1">
      <alignment horizontal="center" vertical="center"/>
      <protection locked="0"/>
    </xf>
    <xf numFmtId="164" fontId="0" fillId="0" borderId="0" xfId="0" applyNumberFormat="1"/>
    <xf numFmtId="0" fontId="0" fillId="0" borderId="0" xfId="0" applyAlignment="1">
      <alignment wrapText="1"/>
    </xf>
    <xf numFmtId="4" fontId="33" fillId="0" borderId="0" xfId="1" applyNumberFormat="1" applyFont="1" applyFill="1" applyBorder="1"/>
    <xf numFmtId="14" fontId="2" fillId="0" borderId="62" xfId="0" applyNumberFormat="1" applyFont="1" applyBorder="1" applyAlignment="1" applyProtection="1">
      <alignment horizontal="center" vertical="center"/>
      <protection locked="0"/>
    </xf>
    <xf numFmtId="0" fontId="66" fillId="0" borderId="0" xfId="0" applyFont="1" applyAlignment="1">
      <alignment horizontal="center" wrapText="1"/>
    </xf>
    <xf numFmtId="44" fontId="65" fillId="0" borderId="3" xfId="1" applyNumberFormat="1" applyFont="1" applyFill="1" applyBorder="1" applyAlignment="1" applyProtection="1"/>
    <xf numFmtId="43" fontId="33" fillId="39" borderId="35" xfId="1" applyFont="1" applyFill="1" applyBorder="1" applyAlignment="1">
      <alignment horizontal="center"/>
    </xf>
    <xf numFmtId="43" fontId="2" fillId="0" borderId="0" xfId="1" applyFont="1"/>
    <xf numFmtId="0" fontId="33" fillId="8" borderId="0" xfId="0" applyFont="1" applyFill="1"/>
    <xf numFmtId="0" fontId="57" fillId="8" borderId="0" xfId="0" applyFont="1" applyFill="1"/>
    <xf numFmtId="0" fontId="56" fillId="8" borderId="0" xfId="0" applyFont="1" applyFill="1" applyAlignment="1">
      <alignment horizontal="center"/>
    </xf>
    <xf numFmtId="0" fontId="6" fillId="8" borderId="0" xfId="0" applyFont="1" applyFill="1" applyAlignment="1">
      <alignment horizontal="center" wrapText="1"/>
    </xf>
    <xf numFmtId="0" fontId="0" fillId="6" borderId="0" xfId="0" applyFill="1" applyAlignment="1">
      <alignment horizontal="center"/>
    </xf>
    <xf numFmtId="0" fontId="0" fillId="3" borderId="0" xfId="0" applyFill="1" applyAlignment="1">
      <alignment horizontal="center" vertical="center"/>
    </xf>
    <xf numFmtId="0" fontId="0" fillId="3" borderId="32" xfId="0" applyFill="1" applyBorder="1" applyAlignment="1">
      <alignment horizontal="center" vertical="center" wrapText="1"/>
    </xf>
    <xf numFmtId="0" fontId="0" fillId="3" borderId="31" xfId="0" applyFill="1" applyBorder="1" applyAlignment="1">
      <alignment horizontal="center" vertical="center"/>
    </xf>
    <xf numFmtId="0" fontId="0" fillId="3" borderId="32" xfId="0" applyFill="1" applyBorder="1" applyAlignment="1">
      <alignment horizontal="center" vertical="center"/>
    </xf>
    <xf numFmtId="14" fontId="67" fillId="0" borderId="6" xfId="0" applyNumberFormat="1" applyFont="1" applyBorder="1" applyAlignment="1" applyProtection="1">
      <alignment horizontal="center" vertical="center"/>
      <protection locked="0"/>
    </xf>
    <xf numFmtId="1" fontId="67" fillId="0" borderId="6" xfId="0" applyNumberFormat="1" applyFont="1" applyBorder="1" applyAlignment="1" applyProtection="1">
      <alignment horizontal="center" vertical="center"/>
      <protection locked="0"/>
    </xf>
    <xf numFmtId="14" fontId="67" fillId="0" borderId="6" xfId="0" applyNumberFormat="1" applyFont="1" applyBorder="1" applyAlignment="1" applyProtection="1">
      <alignment horizontal="center" vertical="center" wrapText="1"/>
      <protection locked="0"/>
    </xf>
    <xf numFmtId="0" fontId="68" fillId="0" borderId="6" xfId="0" applyFont="1" applyBorder="1" applyAlignment="1" applyProtection="1">
      <alignment horizontal="center" vertical="center"/>
      <protection locked="0"/>
    </xf>
    <xf numFmtId="0" fontId="69" fillId="6" borderId="6" xfId="0" applyFont="1" applyFill="1" applyBorder="1" applyAlignment="1" applyProtection="1">
      <alignment horizontal="center" vertical="center" wrapText="1"/>
      <protection locked="0"/>
    </xf>
    <xf numFmtId="14" fontId="70" fillId="0" borderId="12" xfId="0" applyNumberFormat="1" applyFont="1" applyBorder="1" applyAlignment="1">
      <alignment horizontal="center"/>
    </xf>
    <xf numFmtId="1" fontId="70" fillId="0" borderId="3" xfId="0" applyNumberFormat="1" applyFont="1" applyBorder="1" applyAlignment="1" applyProtection="1">
      <alignment horizontal="center"/>
      <protection locked="0"/>
    </xf>
    <xf numFmtId="44" fontId="70" fillId="0" borderId="3" xfId="1" applyNumberFormat="1" applyFont="1" applyFill="1" applyBorder="1" applyAlignment="1" applyProtection="1">
      <protection locked="0"/>
    </xf>
    <xf numFmtId="44" fontId="71" fillId="0" borderId="3" xfId="1" applyNumberFormat="1" applyFont="1" applyFill="1" applyBorder="1" applyProtection="1">
      <protection locked="0"/>
    </xf>
    <xf numFmtId="44" fontId="71" fillId="0" borderId="3" xfId="1" applyNumberFormat="1" applyFont="1" applyFill="1" applyBorder="1" applyAlignment="1" applyProtection="1">
      <alignment horizontal="right"/>
    </xf>
    <xf numFmtId="164" fontId="2" fillId="6" borderId="6" xfId="0" applyNumberFormat="1" applyFont="1" applyFill="1" applyBorder="1" applyAlignment="1">
      <alignment horizontal="center" vertical="center" wrapText="1"/>
    </xf>
    <xf numFmtId="14" fontId="72" fillId="0" borderId="6" xfId="0" applyNumberFormat="1" applyFont="1" applyBorder="1" applyAlignment="1" applyProtection="1">
      <alignment horizontal="center" vertical="center"/>
      <protection locked="0"/>
    </xf>
    <xf numFmtId="1" fontId="72" fillId="0" borderId="6" xfId="0" applyNumberFormat="1" applyFont="1" applyBorder="1" applyAlignment="1" applyProtection="1">
      <alignment horizontal="center" vertical="center"/>
      <protection locked="0"/>
    </xf>
    <xf numFmtId="49" fontId="72" fillId="0" borderId="6" xfId="0" applyNumberFormat="1" applyFont="1" applyBorder="1" applyAlignment="1" applyProtection="1">
      <alignment horizontal="center" vertical="center"/>
      <protection locked="0"/>
    </xf>
    <xf numFmtId="14" fontId="72" fillId="0" borderId="6" xfId="0" applyNumberFormat="1" applyFont="1" applyBorder="1" applyAlignment="1" applyProtection="1">
      <alignment horizontal="center" vertical="center" wrapText="1"/>
      <protection locked="0"/>
    </xf>
    <xf numFmtId="44" fontId="0" fillId="0" borderId="0" xfId="0" applyNumberFormat="1" applyAlignment="1">
      <alignment horizontal="right"/>
    </xf>
    <xf numFmtId="44" fontId="13" fillId="4" borderId="3" xfId="1" quotePrefix="1" applyNumberFormat="1" applyFont="1" applyFill="1" applyBorder="1" applyAlignment="1" applyProtection="1"/>
    <xf numFmtId="44" fontId="0" fillId="6" borderId="0" xfId="0" applyNumberFormat="1" applyFill="1"/>
    <xf numFmtId="44" fontId="74" fillId="0" borderId="3" xfId="1" applyNumberFormat="1" applyFont="1" applyFill="1" applyBorder="1" applyProtection="1">
      <protection locked="0"/>
    </xf>
    <xf numFmtId="14" fontId="75" fillId="0" borderId="6" xfId="0" applyNumberFormat="1" applyFont="1" applyBorder="1" applyAlignment="1" applyProtection="1">
      <alignment horizontal="center" vertical="center"/>
      <protection locked="0"/>
    </xf>
    <xf numFmtId="1" fontId="75" fillId="0" borderId="6" xfId="0" applyNumberFormat="1" applyFont="1" applyBorder="1" applyAlignment="1" applyProtection="1">
      <alignment horizontal="center" vertical="center"/>
      <protection locked="0"/>
    </xf>
    <xf numFmtId="49" fontId="75" fillId="0" borderId="6" xfId="0" applyNumberFormat="1" applyFont="1" applyBorder="1" applyAlignment="1" applyProtection="1">
      <alignment horizontal="center" vertical="center"/>
      <protection locked="0"/>
    </xf>
    <xf numFmtId="14" fontId="75" fillId="0" borderId="6" xfId="0" applyNumberFormat="1" applyFont="1" applyBorder="1" applyAlignment="1" applyProtection="1">
      <alignment horizontal="center" vertical="center" wrapText="1"/>
      <protection locked="0"/>
    </xf>
    <xf numFmtId="44" fontId="74" fillId="0" borderId="3" xfId="1" applyNumberFormat="1" applyFont="1" applyFill="1" applyBorder="1" applyAlignment="1" applyProtection="1">
      <alignment horizontal="right"/>
    </xf>
    <xf numFmtId="165" fontId="2" fillId="0" borderId="0" xfId="0" applyNumberFormat="1" applyFont="1" applyAlignment="1">
      <alignment horizontal="right"/>
    </xf>
    <xf numFmtId="49" fontId="2" fillId="0" borderId="0" xfId="0" applyNumberFormat="1" applyFont="1" applyAlignment="1">
      <alignment horizontal="right"/>
    </xf>
    <xf numFmtId="0" fontId="69" fillId="0" borderId="6" xfId="0" applyFont="1" applyBorder="1" applyAlignment="1" applyProtection="1">
      <alignment horizontal="center" vertical="center" wrapText="1"/>
      <protection locked="0"/>
    </xf>
    <xf numFmtId="0" fontId="0" fillId="3" borderId="49" xfId="0" applyFill="1" applyBorder="1" applyAlignment="1">
      <alignment horizontal="center" vertical="center"/>
    </xf>
    <xf numFmtId="14" fontId="77" fillId="0" borderId="12" xfId="0" applyNumberFormat="1" applyFont="1" applyBorder="1" applyAlignment="1">
      <alignment horizontal="center"/>
    </xf>
    <xf numFmtId="1" fontId="77" fillId="0" borderId="3" xfId="0" applyNumberFormat="1" applyFont="1" applyBorder="1" applyAlignment="1" applyProtection="1">
      <alignment horizontal="center"/>
      <protection locked="0"/>
    </xf>
    <xf numFmtId="44" fontId="77" fillId="0" borderId="3" xfId="1" applyNumberFormat="1" applyFont="1" applyFill="1" applyBorder="1" applyAlignment="1" applyProtection="1">
      <protection locked="0"/>
    </xf>
    <xf numFmtId="14" fontId="78" fillId="0" borderId="6" xfId="0" applyNumberFormat="1" applyFont="1" applyBorder="1" applyAlignment="1" applyProtection="1">
      <alignment horizontal="center" vertical="center"/>
      <protection locked="0"/>
    </xf>
    <xf numFmtId="1" fontId="78" fillId="0" borderId="6" xfId="0" applyNumberFormat="1" applyFont="1" applyBorder="1" applyAlignment="1" applyProtection="1">
      <alignment horizontal="center" vertical="center"/>
      <protection locked="0"/>
    </xf>
    <xf numFmtId="49" fontId="78" fillId="0" borderId="6" xfId="0" applyNumberFormat="1" applyFont="1" applyBorder="1" applyAlignment="1" applyProtection="1">
      <alignment horizontal="center" vertical="center"/>
      <protection locked="0"/>
    </xf>
    <xf numFmtId="14" fontId="78" fillId="0" borderId="6" xfId="0" applyNumberFormat="1" applyFont="1" applyBorder="1" applyAlignment="1" applyProtection="1">
      <alignment horizontal="center" vertical="center" wrapText="1"/>
      <protection locked="0"/>
    </xf>
    <xf numFmtId="0" fontId="79" fillId="0" borderId="6" xfId="0" applyFont="1" applyBorder="1" applyAlignment="1" applyProtection="1">
      <alignment horizontal="center" vertical="center"/>
      <protection locked="0"/>
    </xf>
    <xf numFmtId="44" fontId="80" fillId="0" borderId="3" xfId="1" applyNumberFormat="1" applyFont="1" applyFill="1" applyBorder="1" applyProtection="1">
      <protection locked="0"/>
    </xf>
    <xf numFmtId="44" fontId="80" fillId="0" borderId="3" xfId="1" applyNumberFormat="1" applyFont="1" applyFill="1" applyBorder="1" applyAlignment="1" applyProtection="1">
      <alignment horizontal="right"/>
    </xf>
    <xf numFmtId="43" fontId="31" fillId="0" borderId="0" xfId="0" applyNumberFormat="1" applyFont="1"/>
    <xf numFmtId="167" fontId="10" fillId="0" borderId="0" xfId="2" applyNumberFormat="1" applyFont="1" applyFill="1" applyBorder="1" applyAlignment="1">
      <alignment horizontal="left" vertical="center" wrapText="1"/>
    </xf>
    <xf numFmtId="14" fontId="81" fillId="0" borderId="6" xfId="0" applyNumberFormat="1" applyFont="1" applyBorder="1" applyAlignment="1" applyProtection="1">
      <alignment horizontal="center" vertical="center"/>
      <protection locked="0"/>
    </xf>
    <xf numFmtId="1" fontId="81" fillId="0" borderId="6" xfId="0" applyNumberFormat="1" applyFont="1" applyBorder="1" applyAlignment="1" applyProtection="1">
      <alignment horizontal="center" vertical="center"/>
      <protection locked="0"/>
    </xf>
    <xf numFmtId="49" fontId="81" fillId="0" borderId="6" xfId="0" applyNumberFormat="1" applyFont="1" applyBorder="1" applyAlignment="1" applyProtection="1">
      <alignment horizontal="center" vertical="center"/>
      <protection locked="0"/>
    </xf>
    <xf numFmtId="14" fontId="81" fillId="0" borderId="6" xfId="0" applyNumberFormat="1" applyFont="1" applyBorder="1" applyAlignment="1" applyProtection="1">
      <alignment horizontal="center" vertical="center" wrapText="1"/>
      <protection locked="0"/>
    </xf>
    <xf numFmtId="0" fontId="82" fillId="0" borderId="6" xfId="0" applyFont="1" applyBorder="1" applyAlignment="1" applyProtection="1">
      <alignment horizontal="center" vertical="center"/>
      <protection locked="0"/>
    </xf>
    <xf numFmtId="44" fontId="8" fillId="5" borderId="47" xfId="1" applyNumberFormat="1" applyFont="1" applyFill="1" applyBorder="1"/>
    <xf numFmtId="167" fontId="69" fillId="0" borderId="0" xfId="0" applyNumberFormat="1" applyFont="1" applyAlignment="1">
      <alignment horizontal="right"/>
    </xf>
    <xf numFmtId="14" fontId="69" fillId="0" borderId="0" xfId="0" applyNumberFormat="1" applyFont="1" applyAlignment="1">
      <alignment horizontal="center"/>
    </xf>
    <xf numFmtId="44" fontId="84" fillId="0" borderId="3" xfId="1" applyNumberFormat="1" applyFont="1" applyFill="1" applyBorder="1" applyProtection="1">
      <protection locked="0"/>
    </xf>
    <xf numFmtId="14" fontId="83" fillId="0" borderId="12" xfId="0" applyNumberFormat="1" applyFont="1" applyBorder="1" applyAlignment="1">
      <alignment horizontal="center"/>
    </xf>
    <xf numFmtId="1" fontId="83" fillId="0" borderId="3" xfId="0" applyNumberFormat="1" applyFont="1" applyBorder="1" applyAlignment="1" applyProtection="1">
      <alignment horizontal="center"/>
      <protection locked="0"/>
    </xf>
    <xf numFmtId="44" fontId="83" fillId="0" borderId="3" xfId="1" applyNumberFormat="1" applyFont="1" applyFill="1" applyBorder="1" applyAlignment="1" applyProtection="1">
      <protection locked="0"/>
    </xf>
    <xf numFmtId="44" fontId="84" fillId="0" borderId="3" xfId="1" applyNumberFormat="1" applyFont="1" applyFill="1" applyBorder="1" applyAlignment="1" applyProtection="1">
      <alignment horizontal="right"/>
    </xf>
    <xf numFmtId="0" fontId="85" fillId="0" borderId="0" xfId="0" applyFont="1" applyAlignment="1">
      <alignment horizontal="center" vertical="center"/>
    </xf>
    <xf numFmtId="0" fontId="16" fillId="0" borderId="66" xfId="0" applyFont="1" applyBorder="1" applyAlignment="1">
      <alignment vertical="center"/>
    </xf>
    <xf numFmtId="0" fontId="85" fillId="0" borderId="0" xfId="0" applyFont="1" applyAlignment="1">
      <alignment vertical="center"/>
    </xf>
    <xf numFmtId="1" fontId="16" fillId="4" borderId="29" xfId="7" applyNumberFormat="1" applyFont="1" applyFill="1" applyBorder="1" applyAlignment="1">
      <alignment horizontal="center" vertical="center" wrapText="1"/>
    </xf>
    <xf numFmtId="1" fontId="13" fillId="0" borderId="0" xfId="0" applyNumberFormat="1" applyFont="1"/>
    <xf numFmtId="167" fontId="13" fillId="0" borderId="0" xfId="0" applyNumberFormat="1" applyFont="1" applyAlignment="1">
      <alignment horizontal="right"/>
    </xf>
    <xf numFmtId="0" fontId="16" fillId="4" borderId="54" xfId="0" applyFont="1" applyFill="1" applyBorder="1" applyAlignment="1">
      <alignment horizontal="center" vertical="center" wrapText="1"/>
    </xf>
    <xf numFmtId="1" fontId="16" fillId="4" borderId="61" xfId="0" applyNumberFormat="1" applyFont="1" applyFill="1" applyBorder="1" applyAlignment="1">
      <alignment horizontal="center" vertical="center"/>
    </xf>
    <xf numFmtId="1" fontId="16" fillId="2" borderId="61" xfId="0" applyNumberFormat="1" applyFont="1" applyFill="1" applyBorder="1" applyAlignment="1">
      <alignment horizontal="center" vertical="center"/>
    </xf>
    <xf numFmtId="0" fontId="16" fillId="0" borderId="0" xfId="0" applyFont="1" applyAlignment="1">
      <alignment horizontal="left" vertical="center"/>
    </xf>
    <xf numFmtId="0" fontId="13" fillId="0" borderId="0" xfId="0" applyFont="1" applyAlignment="1">
      <alignment horizontal="left" vertical="center" wrapText="1"/>
    </xf>
    <xf numFmtId="0" fontId="0" fillId="0" borderId="0" xfId="0" applyAlignment="1">
      <alignment horizontal="left" vertical="center" wrapText="1"/>
    </xf>
    <xf numFmtId="1" fontId="8" fillId="4" borderId="8" xfId="0" applyNumberFormat="1" applyFont="1" applyFill="1" applyBorder="1" applyAlignment="1">
      <alignment horizontal="center" vertical="center"/>
    </xf>
    <xf numFmtId="1" fontId="8" fillId="4" borderId="6" xfId="0" applyNumberFormat="1" applyFont="1" applyFill="1" applyBorder="1" applyAlignment="1">
      <alignment horizontal="center" vertical="center"/>
    </xf>
    <xf numFmtId="1" fontId="8" fillId="2" borderId="6" xfId="0" applyNumberFormat="1" applyFont="1" applyFill="1" applyBorder="1" applyAlignment="1">
      <alignment horizontal="center" vertical="center"/>
    </xf>
    <xf numFmtId="1" fontId="8" fillId="43" borderId="6" xfId="0" applyNumberFormat="1" applyFont="1" applyFill="1" applyBorder="1" applyAlignment="1">
      <alignment horizontal="center" vertical="center"/>
    </xf>
    <xf numFmtId="1" fontId="8" fillId="42" borderId="6" xfId="0" applyNumberFormat="1" applyFont="1" applyFill="1" applyBorder="1" applyAlignment="1">
      <alignment horizontal="center" vertical="center"/>
    </xf>
    <xf numFmtId="1" fontId="8" fillId="4" borderId="67" xfId="0" applyNumberFormat="1" applyFont="1" applyFill="1" applyBorder="1" applyAlignment="1">
      <alignment horizontal="center" vertical="center"/>
    </xf>
    <xf numFmtId="1" fontId="8" fillId="4" borderId="15" xfId="0" applyNumberFormat="1" applyFont="1" applyFill="1" applyBorder="1" applyAlignment="1">
      <alignment horizontal="center" vertical="center"/>
    </xf>
    <xf numFmtId="1" fontId="8" fillId="2" borderId="15" xfId="0" applyNumberFormat="1" applyFont="1" applyFill="1" applyBorder="1" applyAlignment="1">
      <alignment horizontal="center" vertical="center"/>
    </xf>
    <xf numFmtId="1" fontId="16" fillId="2" borderId="28" xfId="7" applyNumberFormat="1" applyFont="1" applyFill="1" applyBorder="1" applyAlignment="1">
      <alignment vertical="center" wrapText="1"/>
    </xf>
    <xf numFmtId="1" fontId="16" fillId="2" borderId="29" xfId="7" applyNumberFormat="1" applyFont="1" applyFill="1" applyBorder="1" applyAlignment="1">
      <alignment vertical="center" wrapText="1"/>
    </xf>
    <xf numFmtId="1" fontId="16" fillId="2" borderId="30" xfId="7" applyNumberFormat="1" applyFont="1" applyFill="1" applyBorder="1" applyAlignment="1">
      <alignment vertical="center" wrapText="1"/>
    </xf>
    <xf numFmtId="1" fontId="16" fillId="4" borderId="28" xfId="7" applyNumberFormat="1" applyFont="1" applyFill="1" applyBorder="1" applyAlignment="1">
      <alignment vertical="center" wrapText="1"/>
    </xf>
    <xf numFmtId="1" fontId="16" fillId="4" borderId="30" xfId="7" applyNumberFormat="1" applyFont="1" applyFill="1" applyBorder="1" applyAlignment="1">
      <alignment vertical="center" wrapText="1"/>
    </xf>
    <xf numFmtId="0" fontId="60" fillId="0" borderId="6" xfId="0" applyFont="1" applyBorder="1" applyAlignment="1" applyProtection="1">
      <alignment horizontal="center" vertical="center"/>
      <protection locked="0"/>
    </xf>
    <xf numFmtId="43" fontId="8" fillId="0" borderId="0" xfId="0" applyNumberFormat="1" applyFont="1"/>
    <xf numFmtId="167" fontId="8" fillId="0" borderId="0" xfId="0" applyNumberFormat="1" applyFont="1"/>
    <xf numFmtId="14" fontId="87" fillId="0" borderId="12" xfId="0" applyNumberFormat="1" applyFont="1" applyBorder="1" applyAlignment="1">
      <alignment horizontal="center"/>
    </xf>
    <xf numFmtId="1" fontId="87" fillId="0" borderId="3" xfId="0" applyNumberFormat="1" applyFont="1" applyBorder="1" applyAlignment="1" applyProtection="1">
      <alignment horizontal="center"/>
      <protection locked="0"/>
    </xf>
    <xf numFmtId="49" fontId="87" fillId="0" borderId="48" xfId="0" applyNumberFormat="1" applyFont="1" applyBorder="1" applyProtection="1">
      <protection locked="0"/>
    </xf>
    <xf numFmtId="44" fontId="87" fillId="0" borderId="3" xfId="1" applyNumberFormat="1" applyFont="1" applyFill="1" applyBorder="1" applyAlignment="1" applyProtection="1">
      <protection locked="0"/>
    </xf>
    <xf numFmtId="14" fontId="88" fillId="0" borderId="6" xfId="0" applyNumberFormat="1" applyFont="1" applyBorder="1" applyAlignment="1" applyProtection="1">
      <alignment horizontal="center" vertical="center"/>
      <protection locked="0"/>
    </xf>
    <xf numFmtId="1" fontId="88" fillId="0" borderId="6" xfId="0" applyNumberFormat="1" applyFont="1" applyBorder="1" applyAlignment="1" applyProtection="1">
      <alignment horizontal="center" vertical="center"/>
      <protection locked="0"/>
    </xf>
    <xf numFmtId="49" fontId="88" fillId="0" borderId="6" xfId="0" applyNumberFormat="1" applyFont="1" applyBorder="1" applyAlignment="1" applyProtection="1">
      <alignment horizontal="center" vertical="center"/>
      <protection locked="0"/>
    </xf>
    <xf numFmtId="14" fontId="88" fillId="0" borderId="6" xfId="0" applyNumberFormat="1" applyFont="1" applyBorder="1" applyAlignment="1" applyProtection="1">
      <alignment horizontal="center" vertical="center" wrapText="1"/>
      <protection locked="0"/>
    </xf>
    <xf numFmtId="4" fontId="2" fillId="0" borderId="0" xfId="2" applyNumberFormat="1" applyFont="1" applyFill="1" applyBorder="1" applyAlignment="1"/>
    <xf numFmtId="4" fontId="10" fillId="4" borderId="6" xfId="0" applyNumberFormat="1" applyFont="1" applyFill="1" applyBorder="1" applyAlignment="1">
      <alignment horizontal="center" vertical="center" wrapText="1"/>
    </xf>
    <xf numFmtId="4" fontId="53" fillId="0" borderId="6" xfId="1" applyNumberFormat="1" applyFont="1" applyFill="1" applyBorder="1" applyAlignment="1" applyProtection="1">
      <alignment vertical="center"/>
      <protection locked="0"/>
    </xf>
    <xf numFmtId="4" fontId="53" fillId="0" borderId="6" xfId="1" applyNumberFormat="1" applyFont="1" applyFill="1" applyBorder="1" applyAlignment="1" applyProtection="1">
      <alignment horizontal="right" vertical="center"/>
      <protection locked="0"/>
    </xf>
    <xf numFmtId="4" fontId="2" fillId="0" borderId="6" xfId="1" applyNumberFormat="1" applyFont="1" applyFill="1" applyBorder="1" applyAlignment="1" applyProtection="1">
      <alignment vertical="center"/>
    </xf>
    <xf numFmtId="4" fontId="81" fillId="0" borderId="6" xfId="1" applyNumberFormat="1" applyFont="1" applyFill="1" applyBorder="1" applyAlignment="1" applyProtection="1">
      <alignment vertical="center"/>
      <protection locked="0"/>
    </xf>
    <xf numFmtId="4" fontId="75" fillId="0" borderId="6" xfId="1" applyNumberFormat="1" applyFont="1" applyFill="1" applyBorder="1" applyAlignment="1" applyProtection="1">
      <alignment vertical="center"/>
      <protection locked="0"/>
    </xf>
    <xf numFmtId="4" fontId="59" fillId="0" borderId="6" xfId="1" applyNumberFormat="1" applyFont="1" applyFill="1" applyBorder="1" applyAlignment="1" applyProtection="1">
      <alignment vertical="center"/>
    </xf>
    <xf numFmtId="4" fontId="2" fillId="0" borderId="6" xfId="1" applyNumberFormat="1" applyFont="1" applyFill="1" applyBorder="1" applyAlignment="1" applyProtection="1">
      <alignment vertical="center"/>
      <protection locked="0"/>
    </xf>
    <xf numFmtId="4" fontId="72" fillId="0" borderId="6" xfId="1" applyNumberFormat="1" applyFont="1" applyFill="1" applyBorder="1" applyAlignment="1" applyProtection="1">
      <alignment vertical="center"/>
      <protection locked="0"/>
    </xf>
    <xf numFmtId="4" fontId="63" fillId="0" borderId="6" xfId="1" applyNumberFormat="1" applyFont="1" applyFill="1" applyBorder="1" applyAlignment="1" applyProtection="1">
      <alignment vertical="center"/>
      <protection locked="0"/>
    </xf>
    <xf numFmtId="4" fontId="81" fillId="0" borderId="6" xfId="1" applyNumberFormat="1" applyFont="1" applyFill="1" applyBorder="1" applyAlignment="1" applyProtection="1">
      <alignment horizontal="right" vertical="center"/>
      <protection locked="0"/>
    </xf>
    <xf numFmtId="4" fontId="53" fillId="0" borderId="6" xfId="1" applyNumberFormat="1" applyFont="1" applyFill="1" applyBorder="1" applyAlignment="1" applyProtection="1">
      <alignment horizontal="right" vertical="center"/>
    </xf>
    <xf numFmtId="4" fontId="78" fillId="0" borderId="6" xfId="1" applyNumberFormat="1" applyFont="1" applyFill="1" applyBorder="1" applyAlignment="1" applyProtection="1">
      <alignment vertical="center"/>
      <protection locked="0"/>
    </xf>
    <xf numFmtId="4" fontId="67" fillId="0" borderId="6" xfId="1" applyNumberFormat="1" applyFont="1" applyFill="1" applyBorder="1" applyAlignment="1" applyProtection="1">
      <alignment vertical="center"/>
      <protection locked="0"/>
    </xf>
    <xf numFmtId="4" fontId="53" fillId="0" borderId="6" xfId="1" applyNumberFormat="1" applyFont="1" applyFill="1" applyBorder="1" applyAlignment="1" applyProtection="1">
      <alignment vertical="center"/>
    </xf>
    <xf numFmtId="4" fontId="88" fillId="0" borderId="6" xfId="1" applyNumberFormat="1" applyFont="1" applyFill="1" applyBorder="1" applyAlignment="1" applyProtection="1">
      <alignment vertical="center"/>
    </xf>
    <xf numFmtId="4" fontId="88" fillId="0" borderId="6" xfId="1" applyNumberFormat="1" applyFont="1" applyFill="1" applyBorder="1" applyAlignment="1" applyProtection="1">
      <alignment vertical="center"/>
      <protection locked="0"/>
    </xf>
    <xf numFmtId="43" fontId="2" fillId="0" borderId="0" xfId="2" applyNumberFormat="1" applyFont="1" applyFill="1" applyBorder="1" applyAlignment="1">
      <alignment horizontal="right"/>
    </xf>
    <xf numFmtId="43" fontId="10" fillId="4" borderId="6" xfId="2" applyNumberFormat="1" applyFont="1" applyFill="1" applyBorder="1" applyAlignment="1">
      <alignment horizontal="center" vertical="center" wrapText="1"/>
    </xf>
    <xf numFmtId="43" fontId="42" fillId="0" borderId="6" xfId="1" applyFont="1" applyFill="1" applyBorder="1" applyAlignment="1" applyProtection="1">
      <alignment horizontal="right" vertical="center"/>
      <protection locked="0"/>
    </xf>
    <xf numFmtId="43" fontId="8" fillId="4" borderId="6" xfId="2" applyNumberFormat="1" applyFont="1" applyFill="1" applyBorder="1" applyAlignment="1" applyProtection="1">
      <alignment horizontal="right" vertical="center"/>
    </xf>
    <xf numFmtId="43" fontId="8" fillId="4" borderId="6" xfId="1" applyFont="1" applyFill="1" applyBorder="1" applyAlignment="1" applyProtection="1">
      <alignment horizontal="right" vertical="center"/>
    </xf>
    <xf numFmtId="43" fontId="53" fillId="0" borderId="6" xfId="1" applyFont="1" applyFill="1" applyBorder="1" applyAlignment="1" applyProtection="1">
      <alignment horizontal="right" vertical="center"/>
      <protection locked="0"/>
    </xf>
    <xf numFmtId="43" fontId="2" fillId="0" borderId="6" xfId="1" applyFont="1" applyFill="1" applyBorder="1" applyAlignment="1" applyProtection="1">
      <alignment horizontal="right" vertical="center"/>
      <protection locked="0"/>
    </xf>
    <xf numFmtId="43" fontId="81" fillId="0" borderId="6" xfId="1" applyFont="1" applyFill="1" applyBorder="1" applyAlignment="1" applyProtection="1">
      <alignment horizontal="right" vertical="center"/>
      <protection locked="0"/>
    </xf>
    <xf numFmtId="43" fontId="59" fillId="0" borderId="6" xfId="1" applyFont="1" applyFill="1" applyBorder="1" applyAlignment="1" applyProtection="1">
      <alignment horizontal="right" vertical="center"/>
      <protection locked="0"/>
    </xf>
    <xf numFmtId="43" fontId="75" fillId="0" borderId="6" xfId="1" applyFont="1" applyFill="1" applyBorder="1" applyAlignment="1" applyProtection="1">
      <alignment horizontal="right" vertical="center"/>
      <protection locked="0"/>
    </xf>
    <xf numFmtId="43" fontId="72" fillId="0" borderId="6" xfId="1" applyFont="1" applyFill="1" applyBorder="1" applyAlignment="1" applyProtection="1">
      <alignment horizontal="right" vertical="center"/>
      <protection locked="0"/>
    </xf>
    <xf numFmtId="43" fontId="78" fillId="0" borderId="6" xfId="1" applyFont="1" applyFill="1" applyBorder="1" applyAlignment="1" applyProtection="1">
      <alignment horizontal="right" vertical="center"/>
      <protection locked="0"/>
    </xf>
    <xf numFmtId="43" fontId="67" fillId="0" borderId="6" xfId="1" applyFont="1" applyFill="1" applyBorder="1" applyAlignment="1" applyProtection="1">
      <alignment horizontal="right" vertical="center"/>
      <protection locked="0"/>
    </xf>
    <xf numFmtId="43" fontId="88" fillId="0" borderId="6" xfId="1" applyFont="1" applyFill="1" applyBorder="1" applyAlignment="1" applyProtection="1">
      <alignment horizontal="right" vertical="center"/>
      <protection locked="0"/>
    </xf>
    <xf numFmtId="14" fontId="90" fillId="0" borderId="6" xfId="0" applyNumberFormat="1" applyFont="1" applyBorder="1" applyAlignment="1" applyProtection="1">
      <alignment horizontal="center" vertical="center"/>
      <protection locked="0"/>
    </xf>
    <xf numFmtId="1" fontId="90" fillId="0" borderId="6" xfId="0" applyNumberFormat="1" applyFont="1" applyBorder="1" applyAlignment="1" applyProtection="1">
      <alignment horizontal="center" vertical="center"/>
      <protection locked="0"/>
    </xf>
    <xf numFmtId="0" fontId="90" fillId="0" borderId="6" xfId="0" applyFont="1" applyBorder="1" applyAlignment="1" applyProtection="1">
      <alignment horizontal="center" vertical="center"/>
      <protection locked="0"/>
    </xf>
    <xf numFmtId="14" fontId="90" fillId="0" borderId="6" xfId="0" applyNumberFormat="1" applyFont="1" applyBorder="1" applyAlignment="1" applyProtection="1">
      <alignment horizontal="center" vertical="center" wrapText="1"/>
      <protection locked="0"/>
    </xf>
    <xf numFmtId="43" fontId="90" fillId="0" borderId="6" xfId="1" applyFont="1" applyFill="1" applyBorder="1" applyAlignment="1" applyProtection="1">
      <alignment horizontal="right" vertical="center"/>
      <protection locked="0"/>
    </xf>
    <xf numFmtId="4" fontId="90" fillId="0" borderId="6" xfId="1" applyNumberFormat="1" applyFont="1" applyFill="1" applyBorder="1" applyAlignment="1" applyProtection="1">
      <alignment vertical="center"/>
      <protection locked="0"/>
    </xf>
    <xf numFmtId="14" fontId="92" fillId="0" borderId="12" xfId="0" applyNumberFormat="1" applyFont="1" applyBorder="1" applyAlignment="1">
      <alignment horizontal="center"/>
    </xf>
    <xf numFmtId="1" fontId="92" fillId="0" borderId="3" xfId="0" applyNumberFormat="1" applyFont="1" applyBorder="1" applyAlignment="1" applyProtection="1">
      <alignment horizontal="center"/>
      <protection locked="0"/>
    </xf>
    <xf numFmtId="44" fontId="92" fillId="0" borderId="3" xfId="1" applyNumberFormat="1" applyFont="1" applyFill="1" applyBorder="1" applyAlignment="1" applyProtection="1">
      <protection locked="0"/>
    </xf>
    <xf numFmtId="44" fontId="93" fillId="0" borderId="3" xfId="1" applyNumberFormat="1" applyFont="1" applyFill="1" applyBorder="1" applyProtection="1">
      <protection locked="0"/>
    </xf>
    <xf numFmtId="4" fontId="81" fillId="0" borderId="6" xfId="1" applyNumberFormat="1" applyFont="1" applyFill="1" applyBorder="1" applyAlignment="1" applyProtection="1">
      <alignment vertical="center"/>
    </xf>
    <xf numFmtId="1" fontId="42" fillId="0" borderId="15" xfId="0" applyNumberFormat="1" applyFont="1" applyBorder="1" applyAlignment="1" applyProtection="1">
      <alignment horizontal="center" vertical="center"/>
      <protection locked="0"/>
    </xf>
    <xf numFmtId="49" fontId="2" fillId="0" borderId="61" xfId="0" applyNumberFormat="1" applyFont="1" applyBorder="1" applyAlignment="1" applyProtection="1">
      <alignment horizontal="center" vertical="center"/>
      <protection locked="0"/>
    </xf>
    <xf numFmtId="0" fontId="42" fillId="0" borderId="15" xfId="0" applyFont="1" applyBorder="1" applyAlignment="1">
      <alignment horizontal="center" vertical="center" wrapText="1"/>
    </xf>
    <xf numFmtId="14" fontId="42" fillId="0" borderId="15"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14" fontId="42" fillId="0" borderId="15" xfId="0" applyNumberFormat="1" applyFont="1" applyBorder="1" applyAlignment="1" applyProtection="1">
      <alignment horizontal="center" vertical="center" wrapText="1"/>
      <protection locked="0"/>
    </xf>
    <xf numFmtId="43" fontId="42" fillId="0" borderId="15" xfId="1" applyFont="1" applyFill="1" applyBorder="1" applyAlignment="1" applyProtection="1">
      <alignment horizontal="right" vertical="center"/>
      <protection locked="0"/>
    </xf>
    <xf numFmtId="4" fontId="0" fillId="0" borderId="6" xfId="0" applyNumberFormat="1" applyBorder="1"/>
    <xf numFmtId="44" fontId="44" fillId="4" borderId="3" xfId="1" applyNumberFormat="1" applyFont="1" applyFill="1" applyBorder="1" applyAlignment="1" applyProtection="1"/>
    <xf numFmtId="0" fontId="91" fillId="0" borderId="6" xfId="0" applyFont="1" applyBorder="1" applyAlignment="1" applyProtection="1">
      <alignment horizontal="center" vertical="center"/>
      <protection locked="0"/>
    </xf>
    <xf numFmtId="0" fontId="2" fillId="6" borderId="6" xfId="0" applyFont="1" applyFill="1" applyBorder="1" applyAlignment="1" applyProtection="1">
      <alignment horizontal="center" vertical="center"/>
      <protection locked="0"/>
    </xf>
    <xf numFmtId="49" fontId="90" fillId="0" borderId="6" xfId="0" applyNumberFormat="1" applyFont="1" applyBorder="1" applyAlignment="1" applyProtection="1">
      <alignment horizontal="center" vertical="center"/>
      <protection locked="0"/>
    </xf>
    <xf numFmtId="0" fontId="42" fillId="6" borderId="6" xfId="0" applyFont="1" applyFill="1" applyBorder="1" applyAlignment="1" applyProtection="1">
      <alignment horizontal="center" vertical="center"/>
      <protection locked="0"/>
    </xf>
    <xf numFmtId="14" fontId="94" fillId="0" borderId="6" xfId="0" applyNumberFormat="1" applyFont="1" applyBorder="1" applyAlignment="1" applyProtection="1">
      <alignment horizontal="center" vertical="center"/>
      <protection locked="0"/>
    </xf>
    <xf numFmtId="1" fontId="94" fillId="0" borderId="6" xfId="0" applyNumberFormat="1" applyFont="1" applyBorder="1" applyAlignment="1" applyProtection="1">
      <alignment horizontal="center" vertical="center"/>
      <protection locked="0"/>
    </xf>
    <xf numFmtId="49" fontId="94" fillId="0" borderId="6" xfId="0" applyNumberFormat="1" applyFont="1" applyBorder="1" applyAlignment="1" applyProtection="1">
      <alignment horizontal="center" vertical="center"/>
      <protection locked="0"/>
    </xf>
    <xf numFmtId="14" fontId="94" fillId="0" borderId="6" xfId="0" applyNumberFormat="1" applyFont="1" applyBorder="1" applyAlignment="1" applyProtection="1">
      <alignment horizontal="center" vertical="center" wrapText="1"/>
      <protection locked="0"/>
    </xf>
    <xf numFmtId="43" fontId="94" fillId="0" borderId="6" xfId="1" applyFont="1" applyFill="1" applyBorder="1" applyAlignment="1" applyProtection="1">
      <alignment horizontal="right" vertical="center"/>
      <protection locked="0"/>
    </xf>
    <xf numFmtId="4" fontId="94" fillId="0" borderId="6" xfId="1" applyNumberFormat="1" applyFont="1" applyFill="1" applyBorder="1" applyAlignment="1" applyProtection="1">
      <alignment vertical="center"/>
      <protection locked="0"/>
    </xf>
    <xf numFmtId="0" fontId="95" fillId="0" borderId="6" xfId="0" applyFont="1" applyBorder="1" applyAlignment="1" applyProtection="1">
      <alignment horizontal="center" vertical="center"/>
      <protection locked="0"/>
    </xf>
    <xf numFmtId="44" fontId="45" fillId="0" borderId="3" xfId="2" applyFont="1" applyFill="1" applyBorder="1" applyProtection="1">
      <protection locked="0"/>
    </xf>
    <xf numFmtId="14" fontId="2" fillId="0" borderId="61" xfId="0" applyNumberFormat="1" applyFont="1" applyBorder="1" applyAlignment="1" applyProtection="1">
      <alignment horizontal="center" vertical="center"/>
      <protection locked="0"/>
    </xf>
    <xf numFmtId="14" fontId="2" fillId="0" borderId="15" xfId="0" applyNumberFormat="1" applyFont="1" applyBorder="1" applyAlignment="1" applyProtection="1">
      <alignment horizontal="center" vertical="center"/>
      <protection locked="0"/>
    </xf>
    <xf numFmtId="14" fontId="2" fillId="0" borderId="61" xfId="0" applyNumberFormat="1" applyFont="1" applyBorder="1" applyAlignment="1" applyProtection="1">
      <alignment horizontal="center" vertical="center" wrapText="1"/>
      <protection locked="0"/>
    </xf>
    <xf numFmtId="43" fontId="2" fillId="0" borderId="61" xfId="1" applyFont="1" applyFill="1" applyBorder="1" applyAlignment="1" applyProtection="1">
      <alignment horizontal="right" vertical="center"/>
      <protection locked="0"/>
    </xf>
    <xf numFmtId="43" fontId="2" fillId="0" borderId="15" xfId="1" applyFont="1" applyFill="1" applyBorder="1" applyAlignment="1" applyProtection="1">
      <alignment horizontal="right" vertical="center"/>
      <protection locked="0"/>
    </xf>
    <xf numFmtId="4" fontId="53" fillId="0" borderId="61" xfId="1" applyNumberFormat="1" applyFont="1" applyFill="1" applyBorder="1" applyAlignment="1" applyProtection="1">
      <alignment horizontal="right" vertical="center"/>
    </xf>
    <xf numFmtId="0" fontId="42" fillId="0" borderId="61" xfId="0" applyFont="1" applyBorder="1" applyAlignment="1">
      <alignment horizontal="center" vertical="center" wrapText="1"/>
    </xf>
    <xf numFmtId="0" fontId="22" fillId="0" borderId="64" xfId="0" applyFont="1" applyBorder="1" applyAlignment="1" applyProtection="1">
      <alignment horizontal="center" vertical="center"/>
      <protection locked="0"/>
    </xf>
    <xf numFmtId="0" fontId="76" fillId="0" borderId="6" xfId="0" applyFont="1" applyBorder="1" applyAlignment="1" applyProtection="1">
      <alignment horizontal="center" vertical="center"/>
      <protection locked="0"/>
    </xf>
    <xf numFmtId="0" fontId="89" fillId="0" borderId="6" xfId="0" applyFont="1" applyBorder="1" applyAlignment="1" applyProtection="1">
      <alignment horizontal="center" vertical="center"/>
      <protection locked="0"/>
    </xf>
    <xf numFmtId="0" fontId="73" fillId="0" borderId="6" xfId="0" applyFont="1" applyBorder="1" applyAlignment="1" applyProtection="1">
      <alignment horizontal="center" vertical="center"/>
      <protection locked="0"/>
    </xf>
    <xf numFmtId="0" fontId="22" fillId="0" borderId="63" xfId="0" applyFont="1" applyBorder="1" applyAlignment="1" applyProtection="1">
      <alignment horizontal="center" vertical="center"/>
      <protection locked="0"/>
    </xf>
    <xf numFmtId="44" fontId="96" fillId="0" borderId="3" xfId="1" applyNumberFormat="1" applyFont="1" applyFill="1" applyBorder="1" applyProtection="1">
      <protection locked="0"/>
    </xf>
    <xf numFmtId="43" fontId="33" fillId="0" borderId="0" xfId="0" applyNumberFormat="1" applyFont="1"/>
    <xf numFmtId="49" fontId="2" fillId="6" borderId="6" xfId="0" applyNumberFormat="1" applyFont="1" applyFill="1" applyBorder="1" applyAlignment="1" applyProtection="1">
      <alignment horizontal="center" vertical="center"/>
      <protection locked="0"/>
    </xf>
    <xf numFmtId="49" fontId="67" fillId="6" borderId="6" xfId="0" applyNumberFormat="1" applyFont="1" applyFill="1" applyBorder="1" applyAlignment="1" applyProtection="1">
      <alignment horizontal="center" vertical="center"/>
      <protection locked="0"/>
    </xf>
    <xf numFmtId="14" fontId="97" fillId="0" borderId="6" xfId="0" applyNumberFormat="1" applyFont="1" applyBorder="1" applyAlignment="1" applyProtection="1">
      <alignment horizontal="center" vertical="center"/>
      <protection locked="0"/>
    </xf>
    <xf numFmtId="1" fontId="97" fillId="0" borderId="6" xfId="0" applyNumberFormat="1" applyFont="1" applyBorder="1" applyAlignment="1" applyProtection="1">
      <alignment horizontal="center" vertical="center"/>
      <protection locked="0"/>
    </xf>
    <xf numFmtId="14" fontId="97" fillId="0" borderId="6" xfId="0" applyNumberFormat="1" applyFont="1" applyBorder="1" applyAlignment="1" applyProtection="1">
      <alignment horizontal="center" vertical="center" wrapText="1"/>
      <protection locked="0"/>
    </xf>
    <xf numFmtId="43" fontId="97" fillId="0" borderId="6" xfId="1" applyFont="1" applyFill="1" applyBorder="1" applyAlignment="1" applyProtection="1">
      <alignment horizontal="right" vertical="center"/>
      <protection locked="0"/>
    </xf>
    <xf numFmtId="0" fontId="98" fillId="0" borderId="6" xfId="0" applyFont="1" applyBorder="1" applyAlignment="1" applyProtection="1">
      <alignment horizontal="center" vertical="center"/>
      <protection locked="0"/>
    </xf>
    <xf numFmtId="1" fontId="42" fillId="6" borderId="6" xfId="0" applyNumberFormat="1" applyFont="1" applyFill="1" applyBorder="1" applyAlignment="1" applyProtection="1">
      <alignment horizontal="center" vertical="center"/>
      <protection locked="0"/>
    </xf>
    <xf numFmtId="1" fontId="67" fillId="6" borderId="6" xfId="0" applyNumberFormat="1" applyFont="1" applyFill="1" applyBorder="1" applyAlignment="1" applyProtection="1">
      <alignment horizontal="center" vertical="center"/>
      <protection locked="0"/>
    </xf>
    <xf numFmtId="14" fontId="99" fillId="0" borderId="6" xfId="0" applyNumberFormat="1" applyFont="1" applyBorder="1" applyAlignment="1" applyProtection="1">
      <alignment horizontal="center" vertical="center"/>
      <protection locked="0"/>
    </xf>
    <xf numFmtId="0" fontId="99" fillId="0" borderId="6" xfId="0" applyFont="1" applyBorder="1" applyAlignment="1" applyProtection="1">
      <alignment horizontal="center" vertical="center" wrapText="1"/>
      <protection locked="0"/>
    </xf>
    <xf numFmtId="1" fontId="99" fillId="0" borderId="6" xfId="0" applyNumberFormat="1" applyFont="1" applyBorder="1" applyAlignment="1" applyProtection="1">
      <alignment horizontal="center" vertical="center"/>
      <protection locked="0"/>
    </xf>
    <xf numFmtId="49" fontId="99" fillId="0" borderId="6" xfId="0" applyNumberFormat="1" applyFont="1" applyBorder="1" applyAlignment="1" applyProtection="1">
      <alignment horizontal="center" vertical="center"/>
      <protection locked="0"/>
    </xf>
    <xf numFmtId="14" fontId="99" fillId="0" borderId="6" xfId="0" applyNumberFormat="1" applyFont="1" applyBorder="1" applyAlignment="1" applyProtection="1">
      <alignment horizontal="center" vertical="center" wrapText="1"/>
      <protection locked="0"/>
    </xf>
    <xf numFmtId="43" fontId="99" fillId="0" borderId="6" xfId="1" applyFont="1" applyFill="1" applyBorder="1" applyAlignment="1" applyProtection="1">
      <alignment horizontal="right" vertical="center"/>
      <protection locked="0"/>
    </xf>
    <xf numFmtId="4" fontId="99" fillId="0" borderId="6" xfId="1" applyNumberFormat="1" applyFont="1" applyFill="1" applyBorder="1" applyAlignment="1" applyProtection="1">
      <alignment vertical="center"/>
      <protection locked="0"/>
    </xf>
    <xf numFmtId="0" fontId="101" fillId="0" borderId="6" xfId="0" applyFont="1" applyBorder="1" applyAlignment="1" applyProtection="1">
      <alignment horizontal="center" vertical="center"/>
      <protection locked="0"/>
    </xf>
    <xf numFmtId="44" fontId="102" fillId="0" borderId="3" xfId="1" applyNumberFormat="1" applyFont="1" applyFill="1" applyBorder="1" applyProtection="1">
      <protection locked="0"/>
    </xf>
    <xf numFmtId="44" fontId="0" fillId="0" borderId="33" xfId="24" applyNumberFormat="1" applyFont="1" applyBorder="1" applyAlignment="1">
      <alignment horizontal="center"/>
    </xf>
    <xf numFmtId="1" fontId="100" fillId="4" borderId="9" xfId="0" applyNumberFormat="1" applyFont="1" applyFill="1" applyBorder="1" applyAlignment="1">
      <alignment horizontal="center" vertical="center"/>
    </xf>
    <xf numFmtId="1" fontId="100" fillId="2" borderId="9" xfId="0" applyNumberFormat="1" applyFont="1" applyFill="1" applyBorder="1" applyAlignment="1">
      <alignment horizontal="center" vertical="center"/>
    </xf>
    <xf numFmtId="1" fontId="8" fillId="4" borderId="9" xfId="0" applyNumberFormat="1" applyFont="1" applyFill="1" applyBorder="1" applyAlignment="1">
      <alignment horizontal="center" vertical="center"/>
    </xf>
    <xf numFmtId="1" fontId="8" fillId="2" borderId="9" xfId="0" applyNumberFormat="1" applyFont="1" applyFill="1" applyBorder="1" applyAlignment="1">
      <alignment horizontal="center" vertical="center"/>
    </xf>
    <xf numFmtId="14" fontId="103" fillId="0" borderId="12" xfId="0" applyNumberFormat="1" applyFont="1" applyBorder="1" applyAlignment="1">
      <alignment horizontal="center"/>
    </xf>
    <xf numFmtId="44" fontId="103" fillId="0" borderId="3" xfId="1" applyNumberFormat="1" applyFont="1" applyFill="1" applyBorder="1" applyAlignment="1" applyProtection="1">
      <protection locked="0"/>
    </xf>
    <xf numFmtId="14" fontId="104" fillId="0" borderId="6" xfId="0" applyNumberFormat="1" applyFont="1" applyBorder="1" applyAlignment="1" applyProtection="1">
      <alignment horizontal="center" vertical="center"/>
      <protection locked="0"/>
    </xf>
    <xf numFmtId="1" fontId="104" fillId="0" borderId="6" xfId="0" applyNumberFormat="1" applyFont="1" applyBorder="1" applyAlignment="1" applyProtection="1">
      <alignment horizontal="center" vertical="center"/>
      <protection locked="0"/>
    </xf>
    <xf numFmtId="49" fontId="104" fillId="0" borderId="6" xfId="0" applyNumberFormat="1" applyFont="1" applyBorder="1" applyAlignment="1" applyProtection="1">
      <alignment horizontal="center" vertical="center"/>
      <protection locked="0"/>
    </xf>
    <xf numFmtId="14" fontId="104" fillId="0" borderId="6" xfId="0" applyNumberFormat="1" applyFont="1" applyBorder="1" applyAlignment="1" applyProtection="1">
      <alignment horizontal="center" vertical="center" wrapText="1"/>
      <protection locked="0"/>
    </xf>
    <xf numFmtId="43" fontId="104" fillId="0" borderId="6" xfId="1" applyFont="1" applyFill="1" applyBorder="1" applyAlignment="1" applyProtection="1">
      <alignment horizontal="right" vertical="center"/>
      <protection locked="0"/>
    </xf>
    <xf numFmtId="0" fontId="105" fillId="0" borderId="6" xfId="0" applyFont="1" applyBorder="1" applyAlignment="1" applyProtection="1">
      <alignment horizontal="center" vertical="center"/>
      <protection locked="0"/>
    </xf>
    <xf numFmtId="167" fontId="106" fillId="0" borderId="8" xfId="1" applyNumberFormat="1" applyFont="1" applyFill="1" applyBorder="1" applyAlignment="1">
      <alignment horizontal="center" vertical="center"/>
    </xf>
    <xf numFmtId="1" fontId="13" fillId="0" borderId="9" xfId="0" applyNumberFormat="1" applyFont="1" applyBorder="1" applyAlignment="1">
      <alignment horizontal="left" vertical="center" wrapText="1"/>
    </xf>
    <xf numFmtId="1" fontId="8" fillId="2" borderId="9" xfId="0" quotePrefix="1" applyNumberFormat="1" applyFont="1" applyFill="1" applyBorder="1" applyAlignment="1">
      <alignment horizontal="center" vertical="center"/>
    </xf>
    <xf numFmtId="14" fontId="107" fillId="0" borderId="6" xfId="0" applyNumberFormat="1" applyFont="1" applyBorder="1" applyAlignment="1" applyProtection="1">
      <alignment horizontal="center" vertical="center"/>
      <protection locked="0"/>
    </xf>
    <xf numFmtId="0" fontId="107" fillId="0" borderId="6" xfId="0" applyFont="1" applyBorder="1" applyAlignment="1" applyProtection="1">
      <alignment horizontal="center" vertical="center" wrapText="1"/>
      <protection locked="0"/>
    </xf>
    <xf numFmtId="1" fontId="107" fillId="0" borderId="6" xfId="0" applyNumberFormat="1" applyFont="1" applyBorder="1" applyAlignment="1" applyProtection="1">
      <alignment horizontal="center" vertical="center"/>
      <protection locked="0"/>
    </xf>
    <xf numFmtId="49" fontId="107" fillId="0" borderId="6" xfId="0" applyNumberFormat="1" applyFont="1" applyBorder="1" applyAlignment="1" applyProtection="1">
      <alignment horizontal="center" vertical="center"/>
      <protection locked="0"/>
    </xf>
    <xf numFmtId="14" fontId="107" fillId="0" borderId="6" xfId="0" applyNumberFormat="1" applyFont="1" applyBorder="1" applyAlignment="1" applyProtection="1">
      <alignment horizontal="center" vertical="center" wrapText="1"/>
      <protection locked="0"/>
    </xf>
    <xf numFmtId="43" fontId="107" fillId="0" borderId="6" xfId="1" applyFont="1" applyFill="1" applyBorder="1" applyAlignment="1" applyProtection="1">
      <alignment horizontal="right" vertical="center"/>
      <protection locked="0"/>
    </xf>
    <xf numFmtId="4" fontId="107" fillId="0" borderId="6" xfId="1" applyNumberFormat="1" applyFont="1" applyFill="1" applyBorder="1" applyAlignment="1" applyProtection="1">
      <alignment vertical="center"/>
      <protection locked="0"/>
    </xf>
    <xf numFmtId="0" fontId="107" fillId="0" borderId="6" xfId="0" applyFont="1" applyBorder="1" applyAlignment="1">
      <alignment horizontal="center" vertical="center" wrapText="1"/>
    </xf>
    <xf numFmtId="0" fontId="109" fillId="0" borderId="6" xfId="0" applyFont="1" applyBorder="1" applyAlignment="1" applyProtection="1">
      <alignment horizontal="center" vertical="center"/>
      <protection locked="0"/>
    </xf>
    <xf numFmtId="44" fontId="110" fillId="0" borderId="3" xfId="1" applyNumberFormat="1" applyFont="1" applyFill="1" applyBorder="1" applyProtection="1">
      <protection locked="0"/>
    </xf>
    <xf numFmtId="44" fontId="110" fillId="0" borderId="3" xfId="1" applyNumberFormat="1" applyFont="1" applyFill="1" applyBorder="1" applyAlignment="1" applyProtection="1">
      <alignment horizontal="right"/>
    </xf>
    <xf numFmtId="14" fontId="111" fillId="0" borderId="12" xfId="0" applyNumberFormat="1" applyFont="1" applyBorder="1" applyAlignment="1">
      <alignment horizontal="center"/>
    </xf>
    <xf numFmtId="1" fontId="111" fillId="0" borderId="3" xfId="0" applyNumberFormat="1" applyFont="1" applyBorder="1" applyAlignment="1" applyProtection="1">
      <alignment horizontal="center"/>
      <protection locked="0"/>
    </xf>
    <xf numFmtId="44" fontId="111" fillId="0" borderId="3" xfId="1" applyNumberFormat="1" applyFont="1" applyFill="1" applyBorder="1" applyAlignment="1" applyProtection="1">
      <protection locked="0"/>
    </xf>
    <xf numFmtId="49" fontId="13" fillId="0" borderId="48" xfId="0" applyNumberFormat="1" applyFont="1" applyBorder="1" applyAlignment="1" applyProtection="1">
      <alignment horizontal="left"/>
      <protection locked="0"/>
    </xf>
    <xf numFmtId="0" fontId="0" fillId="0" borderId="3" xfId="0" applyBorder="1" applyProtection="1">
      <protection locked="0"/>
    </xf>
    <xf numFmtId="0" fontId="0" fillId="0" borderId="3" xfId="0" applyBorder="1" applyAlignment="1" applyProtection="1">
      <alignment horizontal="left"/>
      <protection locked="0"/>
    </xf>
    <xf numFmtId="1" fontId="108" fillId="4" borderId="9" xfId="0" applyNumberFormat="1" applyFont="1" applyFill="1" applyBorder="1" applyAlignment="1">
      <alignment horizontal="center" vertical="center"/>
    </xf>
    <xf numFmtId="1" fontId="108" fillId="2" borderId="9" xfId="0" quotePrefix="1" applyNumberFormat="1" applyFont="1" applyFill="1" applyBorder="1" applyAlignment="1">
      <alignment horizontal="center" vertical="center"/>
    </xf>
    <xf numFmtId="167" fontId="112" fillId="0" borderId="8" xfId="1" applyNumberFormat="1" applyFont="1" applyFill="1" applyBorder="1" applyAlignment="1">
      <alignment horizontal="center" vertical="center"/>
    </xf>
    <xf numFmtId="44" fontId="13" fillId="4" borderId="3" xfId="1" applyNumberFormat="1" applyFont="1" applyFill="1" applyBorder="1" applyAlignment="1" applyProtection="1"/>
    <xf numFmtId="1" fontId="111" fillId="4" borderId="3" xfId="0" applyNumberFormat="1" applyFont="1" applyFill="1" applyBorder="1" applyAlignment="1">
      <alignment horizontal="center"/>
    </xf>
    <xf numFmtId="1" fontId="111" fillId="4" borderId="12" xfId="0" applyNumberFormat="1" applyFont="1" applyFill="1" applyBorder="1" applyAlignment="1">
      <alignment horizontal="center"/>
    </xf>
    <xf numFmtId="1" fontId="13" fillId="4" borderId="3" xfId="0" applyNumberFormat="1" applyFont="1" applyFill="1" applyBorder="1" applyAlignment="1">
      <alignment horizontal="center"/>
    </xf>
    <xf numFmtId="1" fontId="44" fillId="4" borderId="3" xfId="0" applyNumberFormat="1" applyFont="1" applyFill="1" applyBorder="1" applyAlignment="1">
      <alignment horizontal="center"/>
    </xf>
    <xf numFmtId="44" fontId="111" fillId="0" borderId="3" xfId="1" applyNumberFormat="1" applyFont="1" applyFill="1" applyBorder="1" applyAlignment="1" applyProtection="1"/>
    <xf numFmtId="0" fontId="109" fillId="0" borderId="7" xfId="0" applyFont="1" applyBorder="1" applyAlignment="1" applyProtection="1">
      <alignment horizontal="center" vertical="center"/>
      <protection locked="0"/>
    </xf>
    <xf numFmtId="4" fontId="97" fillId="0" borderId="6" xfId="1" applyNumberFormat="1" applyFont="1" applyFill="1" applyBorder="1" applyAlignment="1" applyProtection="1">
      <alignment vertical="center"/>
      <protection locked="0"/>
    </xf>
    <xf numFmtId="0" fontId="11" fillId="0" borderId="0" xfId="0" applyFont="1" applyAlignment="1">
      <alignment horizontal="center"/>
    </xf>
    <xf numFmtId="0" fontId="113" fillId="0" borderId="6" xfId="0" applyFont="1" applyBorder="1" applyAlignment="1" applyProtection="1">
      <alignment horizontal="center" vertical="center" wrapText="1"/>
      <protection locked="0"/>
    </xf>
    <xf numFmtId="14" fontId="114" fillId="0" borderId="6" xfId="0" applyNumberFormat="1" applyFont="1" applyBorder="1" applyAlignment="1" applyProtection="1">
      <alignment horizontal="center" vertical="center"/>
      <protection locked="0"/>
    </xf>
    <xf numFmtId="1" fontId="114" fillId="0" borderId="6" xfId="0" applyNumberFormat="1" applyFont="1" applyBorder="1" applyAlignment="1" applyProtection="1">
      <alignment horizontal="center" vertical="center"/>
      <protection locked="0"/>
    </xf>
    <xf numFmtId="14" fontId="114" fillId="0" borderId="6" xfId="0" applyNumberFormat="1" applyFont="1" applyBorder="1" applyAlignment="1" applyProtection="1">
      <alignment horizontal="center" vertical="center" wrapText="1"/>
      <protection locked="0"/>
    </xf>
    <xf numFmtId="43" fontId="114" fillId="0" borderId="6" xfId="1" applyFont="1" applyFill="1" applyBorder="1" applyAlignment="1" applyProtection="1">
      <alignment horizontal="right" vertical="center"/>
      <protection locked="0"/>
    </xf>
    <xf numFmtId="4" fontId="114" fillId="0" borderId="6" xfId="1" applyNumberFormat="1" applyFont="1" applyFill="1" applyBorder="1" applyAlignment="1" applyProtection="1">
      <alignment vertical="center"/>
      <protection locked="0"/>
    </xf>
    <xf numFmtId="0" fontId="116" fillId="0" borderId="6" xfId="0" applyFont="1" applyBorder="1" applyAlignment="1" applyProtection="1">
      <alignment horizontal="center" vertical="center"/>
      <protection locked="0"/>
    </xf>
    <xf numFmtId="14" fontId="117" fillId="0" borderId="12" xfId="0" applyNumberFormat="1" applyFont="1" applyBorder="1" applyAlignment="1">
      <alignment horizontal="center"/>
    </xf>
    <xf numFmtId="1" fontId="117" fillId="4" borderId="3" xfId="0" applyNumberFormat="1" applyFont="1" applyFill="1" applyBorder="1" applyAlignment="1">
      <alignment horizontal="center"/>
    </xf>
    <xf numFmtId="1" fontId="117" fillId="4" borderId="12" xfId="0" applyNumberFormat="1" applyFont="1" applyFill="1" applyBorder="1" applyAlignment="1">
      <alignment horizontal="center"/>
    </xf>
    <xf numFmtId="1" fontId="117" fillId="0" borderId="3" xfId="0" applyNumberFormat="1" applyFont="1" applyBorder="1" applyAlignment="1" applyProtection="1">
      <alignment horizontal="center"/>
      <protection locked="0"/>
    </xf>
    <xf numFmtId="44" fontId="117" fillId="0" borderId="3" xfId="1" applyNumberFormat="1" applyFont="1" applyFill="1" applyBorder="1" applyAlignment="1" applyProtection="1">
      <protection locked="0"/>
    </xf>
    <xf numFmtId="1" fontId="115" fillId="4" borderId="9" xfId="0" applyNumberFormat="1" applyFont="1" applyFill="1" applyBorder="1" applyAlignment="1">
      <alignment horizontal="center" vertical="center"/>
    </xf>
    <xf numFmtId="1" fontId="115" fillId="2" borderId="9" xfId="0" quotePrefix="1" applyNumberFormat="1" applyFont="1" applyFill="1" applyBorder="1" applyAlignment="1">
      <alignment horizontal="center" vertical="center"/>
    </xf>
    <xf numFmtId="167" fontId="118" fillId="0" borderId="8" xfId="1" applyNumberFormat="1" applyFont="1" applyFill="1" applyBorder="1" applyAlignment="1">
      <alignment horizontal="center" vertical="center"/>
    </xf>
    <xf numFmtId="167" fontId="31" fillId="6" borderId="68" xfId="0" applyNumberFormat="1" applyFont="1" applyFill="1" applyBorder="1" applyAlignment="1">
      <alignment vertical="center" wrapText="1"/>
    </xf>
    <xf numFmtId="14" fontId="119" fillId="0" borderId="12" xfId="0" applyNumberFormat="1" applyFont="1" applyBorder="1" applyAlignment="1">
      <alignment horizontal="center"/>
    </xf>
    <xf numFmtId="1" fontId="119" fillId="4" borderId="3" xfId="0" applyNumberFormat="1" applyFont="1" applyFill="1" applyBorder="1" applyAlignment="1">
      <alignment horizontal="center"/>
    </xf>
    <xf numFmtId="1" fontId="119" fillId="4" borderId="12" xfId="0" applyNumberFormat="1" applyFont="1" applyFill="1" applyBorder="1" applyAlignment="1">
      <alignment horizontal="center"/>
    </xf>
    <xf numFmtId="1" fontId="119" fillId="0" borderId="3" xfId="0" applyNumberFormat="1" applyFont="1" applyBorder="1" applyAlignment="1" applyProtection="1">
      <alignment horizontal="center"/>
      <protection locked="0"/>
    </xf>
    <xf numFmtId="44" fontId="119" fillId="0" borderId="3" xfId="1" applyNumberFormat="1" applyFont="1" applyFill="1" applyBorder="1" applyAlignment="1" applyProtection="1">
      <protection locked="0"/>
    </xf>
    <xf numFmtId="14" fontId="120" fillId="0" borderId="6" xfId="0" applyNumberFormat="1" applyFont="1" applyBorder="1" applyAlignment="1" applyProtection="1">
      <alignment horizontal="center" vertical="center"/>
      <protection locked="0"/>
    </xf>
    <xf numFmtId="1" fontId="120" fillId="0" borderId="6" xfId="0" applyNumberFormat="1" applyFont="1" applyBorder="1" applyAlignment="1" applyProtection="1">
      <alignment horizontal="center" vertical="center"/>
      <protection locked="0"/>
    </xf>
    <xf numFmtId="49" fontId="120" fillId="0" borderId="6" xfId="0" applyNumberFormat="1" applyFont="1" applyBorder="1" applyAlignment="1" applyProtection="1">
      <alignment horizontal="center" vertical="center"/>
      <protection locked="0"/>
    </xf>
    <xf numFmtId="14" fontId="120" fillId="0" borderId="6" xfId="0" applyNumberFormat="1" applyFont="1" applyBorder="1" applyAlignment="1" applyProtection="1">
      <alignment horizontal="center" vertical="center" wrapText="1"/>
      <protection locked="0"/>
    </xf>
    <xf numFmtId="4" fontId="120" fillId="0" borderId="6" xfId="1" applyNumberFormat="1" applyFont="1" applyFill="1" applyBorder="1" applyAlignment="1" applyProtection="1">
      <alignment vertical="center"/>
      <protection locked="0"/>
    </xf>
    <xf numFmtId="0" fontId="121" fillId="0" borderId="6" xfId="0" applyFont="1" applyBorder="1" applyAlignment="1" applyProtection="1">
      <alignment horizontal="center" vertical="center"/>
      <protection locked="0"/>
    </xf>
    <xf numFmtId="167" fontId="69" fillId="0" borderId="8" xfId="1" applyNumberFormat="1" applyFont="1" applyFill="1" applyBorder="1" applyAlignment="1">
      <alignment horizontal="center" vertical="center"/>
    </xf>
    <xf numFmtId="14" fontId="122" fillId="0" borderId="6" xfId="0" applyNumberFormat="1" applyFont="1" applyBorder="1" applyAlignment="1" applyProtection="1">
      <alignment horizontal="center" vertical="center"/>
      <protection locked="0"/>
    </xf>
    <xf numFmtId="1" fontId="122" fillId="0" borderId="6" xfId="0" applyNumberFormat="1" applyFont="1" applyBorder="1" applyAlignment="1" applyProtection="1">
      <alignment horizontal="center" vertical="center"/>
      <protection locked="0"/>
    </xf>
    <xf numFmtId="0" fontId="122" fillId="0" borderId="6" xfId="0" applyFont="1" applyBorder="1" applyAlignment="1" applyProtection="1">
      <alignment horizontal="center" vertical="center"/>
      <protection locked="0"/>
    </xf>
    <xf numFmtId="14" fontId="122" fillId="0" borderId="6" xfId="0" applyNumberFormat="1" applyFont="1" applyBorder="1" applyAlignment="1" applyProtection="1">
      <alignment horizontal="center" vertical="center" wrapText="1"/>
      <protection locked="0"/>
    </xf>
    <xf numFmtId="43" fontId="122" fillId="0" borderId="6" xfId="1" applyFont="1" applyFill="1" applyBorder="1" applyAlignment="1" applyProtection="1">
      <alignment horizontal="right" vertical="center"/>
      <protection locked="0"/>
    </xf>
    <xf numFmtId="4" fontId="122" fillId="0" borderId="6" xfId="1" applyNumberFormat="1" applyFont="1" applyFill="1" applyBorder="1" applyAlignment="1" applyProtection="1">
      <alignment vertical="center"/>
      <protection locked="0"/>
    </xf>
    <xf numFmtId="0" fontId="124" fillId="0" borderId="6" xfId="0" applyFont="1" applyBorder="1" applyAlignment="1" applyProtection="1">
      <alignment horizontal="center" vertical="center"/>
      <protection locked="0"/>
    </xf>
    <xf numFmtId="14" fontId="125" fillId="0" borderId="12" xfId="0" applyNumberFormat="1" applyFont="1" applyBorder="1" applyAlignment="1">
      <alignment horizontal="center"/>
    </xf>
    <xf numFmtId="1" fontId="125" fillId="4" borderId="3" xfId="0" applyNumberFormat="1" applyFont="1" applyFill="1" applyBorder="1" applyAlignment="1">
      <alignment horizontal="center"/>
    </xf>
    <xf numFmtId="1" fontId="125" fillId="4" borderId="12" xfId="0" applyNumberFormat="1" applyFont="1" applyFill="1" applyBorder="1" applyAlignment="1">
      <alignment horizontal="center"/>
    </xf>
    <xf numFmtId="1" fontId="125" fillId="0" borderId="3" xfId="0" applyNumberFormat="1" applyFont="1" applyBorder="1" applyAlignment="1" applyProtection="1">
      <alignment horizontal="center"/>
      <protection locked="0"/>
    </xf>
    <xf numFmtId="44" fontId="125" fillId="0" borderId="3" xfId="1" applyNumberFormat="1" applyFont="1" applyFill="1" applyBorder="1" applyAlignment="1" applyProtection="1">
      <protection locked="0"/>
    </xf>
    <xf numFmtId="1" fontId="123" fillId="4" borderId="9" xfId="0" applyNumberFormat="1" applyFont="1" applyFill="1" applyBorder="1" applyAlignment="1">
      <alignment horizontal="center" vertical="center"/>
    </xf>
    <xf numFmtId="1" fontId="123" fillId="2" borderId="9" xfId="0" quotePrefix="1" applyNumberFormat="1" applyFont="1" applyFill="1" applyBorder="1" applyAlignment="1">
      <alignment horizontal="center" vertical="center"/>
    </xf>
    <xf numFmtId="167" fontId="126" fillId="0" borderId="8" xfId="1" applyNumberFormat="1" applyFont="1" applyFill="1" applyBorder="1" applyAlignment="1">
      <alignment horizontal="center" vertical="center"/>
    </xf>
    <xf numFmtId="49" fontId="122" fillId="0" borderId="6" xfId="0" applyNumberFormat="1" applyFont="1" applyBorder="1" applyAlignment="1" applyProtection="1">
      <alignment horizontal="center" vertical="center"/>
      <protection locked="0"/>
    </xf>
    <xf numFmtId="44" fontId="125" fillId="0" borderId="3" xfId="1" applyNumberFormat="1" applyFont="1" applyFill="1" applyBorder="1" applyAlignment="1" applyProtection="1"/>
    <xf numFmtId="0" fontId="122" fillId="6" borderId="6" xfId="0" applyFont="1" applyFill="1" applyBorder="1" applyAlignment="1" applyProtection="1">
      <alignment horizontal="center" vertical="center" wrapText="1"/>
      <protection locked="0"/>
    </xf>
    <xf numFmtId="44" fontId="0" fillId="2" borderId="69" xfId="1" applyNumberFormat="1" applyFont="1" applyFill="1" applyBorder="1" applyAlignment="1" applyProtection="1">
      <alignment horizontal="right"/>
    </xf>
    <xf numFmtId="14" fontId="0" fillId="0" borderId="3" xfId="0" applyNumberFormat="1" applyBorder="1" applyAlignment="1">
      <alignment horizontal="left"/>
    </xf>
    <xf numFmtId="14" fontId="0" fillId="0" borderId="3" xfId="0" applyNumberFormat="1" applyBorder="1" applyAlignment="1" applyProtection="1">
      <alignment horizontal="left"/>
      <protection locked="0"/>
    </xf>
    <xf numFmtId="167" fontId="106" fillId="6" borderId="8" xfId="1" applyNumberFormat="1" applyFont="1" applyFill="1" applyBorder="1" applyAlignment="1">
      <alignment horizontal="center" vertical="center"/>
    </xf>
    <xf numFmtId="1" fontId="42" fillId="0" borderId="61" xfId="0" applyNumberFormat="1" applyFont="1" applyBorder="1" applyAlignment="1" applyProtection="1">
      <alignment horizontal="center" vertical="center"/>
      <protection locked="0"/>
    </xf>
    <xf numFmtId="4" fontId="107" fillId="0" borderId="0" xfId="1" applyNumberFormat="1" applyFont="1" applyFill="1" applyBorder="1" applyAlignment="1" applyProtection="1">
      <alignment vertical="center"/>
      <protection locked="0"/>
    </xf>
    <xf numFmtId="4" fontId="2" fillId="6" borderId="6" xfId="1" applyNumberFormat="1" applyFont="1" applyFill="1" applyBorder="1" applyAlignment="1" applyProtection="1">
      <alignment vertical="center"/>
      <protection locked="0"/>
    </xf>
    <xf numFmtId="4" fontId="99" fillId="6" borderId="6" xfId="1" applyNumberFormat="1" applyFont="1" applyFill="1" applyBorder="1" applyAlignment="1" applyProtection="1">
      <alignment vertical="center"/>
      <protection locked="0"/>
    </xf>
    <xf numFmtId="4" fontId="90" fillId="6" borderId="6" xfId="1" applyNumberFormat="1" applyFont="1" applyFill="1" applyBorder="1" applyAlignment="1" applyProtection="1">
      <alignment vertical="center"/>
      <protection locked="0"/>
    </xf>
    <xf numFmtId="4" fontId="81" fillId="6" borderId="6" xfId="1" applyNumberFormat="1" applyFont="1" applyFill="1" applyBorder="1" applyAlignment="1" applyProtection="1">
      <alignment vertical="center"/>
      <protection locked="0"/>
    </xf>
    <xf numFmtId="0" fontId="90" fillId="6" borderId="6" xfId="0" applyFont="1" applyFill="1" applyBorder="1" applyAlignment="1" applyProtection="1">
      <alignment horizontal="center" vertical="center"/>
      <protection locked="0"/>
    </xf>
    <xf numFmtId="0" fontId="114" fillId="6" borderId="6" xfId="0" applyFont="1" applyFill="1" applyBorder="1" applyAlignment="1" applyProtection="1">
      <alignment horizontal="center" vertical="center"/>
      <protection locked="0"/>
    </xf>
    <xf numFmtId="0" fontId="12" fillId="0" borderId="0" xfId="0" applyFont="1"/>
    <xf numFmtId="4" fontId="12" fillId="0" borderId="0" xfId="0" applyNumberFormat="1" applyFont="1"/>
    <xf numFmtId="44" fontId="117" fillId="0" borderId="3" xfId="1" applyNumberFormat="1" applyFont="1" applyFill="1" applyBorder="1" applyAlignment="1" applyProtection="1"/>
    <xf numFmtId="1" fontId="123" fillId="4" borderId="8" xfId="0" applyNumberFormat="1" applyFont="1" applyFill="1" applyBorder="1" applyAlignment="1">
      <alignment horizontal="center" vertical="center"/>
    </xf>
    <xf numFmtId="1" fontId="8" fillId="4" borderId="7" xfId="0" applyNumberFormat="1" applyFont="1" applyFill="1" applyBorder="1" applyAlignment="1">
      <alignment horizontal="center" vertical="center"/>
    </xf>
    <xf numFmtId="43" fontId="11" fillId="0" borderId="0" xfId="1" applyFont="1" applyBorder="1"/>
    <xf numFmtId="14" fontId="0" fillId="0" borderId="0" xfId="0" applyNumberFormat="1" applyAlignment="1">
      <alignment horizontal="right"/>
    </xf>
    <xf numFmtId="1" fontId="127" fillId="0" borderId="3" xfId="0" applyNumberFormat="1" applyFont="1" applyBorder="1" applyAlignment="1" applyProtection="1">
      <alignment horizontal="center"/>
      <protection locked="0"/>
    </xf>
    <xf numFmtId="44" fontId="127" fillId="0" borderId="3" xfId="1" applyNumberFormat="1" applyFont="1" applyFill="1" applyBorder="1" applyAlignment="1" applyProtection="1">
      <protection locked="0"/>
    </xf>
    <xf numFmtId="14" fontId="128" fillId="0" borderId="6" xfId="0" applyNumberFormat="1" applyFont="1" applyBorder="1" applyAlignment="1" applyProtection="1">
      <alignment horizontal="center" vertical="center"/>
      <protection locked="0"/>
    </xf>
    <xf numFmtId="49" fontId="128" fillId="0" borderId="6" xfId="0" applyNumberFormat="1" applyFont="1" applyBorder="1" applyAlignment="1" applyProtection="1">
      <alignment horizontal="center" vertical="center"/>
      <protection locked="0"/>
    </xf>
    <xf numFmtId="14" fontId="128" fillId="0" borderId="6" xfId="0" applyNumberFormat="1" applyFont="1" applyBorder="1" applyAlignment="1" applyProtection="1">
      <alignment horizontal="center" vertical="center" wrapText="1"/>
      <protection locked="0"/>
    </xf>
    <xf numFmtId="4" fontId="128" fillId="0" borderId="6" xfId="1" applyNumberFormat="1" applyFont="1" applyFill="1" applyBorder="1" applyAlignment="1" applyProtection="1">
      <alignment vertical="center"/>
      <protection locked="0"/>
    </xf>
    <xf numFmtId="0" fontId="129" fillId="0" borderId="6" xfId="0" applyFont="1" applyBorder="1" applyAlignment="1" applyProtection="1">
      <alignment horizontal="center" vertical="center"/>
      <protection locked="0"/>
    </xf>
    <xf numFmtId="4" fontId="128" fillId="0" borderId="6" xfId="1" applyNumberFormat="1" applyFont="1" applyFill="1" applyBorder="1" applyAlignment="1" applyProtection="1">
      <alignment horizontal="right" vertical="center"/>
      <protection locked="0"/>
    </xf>
    <xf numFmtId="43" fontId="128" fillId="0" borderId="6" xfId="1" applyFont="1" applyFill="1" applyBorder="1" applyAlignment="1" applyProtection="1">
      <alignment horizontal="right" vertical="center"/>
      <protection locked="0"/>
    </xf>
    <xf numFmtId="14" fontId="130" fillId="0" borderId="6" xfId="0" applyNumberFormat="1" applyFont="1" applyBorder="1" applyAlignment="1" applyProtection="1">
      <alignment horizontal="center" vertical="center"/>
      <protection locked="0"/>
    </xf>
    <xf numFmtId="1" fontId="130" fillId="0" borderId="6" xfId="0" applyNumberFormat="1" applyFont="1" applyBorder="1" applyAlignment="1" applyProtection="1">
      <alignment horizontal="center" vertical="center"/>
      <protection locked="0"/>
    </xf>
    <xf numFmtId="0" fontId="130" fillId="0" borderId="6" xfId="0" applyFont="1" applyBorder="1" applyAlignment="1" applyProtection="1">
      <alignment horizontal="center" vertical="center"/>
      <protection locked="0"/>
    </xf>
    <xf numFmtId="49" fontId="130" fillId="0" borderId="6" xfId="0" applyNumberFormat="1" applyFont="1" applyBorder="1" applyAlignment="1" applyProtection="1">
      <alignment horizontal="center" vertical="center"/>
      <protection locked="0"/>
    </xf>
    <xf numFmtId="14" fontId="130" fillId="0" borderId="6" xfId="0" applyNumberFormat="1" applyFont="1" applyBorder="1" applyAlignment="1" applyProtection="1">
      <alignment horizontal="center" vertical="center" wrapText="1"/>
      <protection locked="0"/>
    </xf>
    <xf numFmtId="43" fontId="130" fillId="0" borderId="6" xfId="1" applyFont="1" applyFill="1" applyBorder="1" applyAlignment="1" applyProtection="1">
      <alignment horizontal="right" vertical="center"/>
      <protection locked="0"/>
    </xf>
    <xf numFmtId="4" fontId="130" fillId="0" borderId="6" xfId="1" applyNumberFormat="1" applyFont="1" applyFill="1" applyBorder="1" applyAlignment="1" applyProtection="1">
      <alignment vertical="center"/>
      <protection locked="0"/>
    </xf>
    <xf numFmtId="0" fontId="132" fillId="0" borderId="6" xfId="0" applyFont="1" applyBorder="1" applyAlignment="1" applyProtection="1">
      <alignment horizontal="center" vertical="center"/>
      <protection locked="0"/>
    </xf>
    <xf numFmtId="0" fontId="12" fillId="0" borderId="3" xfId="0" applyFont="1" applyBorder="1" applyAlignment="1" applyProtection="1">
      <alignment horizontal="left"/>
      <protection locked="0"/>
    </xf>
    <xf numFmtId="1" fontId="133" fillId="0" borderId="3" xfId="0" applyNumberFormat="1" applyFont="1" applyBorder="1" applyAlignment="1" applyProtection="1">
      <alignment horizontal="center"/>
      <protection locked="0"/>
    </xf>
    <xf numFmtId="44" fontId="133" fillId="0" borderId="3" xfId="1" applyNumberFormat="1" applyFont="1" applyFill="1" applyBorder="1" applyAlignment="1" applyProtection="1">
      <protection locked="0"/>
    </xf>
    <xf numFmtId="1" fontId="131" fillId="4" borderId="9" xfId="0" applyNumberFormat="1" applyFont="1" applyFill="1" applyBorder="1" applyAlignment="1">
      <alignment horizontal="center" vertical="center"/>
    </xf>
    <xf numFmtId="1" fontId="131" fillId="2" borderId="9" xfId="0" quotePrefix="1" applyNumberFormat="1" applyFont="1" applyFill="1" applyBorder="1" applyAlignment="1">
      <alignment horizontal="center" vertical="center"/>
    </xf>
    <xf numFmtId="167" fontId="134" fillId="0" borderId="8" xfId="1" applyNumberFormat="1" applyFont="1" applyFill="1" applyBorder="1" applyAlignment="1">
      <alignment horizontal="center" vertical="center"/>
    </xf>
    <xf numFmtId="14" fontId="135" fillId="0" borderId="6" xfId="0" applyNumberFormat="1" applyFont="1" applyBorder="1" applyAlignment="1" applyProtection="1">
      <alignment horizontal="center" vertical="center"/>
      <protection locked="0"/>
    </xf>
    <xf numFmtId="14" fontId="135" fillId="0" borderId="6" xfId="0" applyNumberFormat="1" applyFont="1" applyBorder="1" applyAlignment="1" applyProtection="1">
      <alignment horizontal="center" vertical="center" wrapText="1"/>
      <protection locked="0"/>
    </xf>
    <xf numFmtId="43" fontId="135" fillId="0" borderId="6" xfId="1" applyFont="1" applyFill="1" applyBorder="1" applyAlignment="1" applyProtection="1">
      <alignment horizontal="right" vertical="center"/>
      <protection locked="0"/>
    </xf>
    <xf numFmtId="4" fontId="135" fillId="0" borderId="6" xfId="1" applyNumberFormat="1" applyFont="1" applyFill="1" applyBorder="1" applyAlignment="1" applyProtection="1">
      <alignment vertical="center"/>
      <protection locked="0"/>
    </xf>
    <xf numFmtId="0" fontId="136" fillId="0" borderId="6" xfId="0" applyFont="1" applyBorder="1" applyAlignment="1" applyProtection="1">
      <alignment horizontal="center" vertical="center"/>
      <protection locked="0"/>
    </xf>
    <xf numFmtId="49" fontId="135" fillId="0" borderId="6" xfId="0" applyNumberFormat="1" applyFont="1" applyBorder="1" applyAlignment="1" applyProtection="1">
      <alignment horizontal="center" vertical="center"/>
      <protection locked="0"/>
    </xf>
    <xf numFmtId="43" fontId="0" fillId="0" borderId="0" xfId="0" applyNumberFormat="1" applyAlignment="1">
      <alignment vertical="center"/>
    </xf>
    <xf numFmtId="14" fontId="137" fillId="0" borderId="12" xfId="0" applyNumberFormat="1" applyFont="1" applyBorder="1" applyAlignment="1">
      <alignment horizontal="center"/>
    </xf>
    <xf numFmtId="1" fontId="137" fillId="4" borderId="12" xfId="0" applyNumberFormat="1" applyFont="1" applyFill="1" applyBorder="1" applyAlignment="1">
      <alignment horizontal="center"/>
    </xf>
    <xf numFmtId="1" fontId="137" fillId="0" borderId="3" xfId="0" applyNumberFormat="1" applyFont="1" applyBorder="1" applyAlignment="1" applyProtection="1">
      <alignment horizontal="center"/>
      <protection locked="0"/>
    </xf>
    <xf numFmtId="44" fontId="137" fillId="0" borderId="3" xfId="1" applyNumberFormat="1" applyFont="1" applyFill="1" applyBorder="1" applyAlignment="1" applyProtection="1">
      <protection locked="0"/>
    </xf>
    <xf numFmtId="43" fontId="0" fillId="0" borderId="0" xfId="1" applyFont="1" applyAlignment="1">
      <alignment horizontal="center"/>
    </xf>
    <xf numFmtId="43" fontId="0" fillId="0" borderId="0" xfId="1" applyFont="1" applyAlignment="1">
      <alignment horizontal="right"/>
    </xf>
    <xf numFmtId="43" fontId="0" fillId="0" borderId="0" xfId="1" applyFont="1" applyAlignment="1">
      <alignment horizontal="left" vertical="center" wrapText="1"/>
    </xf>
    <xf numFmtId="14" fontId="138" fillId="0" borderId="6" xfId="0" applyNumberFormat="1" applyFont="1" applyBorder="1" applyAlignment="1" applyProtection="1">
      <alignment horizontal="center" vertical="center"/>
      <protection locked="0"/>
    </xf>
    <xf numFmtId="49" fontId="138" fillId="0" borderId="6" xfId="0" applyNumberFormat="1" applyFont="1" applyBorder="1" applyAlignment="1" applyProtection="1">
      <alignment horizontal="center" vertical="center"/>
      <protection locked="0"/>
    </xf>
    <xf numFmtId="14" fontId="138" fillId="0" borderId="6" xfId="0" applyNumberFormat="1" applyFont="1" applyBorder="1" applyAlignment="1" applyProtection="1">
      <alignment horizontal="center" vertical="center" wrapText="1"/>
      <protection locked="0"/>
    </xf>
    <xf numFmtId="43" fontId="138" fillId="0" borderId="6" xfId="1" applyFont="1" applyFill="1" applyBorder="1" applyAlignment="1" applyProtection="1">
      <alignment horizontal="right" vertical="center"/>
      <protection locked="0"/>
    </xf>
    <xf numFmtId="4" fontId="138" fillId="0" borderId="6" xfId="1" applyNumberFormat="1" applyFont="1" applyFill="1" applyBorder="1" applyAlignment="1" applyProtection="1">
      <alignment vertical="center"/>
      <protection locked="0"/>
    </xf>
    <xf numFmtId="0" fontId="139" fillId="0" borderId="6" xfId="0" applyFont="1" applyBorder="1" applyAlignment="1" applyProtection="1">
      <alignment horizontal="center" vertical="center"/>
      <protection locked="0"/>
    </xf>
    <xf numFmtId="14" fontId="140" fillId="0" borderId="12" xfId="0" applyNumberFormat="1" applyFont="1" applyBorder="1" applyAlignment="1">
      <alignment horizontal="center"/>
    </xf>
    <xf numFmtId="1" fontId="140" fillId="4" borderId="3" xfId="0" applyNumberFormat="1" applyFont="1" applyFill="1" applyBorder="1" applyAlignment="1">
      <alignment horizontal="center"/>
    </xf>
    <xf numFmtId="1" fontId="140" fillId="4" borderId="12" xfId="0" applyNumberFormat="1" applyFont="1" applyFill="1" applyBorder="1" applyAlignment="1">
      <alignment horizontal="center"/>
    </xf>
    <xf numFmtId="1" fontId="140" fillId="0" borderId="3" xfId="0" applyNumberFormat="1" applyFont="1" applyBorder="1" applyAlignment="1" applyProtection="1">
      <alignment horizontal="center"/>
      <protection locked="0"/>
    </xf>
    <xf numFmtId="44" fontId="140" fillId="0" borderId="3" xfId="1" applyNumberFormat="1" applyFont="1" applyFill="1" applyBorder="1" applyAlignment="1" applyProtection="1">
      <protection locked="0"/>
    </xf>
    <xf numFmtId="14" fontId="141" fillId="0" borderId="6" xfId="0" applyNumberFormat="1" applyFont="1" applyBorder="1" applyAlignment="1" applyProtection="1">
      <alignment horizontal="center" vertical="center"/>
      <protection locked="0"/>
    </xf>
    <xf numFmtId="49" fontId="141" fillId="0" borderId="6" xfId="0" applyNumberFormat="1" applyFont="1" applyBorder="1" applyAlignment="1" applyProtection="1">
      <alignment horizontal="center" vertical="center"/>
      <protection locked="0"/>
    </xf>
    <xf numFmtId="14" fontId="141" fillId="0" borderId="6" xfId="0" applyNumberFormat="1" applyFont="1" applyBorder="1" applyAlignment="1" applyProtection="1">
      <alignment horizontal="center" vertical="center" wrapText="1"/>
      <protection locked="0"/>
    </xf>
    <xf numFmtId="43" fontId="141" fillId="0" borderId="6" xfId="1" applyFont="1" applyFill="1" applyBorder="1" applyAlignment="1" applyProtection="1">
      <alignment horizontal="right" vertical="center"/>
      <protection locked="0"/>
    </xf>
    <xf numFmtId="4" fontId="141" fillId="0" borderId="6" xfId="1" applyNumberFormat="1" applyFont="1" applyFill="1" applyBorder="1" applyAlignment="1" applyProtection="1">
      <alignment vertical="center"/>
      <protection locked="0"/>
    </xf>
    <xf numFmtId="0" fontId="143" fillId="0" borderId="6" xfId="0" applyFont="1" applyBorder="1" applyAlignment="1" applyProtection="1">
      <alignment horizontal="center" vertical="center"/>
      <protection locked="0"/>
    </xf>
    <xf numFmtId="1" fontId="142" fillId="4" borderId="9" xfId="0" applyNumberFormat="1" applyFont="1" applyFill="1" applyBorder="1" applyAlignment="1">
      <alignment horizontal="center" vertical="center"/>
    </xf>
    <xf numFmtId="1" fontId="142" fillId="2" borderId="9" xfId="0" quotePrefix="1" applyNumberFormat="1" applyFont="1" applyFill="1" applyBorder="1" applyAlignment="1">
      <alignment horizontal="center" vertical="center"/>
    </xf>
    <xf numFmtId="167" fontId="144" fillId="0" borderId="8" xfId="1" applyNumberFormat="1" applyFont="1" applyFill="1" applyBorder="1" applyAlignment="1">
      <alignment horizontal="center" vertical="center"/>
    </xf>
    <xf numFmtId="0" fontId="12" fillId="0" borderId="3" xfId="0" applyFont="1" applyBorder="1" applyProtection="1">
      <protection locked="0"/>
    </xf>
    <xf numFmtId="14" fontId="145" fillId="0" borderId="6" xfId="0" applyNumberFormat="1" applyFont="1" applyBorder="1" applyAlignment="1" applyProtection="1">
      <alignment horizontal="center" vertical="center"/>
      <protection locked="0"/>
    </xf>
    <xf numFmtId="14" fontId="145" fillId="0" borderId="6" xfId="0" applyNumberFormat="1" applyFont="1" applyBorder="1" applyAlignment="1" applyProtection="1">
      <alignment horizontal="center" vertical="center" wrapText="1"/>
      <protection locked="0"/>
    </xf>
    <xf numFmtId="43" fontId="145" fillId="0" borderId="6" xfId="1" applyFont="1" applyFill="1" applyBorder="1" applyAlignment="1" applyProtection="1">
      <alignment horizontal="right" vertical="center"/>
      <protection locked="0"/>
    </xf>
    <xf numFmtId="4" fontId="145" fillId="0" borderId="6" xfId="1" applyNumberFormat="1" applyFont="1" applyFill="1" applyBorder="1" applyAlignment="1" applyProtection="1">
      <alignment vertical="center"/>
      <protection locked="0"/>
    </xf>
    <xf numFmtId="0" fontId="147" fillId="0" borderId="6" xfId="0" applyFont="1" applyBorder="1" applyAlignment="1" applyProtection="1">
      <alignment horizontal="center" vertical="center"/>
      <protection locked="0"/>
    </xf>
    <xf numFmtId="49" fontId="13" fillId="0" borderId="60" xfId="0" applyNumberFormat="1" applyFont="1" applyBorder="1" applyProtection="1">
      <protection locked="0"/>
    </xf>
    <xf numFmtId="0" fontId="12" fillId="0" borderId="3" xfId="0" applyFont="1" applyBorder="1"/>
    <xf numFmtId="44" fontId="13" fillId="0" borderId="12" xfId="1" applyNumberFormat="1" applyFont="1" applyFill="1" applyBorder="1" applyAlignment="1" applyProtection="1">
      <protection locked="0"/>
    </xf>
    <xf numFmtId="1" fontId="146" fillId="4" borderId="9" xfId="0" applyNumberFormat="1" applyFont="1" applyFill="1" applyBorder="1" applyAlignment="1">
      <alignment horizontal="center" vertical="center"/>
    </xf>
    <xf numFmtId="1" fontId="146" fillId="2" borderId="9" xfId="0" quotePrefix="1" applyNumberFormat="1" applyFont="1" applyFill="1" applyBorder="1" applyAlignment="1">
      <alignment horizontal="center" vertical="center"/>
    </xf>
    <xf numFmtId="167" fontId="148" fillId="0" borderId="8" xfId="1" applyNumberFormat="1" applyFont="1" applyFill="1" applyBorder="1" applyAlignment="1">
      <alignment horizontal="center" vertical="center"/>
    </xf>
    <xf numFmtId="14" fontId="149" fillId="0" borderId="6" xfId="0" applyNumberFormat="1" applyFont="1" applyBorder="1" applyAlignment="1" applyProtection="1">
      <alignment horizontal="center" vertical="center"/>
      <protection locked="0"/>
    </xf>
    <xf numFmtId="14" fontId="149" fillId="0" borderId="6" xfId="0" applyNumberFormat="1" applyFont="1" applyBorder="1" applyAlignment="1" applyProtection="1">
      <alignment horizontal="center" vertical="center" wrapText="1"/>
      <protection locked="0"/>
    </xf>
    <xf numFmtId="43" fontId="149" fillId="0" borderId="6" xfId="1" applyFont="1" applyFill="1" applyBorder="1" applyAlignment="1" applyProtection="1">
      <alignment horizontal="right" vertical="center"/>
      <protection locked="0"/>
    </xf>
    <xf numFmtId="4" fontId="149" fillId="0" borderId="6" xfId="1" applyNumberFormat="1" applyFont="1" applyFill="1" applyBorder="1" applyAlignment="1" applyProtection="1">
      <alignment vertical="center"/>
      <protection locked="0"/>
    </xf>
    <xf numFmtId="0" fontId="150" fillId="0" borderId="6" xfId="0" applyFont="1" applyBorder="1" applyAlignment="1" applyProtection="1">
      <alignment horizontal="center" vertical="center"/>
      <protection locked="0"/>
    </xf>
    <xf numFmtId="4" fontId="2" fillId="0" borderId="6" xfId="1" applyNumberFormat="1" applyFont="1" applyFill="1" applyBorder="1" applyAlignment="1" applyProtection="1">
      <alignment vertical="center" wrapText="1"/>
      <protection locked="0"/>
    </xf>
    <xf numFmtId="167" fontId="2" fillId="0" borderId="0" xfId="0" applyNumberFormat="1" applyFont="1"/>
    <xf numFmtId="167" fontId="33" fillId="0" borderId="0" xfId="0" applyNumberFormat="1" applyFont="1"/>
    <xf numFmtId="167" fontId="0" fillId="0" borderId="0" xfId="0" applyNumberFormat="1"/>
    <xf numFmtId="1" fontId="47" fillId="6" borderId="0" xfId="1" applyNumberFormat="1" applyFont="1" applyFill="1" applyAlignment="1">
      <alignment horizontal="center" vertical="center" wrapText="1"/>
    </xf>
    <xf numFmtId="49" fontId="47" fillId="6" borderId="0" xfId="0" applyNumberFormat="1" applyFont="1" applyFill="1" applyAlignment="1">
      <alignment horizontal="left" vertical="center"/>
    </xf>
    <xf numFmtId="49" fontId="47" fillId="6" borderId="0" xfId="0" applyNumberFormat="1" applyFont="1" applyFill="1" applyAlignment="1">
      <alignment vertical="center" wrapText="1"/>
    </xf>
    <xf numFmtId="43" fontId="2" fillId="6" borderId="6" xfId="1" applyFont="1" applyFill="1" applyBorder="1" applyAlignment="1" applyProtection="1">
      <alignment horizontal="center" vertical="center"/>
      <protection locked="0"/>
    </xf>
    <xf numFmtId="43" fontId="63" fillId="6" borderId="6" xfId="1" applyFont="1" applyFill="1" applyBorder="1" applyAlignment="1" applyProtection="1">
      <alignment horizontal="right" vertical="center"/>
      <protection locked="0"/>
    </xf>
    <xf numFmtId="43" fontId="90" fillId="6" borderId="6" xfId="1" applyFont="1" applyFill="1" applyBorder="1" applyAlignment="1" applyProtection="1">
      <alignment horizontal="right" vertical="center"/>
      <protection locked="0"/>
    </xf>
    <xf numFmtId="14" fontId="151" fillId="0" borderId="6" xfId="0" applyNumberFormat="1" applyFont="1" applyBorder="1" applyAlignment="1" applyProtection="1">
      <alignment horizontal="center" vertical="center"/>
      <protection locked="0"/>
    </xf>
    <xf numFmtId="14" fontId="151" fillId="0" borderId="6" xfId="0" applyNumberFormat="1" applyFont="1" applyBorder="1" applyAlignment="1" applyProtection="1">
      <alignment horizontal="center" vertical="center" wrapText="1"/>
      <protection locked="0"/>
    </xf>
    <xf numFmtId="4" fontId="151" fillId="0" borderId="6" xfId="1" applyNumberFormat="1" applyFont="1" applyFill="1" applyBorder="1" applyAlignment="1" applyProtection="1">
      <alignment vertical="center"/>
      <protection locked="0"/>
    </xf>
    <xf numFmtId="0" fontId="152" fillId="0" borderId="6" xfId="0" applyFont="1" applyBorder="1" applyAlignment="1" applyProtection="1">
      <alignment horizontal="center" vertical="center"/>
      <protection locked="0"/>
    </xf>
    <xf numFmtId="49" fontId="151" fillId="0" borderId="6" xfId="0" applyNumberFormat="1" applyFont="1" applyBorder="1" applyAlignment="1" applyProtection="1">
      <alignment horizontal="center" vertical="center"/>
      <protection locked="0"/>
    </xf>
    <xf numFmtId="0" fontId="153" fillId="0" borderId="6" xfId="0" applyFont="1" applyBorder="1" applyAlignment="1" applyProtection="1">
      <alignment horizontal="center" vertical="center" wrapText="1"/>
      <protection locked="0"/>
    </xf>
    <xf numFmtId="49" fontId="153" fillId="0" borderId="6" xfId="0" applyNumberFormat="1" applyFont="1" applyBorder="1" applyAlignment="1" applyProtection="1">
      <alignment horizontal="center" vertical="center"/>
      <protection locked="0"/>
    </xf>
    <xf numFmtId="14" fontId="153" fillId="0" borderId="6" xfId="0" applyNumberFormat="1" applyFont="1" applyBorder="1" applyAlignment="1" applyProtection="1">
      <alignment horizontal="center" vertical="center" wrapText="1"/>
      <protection locked="0"/>
    </xf>
    <xf numFmtId="4" fontId="153" fillId="0" borderId="6" xfId="1" applyNumberFormat="1" applyFont="1" applyFill="1" applyBorder="1" applyAlignment="1" applyProtection="1">
      <alignment vertical="center"/>
      <protection locked="0"/>
    </xf>
    <xf numFmtId="0" fontId="155" fillId="0" borderId="6" xfId="0" applyFont="1" applyBorder="1" applyAlignment="1" applyProtection="1">
      <alignment horizontal="center" vertical="center"/>
      <protection locked="0"/>
    </xf>
    <xf numFmtId="14" fontId="156" fillId="0" borderId="12" xfId="0" applyNumberFormat="1" applyFont="1" applyBorder="1" applyAlignment="1">
      <alignment horizontal="center"/>
    </xf>
    <xf numFmtId="1" fontId="156" fillId="4" borderId="3" xfId="0" applyNumberFormat="1" applyFont="1" applyFill="1" applyBorder="1" applyAlignment="1">
      <alignment horizontal="center"/>
    </xf>
    <xf numFmtId="1" fontId="156" fillId="4" borderId="12" xfId="0" applyNumberFormat="1" applyFont="1" applyFill="1" applyBorder="1" applyAlignment="1">
      <alignment horizontal="center"/>
    </xf>
    <xf numFmtId="1" fontId="156" fillId="0" borderId="3" xfId="0" applyNumberFormat="1" applyFont="1" applyBorder="1" applyAlignment="1" applyProtection="1">
      <alignment horizontal="center"/>
      <protection locked="0"/>
    </xf>
    <xf numFmtId="44" fontId="156" fillId="0" borderId="3" xfId="1" applyNumberFormat="1" applyFont="1" applyFill="1" applyBorder="1" applyAlignment="1" applyProtection="1">
      <protection locked="0"/>
    </xf>
    <xf numFmtId="44" fontId="156" fillId="0" borderId="70" xfId="1" applyNumberFormat="1" applyFont="1" applyFill="1" applyBorder="1" applyAlignment="1" applyProtection="1"/>
    <xf numFmtId="44" fontId="13" fillId="0" borderId="70" xfId="1" applyNumberFormat="1" applyFont="1" applyFill="1" applyBorder="1" applyAlignment="1" applyProtection="1"/>
    <xf numFmtId="1" fontId="154" fillId="2" borderId="9" xfId="0" quotePrefix="1" applyNumberFormat="1" applyFont="1" applyFill="1" applyBorder="1" applyAlignment="1">
      <alignment horizontal="center" vertical="center"/>
    </xf>
    <xf numFmtId="167" fontId="158" fillId="0" borderId="8" xfId="1" applyNumberFormat="1" applyFont="1" applyFill="1" applyBorder="1" applyAlignment="1">
      <alignment horizontal="center" vertical="center"/>
    </xf>
    <xf numFmtId="43" fontId="2" fillId="0" borderId="6" xfId="0" applyNumberFormat="1" applyFont="1" applyBorder="1" applyAlignment="1" applyProtection="1">
      <alignment horizontal="center" vertical="center" wrapText="1"/>
      <protection locked="0"/>
    </xf>
    <xf numFmtId="4" fontId="2" fillId="0" borderId="6" xfId="0" applyNumberFormat="1" applyFont="1" applyBorder="1" applyAlignment="1" applyProtection="1">
      <alignment horizontal="right" vertical="center" wrapText="1"/>
      <protection locked="0"/>
    </xf>
    <xf numFmtId="0" fontId="8" fillId="4" borderId="6" xfId="0" applyFont="1" applyFill="1" applyBorder="1" applyAlignment="1">
      <alignment vertical="center" wrapText="1"/>
    </xf>
    <xf numFmtId="1" fontId="0" fillId="40" borderId="47" xfId="0" applyNumberFormat="1" applyFill="1" applyBorder="1" applyAlignment="1">
      <alignment horizontal="left"/>
    </xf>
    <xf numFmtId="44" fontId="157" fillId="40" borderId="47" xfId="1" applyNumberFormat="1" applyFont="1" applyFill="1" applyBorder="1"/>
    <xf numFmtId="44" fontId="156" fillId="4" borderId="47" xfId="1" applyNumberFormat="1" applyFont="1" applyFill="1" applyBorder="1" applyAlignment="1">
      <alignment horizontal="right"/>
    </xf>
    <xf numFmtId="44" fontId="154" fillId="4" borderId="47" xfId="1" applyNumberFormat="1" applyFont="1" applyFill="1" applyBorder="1"/>
    <xf numFmtId="0" fontId="0" fillId="0" borderId="3" xfId="0" applyBorder="1" applyAlignment="1">
      <alignment wrapText="1"/>
    </xf>
    <xf numFmtId="14" fontId="0" fillId="0" borderId="3" xfId="0" applyNumberFormat="1" applyBorder="1" applyAlignment="1">
      <alignment horizontal="center"/>
    </xf>
    <xf numFmtId="14" fontId="44" fillId="0" borderId="3" xfId="1" applyNumberFormat="1" applyFont="1" applyFill="1" applyBorder="1" applyAlignment="1" applyProtection="1">
      <protection locked="0"/>
    </xf>
    <xf numFmtId="167" fontId="69" fillId="45" borderId="8" xfId="1" applyNumberFormat="1" applyFont="1" applyFill="1" applyBorder="1" applyAlignment="1">
      <alignment horizontal="center" vertical="center"/>
    </xf>
    <xf numFmtId="1" fontId="13" fillId="45" borderId="8" xfId="0" applyNumberFormat="1" applyFont="1" applyFill="1" applyBorder="1" applyAlignment="1">
      <alignment horizontal="left" vertical="center" wrapText="1"/>
    </xf>
    <xf numFmtId="167" fontId="69" fillId="0" borderId="8" xfId="1" applyNumberFormat="1" applyFont="1" applyBorder="1" applyAlignment="1">
      <alignment horizontal="center" vertical="center"/>
    </xf>
    <xf numFmtId="1" fontId="13" fillId="0" borderId="8" xfId="0" applyNumberFormat="1" applyFont="1" applyBorder="1" applyAlignment="1">
      <alignment horizontal="left" vertical="center" wrapText="1"/>
    </xf>
    <xf numFmtId="49" fontId="159" fillId="40" borderId="0" xfId="0" applyNumberFormat="1" applyFont="1" applyFill="1"/>
    <xf numFmtId="44" fontId="44" fillId="0" borderId="0" xfId="1" applyNumberFormat="1" applyFont="1" applyFill="1" applyBorder="1" applyAlignment="1" applyProtection="1">
      <protection locked="0"/>
    </xf>
    <xf numFmtId="14" fontId="53" fillId="0" borderId="62" xfId="0" applyNumberFormat="1" applyFont="1" applyBorder="1" applyAlignment="1" applyProtection="1">
      <alignment horizontal="center" vertical="center"/>
      <protection locked="0"/>
    </xf>
    <xf numFmtId="43" fontId="8" fillId="4" borderId="6" xfId="1" applyFont="1" applyFill="1" applyBorder="1" applyAlignment="1" applyProtection="1">
      <alignment horizontal="right" vertical="center"/>
      <protection locked="0"/>
    </xf>
    <xf numFmtId="43" fontId="69" fillId="0" borderId="6" xfId="0" applyNumberFormat="1" applyFont="1" applyBorder="1" applyAlignment="1" applyProtection="1">
      <alignment horizontal="center" vertical="center" wrapText="1"/>
      <protection locked="0"/>
    </xf>
    <xf numFmtId="4" fontId="69" fillId="0" borderId="6" xfId="0" applyNumberFormat="1" applyFont="1" applyBorder="1" applyAlignment="1" applyProtection="1">
      <alignment horizontal="center" vertical="center" wrapText="1"/>
      <protection locked="0"/>
    </xf>
    <xf numFmtId="1" fontId="42" fillId="0" borderId="6" xfId="1" applyNumberFormat="1" applyFont="1" applyBorder="1" applyAlignment="1" applyProtection="1">
      <alignment horizontal="center" vertical="center"/>
      <protection locked="0"/>
    </xf>
    <xf numFmtId="167" fontId="0" fillId="0" borderId="0" xfId="0" applyNumberFormat="1" applyAlignment="1">
      <alignment horizontal="center" vertical="center"/>
    </xf>
    <xf numFmtId="4" fontId="33" fillId="0" borderId="0" xfId="0" applyNumberFormat="1" applyFont="1"/>
    <xf numFmtId="14" fontId="59" fillId="6" borderId="6" xfId="0" applyNumberFormat="1" applyFont="1" applyFill="1" applyBorder="1" applyAlignment="1" applyProtection="1">
      <alignment horizontal="center" vertical="center" wrapText="1"/>
      <protection locked="0"/>
    </xf>
    <xf numFmtId="14" fontId="63" fillId="6" borderId="6" xfId="0" applyNumberFormat="1" applyFont="1" applyFill="1" applyBorder="1" applyAlignment="1" applyProtection="1">
      <alignment horizontal="center" vertical="center" wrapText="1"/>
      <protection locked="0"/>
    </xf>
    <xf numFmtId="14" fontId="130" fillId="6" borderId="6" xfId="0" applyNumberFormat="1" applyFont="1" applyFill="1" applyBorder="1" applyAlignment="1" applyProtection="1">
      <alignment horizontal="center" vertical="center" wrapText="1"/>
      <protection locked="0"/>
    </xf>
    <xf numFmtId="14" fontId="67" fillId="6" borderId="6" xfId="0" applyNumberFormat="1" applyFont="1" applyFill="1" applyBorder="1" applyAlignment="1" applyProtection="1">
      <alignment horizontal="center" vertical="center" wrapText="1"/>
      <protection locked="0"/>
    </xf>
    <xf numFmtId="14" fontId="72" fillId="6" borderId="6" xfId="0" applyNumberFormat="1" applyFont="1" applyFill="1" applyBorder="1" applyAlignment="1" applyProtection="1">
      <alignment horizontal="center" vertical="center" wrapText="1"/>
      <protection locked="0"/>
    </xf>
    <xf numFmtId="14" fontId="75" fillId="6" borderId="6" xfId="0" applyNumberFormat="1" applyFont="1" applyFill="1" applyBorder="1" applyAlignment="1" applyProtection="1">
      <alignment horizontal="center" vertical="center" wrapText="1"/>
      <protection locked="0"/>
    </xf>
    <xf numFmtId="14" fontId="78" fillId="6" borderId="6" xfId="0" applyNumberFormat="1" applyFont="1" applyFill="1" applyBorder="1" applyAlignment="1" applyProtection="1">
      <alignment horizontal="center" vertical="center" wrapText="1"/>
      <protection locked="0"/>
    </xf>
    <xf numFmtId="14" fontId="81" fillId="6" borderId="6" xfId="0" applyNumberFormat="1" applyFont="1" applyFill="1" applyBorder="1" applyAlignment="1" applyProtection="1">
      <alignment horizontal="center" vertical="center" wrapText="1"/>
      <protection locked="0"/>
    </xf>
    <xf numFmtId="14" fontId="114" fillId="6" borderId="6" xfId="0" applyNumberFormat="1" applyFont="1" applyFill="1" applyBorder="1" applyAlignment="1" applyProtection="1">
      <alignment horizontal="center" vertical="center" wrapText="1"/>
      <protection locked="0"/>
    </xf>
    <xf numFmtId="14" fontId="88" fillId="6" borderId="6" xfId="0" applyNumberFormat="1" applyFont="1" applyFill="1" applyBorder="1" applyAlignment="1" applyProtection="1">
      <alignment horizontal="center" vertical="center" wrapText="1"/>
      <protection locked="0"/>
    </xf>
    <xf numFmtId="14" fontId="90" fillId="6" borderId="6" xfId="0" applyNumberFormat="1" applyFont="1" applyFill="1" applyBorder="1" applyAlignment="1" applyProtection="1">
      <alignment horizontal="center" vertical="center" wrapText="1"/>
      <protection locked="0"/>
    </xf>
    <xf numFmtId="14" fontId="141" fillId="6" borderId="6" xfId="0" applyNumberFormat="1" applyFont="1" applyFill="1" applyBorder="1" applyAlignment="1" applyProtection="1">
      <alignment horizontal="center" vertical="center" wrapText="1"/>
      <protection locked="0"/>
    </xf>
    <xf numFmtId="14" fontId="94" fillId="6" borderId="6" xfId="0" applyNumberFormat="1" applyFont="1" applyFill="1" applyBorder="1" applyAlignment="1" applyProtection="1">
      <alignment horizontal="center" vertical="center" wrapText="1"/>
      <protection locked="0"/>
    </xf>
    <xf numFmtId="14" fontId="107" fillId="6" borderId="6" xfId="0" applyNumberFormat="1" applyFont="1" applyFill="1" applyBorder="1" applyAlignment="1" applyProtection="1">
      <alignment horizontal="center" vertical="center" wrapText="1"/>
      <protection locked="0"/>
    </xf>
    <xf numFmtId="14" fontId="97" fillId="6" borderId="6" xfId="0" applyNumberFormat="1" applyFont="1" applyFill="1" applyBorder="1" applyAlignment="1" applyProtection="1">
      <alignment horizontal="center" vertical="center" wrapText="1"/>
      <protection locked="0"/>
    </xf>
    <xf numFmtId="14" fontId="99" fillId="6" borderId="6" xfId="0" applyNumberFormat="1" applyFont="1" applyFill="1" applyBorder="1" applyAlignment="1" applyProtection="1">
      <alignment horizontal="center" vertical="center" wrapText="1"/>
      <protection locked="0"/>
    </xf>
    <xf numFmtId="14" fontId="104" fillId="6" borderId="6" xfId="0" applyNumberFormat="1" applyFont="1" applyFill="1" applyBorder="1" applyAlignment="1" applyProtection="1">
      <alignment horizontal="center" vertical="center" wrapText="1"/>
      <protection locked="0"/>
    </xf>
    <xf numFmtId="14" fontId="120" fillId="6" borderId="6" xfId="0" applyNumberFormat="1" applyFont="1" applyFill="1" applyBorder="1" applyAlignment="1" applyProtection="1">
      <alignment horizontal="center" vertical="center" wrapText="1"/>
      <protection locked="0"/>
    </xf>
    <xf numFmtId="0" fontId="130" fillId="6" borderId="6" xfId="0" applyFont="1" applyFill="1" applyBorder="1" applyAlignment="1" applyProtection="1">
      <alignment horizontal="center" vertical="center" wrapText="1"/>
      <protection locked="0"/>
    </xf>
    <xf numFmtId="0" fontId="107" fillId="6" borderId="6" xfId="0" applyFont="1" applyFill="1" applyBorder="1" applyAlignment="1" applyProtection="1">
      <alignment horizontal="center" vertical="center" wrapText="1"/>
      <protection locked="0"/>
    </xf>
    <xf numFmtId="14" fontId="122" fillId="6" borderId="6" xfId="0" applyNumberFormat="1" applyFont="1" applyFill="1" applyBorder="1" applyAlignment="1" applyProtection="1">
      <alignment horizontal="center" vertical="center" wrapText="1"/>
      <protection locked="0"/>
    </xf>
    <xf numFmtId="14" fontId="149" fillId="6" borderId="6" xfId="0" applyNumberFormat="1" applyFont="1" applyFill="1" applyBorder="1" applyAlignment="1" applyProtection="1">
      <alignment horizontal="center" vertical="center" wrapText="1"/>
      <protection locked="0"/>
    </xf>
    <xf numFmtId="0" fontId="135" fillId="6" borderId="6" xfId="0" applyFont="1" applyFill="1" applyBorder="1" applyAlignment="1" applyProtection="1">
      <alignment horizontal="center" vertical="center" wrapText="1"/>
      <protection locked="0"/>
    </xf>
    <xf numFmtId="14" fontId="135" fillId="6" borderId="6" xfId="0" applyNumberFormat="1" applyFont="1" applyFill="1" applyBorder="1" applyAlignment="1" applyProtection="1">
      <alignment horizontal="center" vertical="center" wrapText="1"/>
      <protection locked="0"/>
    </xf>
    <xf numFmtId="14" fontId="151" fillId="6" borderId="6" xfId="0" applyNumberFormat="1" applyFont="1" applyFill="1" applyBorder="1" applyAlignment="1" applyProtection="1">
      <alignment horizontal="center" vertical="center" wrapText="1"/>
      <protection locked="0"/>
    </xf>
    <xf numFmtId="14" fontId="153" fillId="6" borderId="6" xfId="0" applyNumberFormat="1" applyFont="1" applyFill="1" applyBorder="1" applyAlignment="1" applyProtection="1">
      <alignment horizontal="center" vertical="center" wrapText="1"/>
      <protection locked="0"/>
    </xf>
    <xf numFmtId="14" fontId="138" fillId="6" borderId="6" xfId="0" applyNumberFormat="1" applyFont="1" applyFill="1" applyBorder="1" applyAlignment="1" applyProtection="1">
      <alignment horizontal="center" vertical="center" wrapText="1"/>
      <protection locked="0"/>
    </xf>
    <xf numFmtId="0" fontId="141" fillId="6" borderId="6" xfId="0" applyFont="1" applyFill="1" applyBorder="1" applyAlignment="1" applyProtection="1">
      <alignment horizontal="center" vertical="center" wrapText="1"/>
      <protection locked="0"/>
    </xf>
    <xf numFmtId="0" fontId="145" fillId="6" borderId="6" xfId="0" applyFont="1" applyFill="1" applyBorder="1" applyAlignment="1" applyProtection="1">
      <alignment horizontal="center" vertical="center" wrapText="1"/>
      <protection locked="0"/>
    </xf>
    <xf numFmtId="14" fontId="160" fillId="0" borderId="6" xfId="0" applyNumberFormat="1" applyFont="1" applyBorder="1" applyAlignment="1" applyProtection="1">
      <alignment horizontal="center" vertical="center"/>
      <protection locked="0"/>
    </xf>
    <xf numFmtId="0" fontId="160" fillId="0" borderId="6" xfId="0" applyFont="1" applyBorder="1" applyAlignment="1" applyProtection="1">
      <alignment horizontal="center" vertical="center" wrapText="1"/>
      <protection locked="0"/>
    </xf>
    <xf numFmtId="1" fontId="160" fillId="0" borderId="6" xfId="0" applyNumberFormat="1" applyFont="1" applyBorder="1" applyAlignment="1" applyProtection="1">
      <alignment horizontal="center" vertical="center"/>
      <protection locked="0"/>
    </xf>
    <xf numFmtId="0" fontId="160" fillId="0" borderId="6" xfId="0" applyFont="1" applyBorder="1" applyAlignment="1" applyProtection="1">
      <alignment horizontal="center" vertical="center"/>
      <protection locked="0"/>
    </xf>
    <xf numFmtId="49" fontId="160" fillId="0" borderId="6" xfId="0" applyNumberFormat="1" applyFont="1" applyBorder="1" applyAlignment="1" applyProtection="1">
      <alignment horizontal="center" vertical="center"/>
      <protection locked="0"/>
    </xf>
    <xf numFmtId="14" fontId="160" fillId="0" borderId="6" xfId="0" applyNumberFormat="1" applyFont="1" applyBorder="1" applyAlignment="1" applyProtection="1">
      <alignment horizontal="center" vertical="center" wrapText="1"/>
      <protection locked="0"/>
    </xf>
    <xf numFmtId="43" fontId="160" fillId="0" borderId="6" xfId="1" applyFont="1" applyFill="1" applyBorder="1" applyAlignment="1" applyProtection="1">
      <alignment horizontal="right" vertical="center"/>
      <protection locked="0"/>
    </xf>
    <xf numFmtId="43" fontId="161" fillId="4" borderId="6" xfId="2" applyNumberFormat="1" applyFont="1" applyFill="1" applyBorder="1" applyAlignment="1" applyProtection="1">
      <alignment horizontal="right" vertical="center"/>
    </xf>
    <xf numFmtId="43" fontId="161" fillId="4" borderId="6" xfId="1" applyFont="1" applyFill="1" applyBorder="1" applyAlignment="1" applyProtection="1">
      <alignment horizontal="right" vertical="center"/>
      <protection locked="0"/>
    </xf>
    <xf numFmtId="4" fontId="160" fillId="0" borderId="6" xfId="1" applyNumberFormat="1" applyFont="1" applyFill="1" applyBorder="1" applyAlignment="1" applyProtection="1">
      <alignment vertical="center"/>
      <protection locked="0"/>
    </xf>
    <xf numFmtId="0" fontId="160" fillId="0" borderId="6" xfId="0" applyFont="1" applyBorder="1" applyAlignment="1">
      <alignment horizontal="center" vertical="center" wrapText="1"/>
    </xf>
    <xf numFmtId="0" fontId="64" fillId="0" borderId="6" xfId="0" applyFont="1" applyBorder="1" applyAlignment="1" applyProtection="1">
      <alignment horizontal="center" vertical="center"/>
      <protection locked="0"/>
    </xf>
    <xf numFmtId="167" fontId="106" fillId="46" borderId="8" xfId="1" applyNumberFormat="1" applyFont="1" applyFill="1" applyBorder="1" applyAlignment="1">
      <alignment horizontal="center" vertical="center"/>
    </xf>
    <xf numFmtId="167" fontId="69" fillId="6" borderId="8" xfId="1" applyNumberFormat="1" applyFont="1" applyFill="1" applyBorder="1" applyAlignment="1">
      <alignment horizontal="center" vertical="center"/>
    </xf>
    <xf numFmtId="44" fontId="163" fillId="0" borderId="3" xfId="1" applyNumberFormat="1" applyFont="1" applyFill="1" applyBorder="1" applyProtection="1">
      <protection locked="0"/>
    </xf>
    <xf numFmtId="44" fontId="163" fillId="0" borderId="3" xfId="1" applyNumberFormat="1" applyFont="1" applyFill="1" applyBorder="1" applyAlignment="1" applyProtection="1">
      <alignment horizontal="right"/>
    </xf>
    <xf numFmtId="44" fontId="163" fillId="4" borderId="3" xfId="1" applyNumberFormat="1" applyFont="1" applyFill="1" applyBorder="1"/>
    <xf numFmtId="44" fontId="163" fillId="0" borderId="3" xfId="1" applyNumberFormat="1" applyFont="1" applyFill="1" applyBorder="1" applyAlignment="1" applyProtection="1">
      <alignment horizontal="center" vertical="center"/>
    </xf>
    <xf numFmtId="14" fontId="164" fillId="0" borderId="6" xfId="0" applyNumberFormat="1" applyFont="1" applyBorder="1" applyAlignment="1" applyProtection="1">
      <alignment horizontal="center" vertical="center"/>
      <protection locked="0"/>
    </xf>
    <xf numFmtId="165" fontId="164" fillId="0" borderId="6" xfId="0" applyNumberFormat="1" applyFont="1" applyBorder="1" applyAlignment="1" applyProtection="1">
      <alignment horizontal="center" vertical="center"/>
      <protection locked="0"/>
    </xf>
    <xf numFmtId="0" fontId="165" fillId="4" borderId="6" xfId="0" applyFont="1" applyFill="1" applyBorder="1" applyAlignment="1">
      <alignment vertical="center" wrapText="1"/>
    </xf>
    <xf numFmtId="0" fontId="164" fillId="0" borderId="6" xfId="0" applyFont="1" applyBorder="1" applyAlignment="1" applyProtection="1">
      <alignment horizontal="center" vertical="center" wrapText="1"/>
      <protection locked="0"/>
    </xf>
    <xf numFmtId="1" fontId="164" fillId="0" borderId="6" xfId="0" applyNumberFormat="1" applyFont="1" applyBorder="1" applyAlignment="1" applyProtection="1">
      <alignment horizontal="center" vertical="center"/>
      <protection locked="0"/>
    </xf>
    <xf numFmtId="0" fontId="164" fillId="0" borderId="6" xfId="0" applyFont="1" applyBorder="1" applyAlignment="1" applyProtection="1">
      <alignment horizontal="center" vertical="center"/>
      <protection locked="0"/>
    </xf>
    <xf numFmtId="49" fontId="164" fillId="0" borderId="6" xfId="0" applyNumberFormat="1" applyFont="1" applyBorder="1" applyAlignment="1" applyProtection="1">
      <alignment horizontal="center" vertical="center"/>
      <protection locked="0"/>
    </xf>
    <xf numFmtId="14" fontId="164" fillId="0" borderId="6" xfId="0" applyNumberFormat="1" applyFont="1" applyBorder="1" applyAlignment="1" applyProtection="1">
      <alignment horizontal="center" vertical="center" wrapText="1"/>
      <protection locked="0"/>
    </xf>
    <xf numFmtId="43" fontId="164" fillId="0" borderId="6" xfId="1" applyFont="1" applyFill="1" applyBorder="1" applyAlignment="1" applyProtection="1">
      <alignment horizontal="right" vertical="center"/>
      <protection locked="0"/>
    </xf>
    <xf numFmtId="43" fontId="165" fillId="4" borderId="6" xfId="2" applyNumberFormat="1" applyFont="1" applyFill="1" applyBorder="1" applyAlignment="1" applyProtection="1">
      <alignment horizontal="right" vertical="center"/>
    </xf>
    <xf numFmtId="43" fontId="165" fillId="4" borderId="6" xfId="1" applyFont="1" applyFill="1" applyBorder="1" applyAlignment="1" applyProtection="1">
      <alignment horizontal="right" vertical="center"/>
      <protection locked="0"/>
    </xf>
    <xf numFmtId="4" fontId="164" fillId="0" borderId="6" xfId="1" applyNumberFormat="1" applyFont="1" applyFill="1" applyBorder="1" applyAlignment="1" applyProtection="1">
      <alignment vertical="center"/>
      <protection locked="0"/>
    </xf>
    <xf numFmtId="0" fontId="164" fillId="0" borderId="6" xfId="0" applyFont="1" applyBorder="1" applyAlignment="1">
      <alignment horizontal="center" vertical="center" wrapText="1"/>
    </xf>
    <xf numFmtId="0" fontId="166" fillId="0" borderId="6" xfId="0" applyFont="1" applyBorder="1" applyAlignment="1" applyProtection="1">
      <alignment horizontal="center" vertical="center"/>
      <protection locked="0"/>
    </xf>
    <xf numFmtId="14" fontId="0" fillId="0" borderId="6" xfId="0" applyNumberFormat="1" applyBorder="1" applyAlignment="1">
      <alignment horizontal="center"/>
    </xf>
    <xf numFmtId="4" fontId="2" fillId="0" borderId="0" xfId="0" applyNumberFormat="1" applyFont="1"/>
    <xf numFmtId="1" fontId="2" fillId="45" borderId="8" xfId="0" applyNumberFormat="1" applyFont="1" applyFill="1" applyBorder="1" applyAlignment="1">
      <alignment horizontal="left" vertical="center" wrapText="1"/>
    </xf>
    <xf numFmtId="1" fontId="2" fillId="0" borderId="8" xfId="0" applyNumberFormat="1" applyFont="1" applyBorder="1" applyAlignment="1">
      <alignment horizontal="left" vertical="center" wrapText="1"/>
    </xf>
    <xf numFmtId="1" fontId="2" fillId="0" borderId="9" xfId="0" applyNumberFormat="1" applyFont="1" applyBorder="1" applyAlignment="1">
      <alignment horizontal="left" vertical="center" wrapText="1"/>
    </xf>
    <xf numFmtId="44" fontId="167" fillId="40" borderId="47" xfId="1" applyNumberFormat="1" applyFont="1" applyFill="1" applyBorder="1"/>
    <xf numFmtId="44" fontId="168" fillId="4" borderId="47" xfId="1" applyNumberFormat="1" applyFont="1" applyFill="1" applyBorder="1" applyAlignment="1">
      <alignment horizontal="right"/>
    </xf>
    <xf numFmtId="44" fontId="165" fillId="4" borderId="47" xfId="1" applyNumberFormat="1" applyFont="1" applyFill="1" applyBorder="1"/>
    <xf numFmtId="44" fontId="165" fillId="5" borderId="47" xfId="1" applyNumberFormat="1" applyFont="1" applyFill="1" applyBorder="1"/>
    <xf numFmtId="1" fontId="0" fillId="6" borderId="47" xfId="0" applyNumberFormat="1" applyFill="1" applyBorder="1" applyAlignment="1">
      <alignment horizontal="center"/>
    </xf>
    <xf numFmtId="44" fontId="8" fillId="3" borderId="47" xfId="1" applyNumberFormat="1" applyFont="1" applyFill="1" applyBorder="1"/>
    <xf numFmtId="0" fontId="0" fillId="6" borderId="47" xfId="0" applyFill="1" applyBorder="1" applyAlignment="1">
      <alignment horizontal="center"/>
    </xf>
    <xf numFmtId="0" fontId="0" fillId="6" borderId="47" xfId="0" applyFill="1" applyBorder="1"/>
    <xf numFmtId="1" fontId="0" fillId="6" borderId="47" xfId="0" applyNumberFormat="1" applyFill="1" applyBorder="1"/>
    <xf numFmtId="44" fontId="0" fillId="6" borderId="47" xfId="1" applyNumberFormat="1" applyFont="1" applyFill="1" applyBorder="1"/>
    <xf numFmtId="44" fontId="157" fillId="6" borderId="47" xfId="1" applyNumberFormat="1" applyFont="1" applyFill="1" applyBorder="1"/>
    <xf numFmtId="44" fontId="167" fillId="6" borderId="47" xfId="1" applyNumberFormat="1" applyFont="1" applyFill="1" applyBorder="1"/>
    <xf numFmtId="0" fontId="69" fillId="0" borderId="15" xfId="0" applyFont="1" applyBorder="1" applyAlignment="1" applyProtection="1">
      <alignment horizontal="center" vertical="center" wrapText="1"/>
      <protection locked="0"/>
    </xf>
    <xf numFmtId="44" fontId="92" fillId="0" borderId="3" xfId="1" applyNumberFormat="1" applyFont="1" applyFill="1" applyBorder="1" applyAlignment="1" applyProtection="1">
      <alignment horizontal="center"/>
      <protection locked="0"/>
    </xf>
    <xf numFmtId="44" fontId="111" fillId="0" borderId="3" xfId="1" applyNumberFormat="1" applyFont="1" applyFill="1" applyBorder="1" applyAlignment="1" applyProtection="1">
      <alignment horizontal="center"/>
      <protection locked="0"/>
    </xf>
    <xf numFmtId="14" fontId="0" fillId="40" borderId="66" xfId="0" applyNumberFormat="1" applyFill="1" applyBorder="1"/>
    <xf numFmtId="44" fontId="45" fillId="0" borderId="3" xfId="1" applyNumberFormat="1" applyFont="1" applyFill="1" applyBorder="1" applyProtection="1"/>
    <xf numFmtId="14" fontId="169" fillId="0" borderId="6" xfId="0" applyNumberFormat="1" applyFont="1" applyBorder="1" applyAlignment="1" applyProtection="1">
      <alignment horizontal="center" vertical="center"/>
      <protection locked="0"/>
    </xf>
    <xf numFmtId="0" fontId="169" fillId="0" borderId="6" xfId="0" applyFont="1" applyBorder="1" applyAlignment="1" applyProtection="1">
      <alignment horizontal="center" vertical="center" wrapText="1"/>
      <protection locked="0"/>
    </xf>
    <xf numFmtId="14" fontId="169" fillId="0" borderId="6" xfId="0" applyNumberFormat="1" applyFont="1" applyBorder="1" applyAlignment="1" applyProtection="1">
      <alignment horizontal="center" vertical="center" wrapText="1"/>
      <protection locked="0"/>
    </xf>
    <xf numFmtId="43" fontId="169" fillId="0" borderId="6" xfId="1" applyFont="1" applyFill="1" applyBorder="1" applyAlignment="1" applyProtection="1">
      <alignment horizontal="right" vertical="center"/>
      <protection locked="0"/>
    </xf>
    <xf numFmtId="43" fontId="170" fillId="4" borderId="6" xfId="2" applyNumberFormat="1" applyFont="1" applyFill="1" applyBorder="1" applyAlignment="1" applyProtection="1">
      <alignment horizontal="right" vertical="center"/>
    </xf>
    <xf numFmtId="43" fontId="170" fillId="4" borderId="6" xfId="1" applyFont="1" applyFill="1" applyBorder="1" applyAlignment="1" applyProtection="1">
      <alignment horizontal="right" vertical="center"/>
      <protection locked="0"/>
    </xf>
    <xf numFmtId="4" fontId="169" fillId="0" borderId="6" xfId="1" applyNumberFormat="1" applyFont="1" applyFill="1" applyBorder="1" applyAlignment="1" applyProtection="1">
      <alignment vertical="center"/>
      <protection locked="0"/>
    </xf>
    <xf numFmtId="0" fontId="169" fillId="0" borderId="6" xfId="0" applyFont="1" applyBorder="1" applyAlignment="1">
      <alignment horizontal="center" vertical="center" wrapText="1"/>
    </xf>
    <xf numFmtId="0" fontId="171" fillId="0" borderId="6" xfId="0" applyFont="1" applyBorder="1" applyAlignment="1" applyProtection="1">
      <alignment horizontal="center" vertical="center"/>
      <protection locked="0"/>
    </xf>
    <xf numFmtId="0" fontId="0" fillId="0" borderId="48" xfId="0" applyBorder="1"/>
    <xf numFmtId="4" fontId="94" fillId="0" borderId="0" xfId="1" applyNumberFormat="1" applyFont="1" applyFill="1" applyBorder="1" applyAlignment="1" applyProtection="1">
      <alignment vertical="center"/>
      <protection locked="0"/>
    </xf>
    <xf numFmtId="4" fontId="12" fillId="0" borderId="3" xfId="0" applyNumberFormat="1" applyFont="1" applyBorder="1"/>
    <xf numFmtId="0" fontId="109" fillId="0" borderId="15" xfId="0" applyFont="1" applyBorder="1" applyAlignment="1" applyProtection="1">
      <alignment horizontal="center" vertical="center"/>
      <protection locked="0"/>
    </xf>
    <xf numFmtId="49" fontId="13" fillId="6" borderId="48" xfId="0" applyNumberFormat="1" applyFont="1" applyFill="1" applyBorder="1" applyProtection="1">
      <protection locked="0"/>
    </xf>
    <xf numFmtId="1" fontId="2" fillId="6" borderId="6" xfId="0" applyNumberFormat="1" applyFont="1" applyFill="1" applyBorder="1" applyAlignment="1" applyProtection="1">
      <alignment horizontal="center" vertical="center"/>
      <protection locked="0"/>
    </xf>
    <xf numFmtId="1" fontId="107" fillId="6" borderId="6" xfId="0" applyNumberFormat="1" applyFont="1" applyFill="1" applyBorder="1" applyAlignment="1" applyProtection="1">
      <alignment horizontal="center" vertical="center"/>
      <protection locked="0"/>
    </xf>
    <xf numFmtId="14" fontId="107" fillId="6" borderId="6" xfId="0" applyNumberFormat="1" applyFont="1" applyFill="1" applyBorder="1" applyAlignment="1" applyProtection="1">
      <alignment horizontal="center" vertical="center"/>
      <protection locked="0"/>
    </xf>
    <xf numFmtId="14" fontId="107" fillId="0" borderId="15" xfId="0" applyNumberFormat="1" applyFont="1" applyBorder="1" applyAlignment="1" applyProtection="1">
      <alignment horizontal="center" vertical="center"/>
      <protection locked="0"/>
    </xf>
    <xf numFmtId="1" fontId="107" fillId="0" borderId="15" xfId="0" applyNumberFormat="1" applyFont="1" applyBorder="1" applyAlignment="1" applyProtection="1">
      <alignment horizontal="center" vertical="center"/>
      <protection locked="0"/>
    </xf>
    <xf numFmtId="14" fontId="107" fillId="0" borderId="15" xfId="0" applyNumberFormat="1" applyFont="1" applyBorder="1" applyAlignment="1" applyProtection="1">
      <alignment horizontal="center" vertical="center" wrapText="1"/>
      <protection locked="0"/>
    </xf>
    <xf numFmtId="43" fontId="107" fillId="0" borderId="15" xfId="1" applyFont="1" applyFill="1" applyBorder="1" applyAlignment="1" applyProtection="1">
      <alignment horizontal="right" vertical="center"/>
      <protection locked="0"/>
    </xf>
    <xf numFmtId="4" fontId="122" fillId="0" borderId="0" xfId="1" applyNumberFormat="1" applyFont="1" applyFill="1" applyBorder="1" applyAlignment="1" applyProtection="1">
      <alignment vertical="center"/>
      <protection locked="0"/>
    </xf>
    <xf numFmtId="4" fontId="99" fillId="0" borderId="0" xfId="1" applyNumberFormat="1" applyFont="1" applyFill="1" applyBorder="1" applyAlignment="1" applyProtection="1">
      <alignment vertical="center"/>
      <protection locked="0"/>
    </xf>
    <xf numFmtId="14" fontId="107" fillId="6" borderId="15" xfId="0" applyNumberFormat="1" applyFont="1" applyFill="1" applyBorder="1" applyAlignment="1" applyProtection="1">
      <alignment horizontal="center" vertical="center" wrapText="1"/>
      <protection locked="0"/>
    </xf>
    <xf numFmtId="43" fontId="2" fillId="0" borderId="6" xfId="1" applyFont="1" applyFill="1" applyBorder="1" applyAlignment="1" applyProtection="1">
      <alignment horizontal="center" vertical="center"/>
      <protection locked="0"/>
    </xf>
    <xf numFmtId="0" fontId="124" fillId="0" borderId="7" xfId="0" applyFont="1" applyBorder="1" applyAlignment="1" applyProtection="1">
      <alignment horizontal="center" vertical="center"/>
      <protection locked="0"/>
    </xf>
    <xf numFmtId="4" fontId="53" fillId="0" borderId="15" xfId="1" applyNumberFormat="1" applyFont="1" applyFill="1" applyBorder="1" applyAlignment="1" applyProtection="1">
      <alignment horizontal="right" vertical="center"/>
    </xf>
    <xf numFmtId="0" fontId="79" fillId="0" borderId="7" xfId="0" applyFont="1" applyBorder="1" applyAlignment="1" applyProtection="1">
      <alignment horizontal="center" vertical="center"/>
      <protection locked="0"/>
    </xf>
    <xf numFmtId="0" fontId="2" fillId="0" borderId="7" xfId="0" applyFont="1" applyBorder="1" applyAlignment="1" applyProtection="1">
      <alignment horizontal="center" vertical="center" wrapText="1"/>
      <protection locked="0"/>
    </xf>
    <xf numFmtId="44" fontId="172" fillId="0" borderId="3" xfId="1" applyNumberFormat="1" applyFont="1" applyFill="1" applyBorder="1" applyProtection="1">
      <protection locked="0"/>
    </xf>
    <xf numFmtId="44" fontId="172" fillId="4" borderId="3" xfId="1" applyNumberFormat="1" applyFont="1" applyFill="1" applyBorder="1"/>
    <xf numFmtId="14" fontId="0" fillId="0" borderId="0" xfId="0" applyNumberFormat="1" applyAlignment="1" applyProtection="1">
      <alignment horizontal="left"/>
      <protection locked="0"/>
    </xf>
    <xf numFmtId="14" fontId="173" fillId="0" borderId="12" xfId="0" applyNumberFormat="1" applyFont="1" applyBorder="1" applyAlignment="1">
      <alignment horizontal="center"/>
    </xf>
    <xf numFmtId="1" fontId="173" fillId="0" borderId="3" xfId="0" applyNumberFormat="1" applyFont="1" applyBorder="1" applyAlignment="1" applyProtection="1">
      <alignment horizontal="center"/>
      <protection locked="0"/>
    </xf>
    <xf numFmtId="44" fontId="173" fillId="0" borderId="3" xfId="1" applyNumberFormat="1" applyFont="1" applyFill="1" applyBorder="1" applyAlignment="1" applyProtection="1">
      <protection locked="0"/>
    </xf>
    <xf numFmtId="44" fontId="2" fillId="0" borderId="3" xfId="1" applyNumberFormat="1" applyFont="1" applyFill="1" applyBorder="1" applyProtection="1">
      <protection locked="0"/>
    </xf>
    <xf numFmtId="44" fontId="2" fillId="0" borderId="3" xfId="1" applyNumberFormat="1" applyFont="1" applyFill="1" applyBorder="1" applyProtection="1"/>
    <xf numFmtId="44" fontId="2" fillId="0" borderId="3" xfId="1" applyNumberFormat="1" applyFont="1" applyFill="1" applyBorder="1" applyAlignment="1" applyProtection="1">
      <alignment horizontal="center" vertical="center"/>
    </xf>
    <xf numFmtId="44" fontId="2" fillId="4" borderId="3" xfId="1" applyNumberFormat="1" applyFont="1" applyFill="1" applyBorder="1"/>
    <xf numFmtId="0" fontId="2" fillId="41" borderId="0" xfId="0" applyFont="1" applyFill="1" applyAlignment="1">
      <alignment horizontal="left"/>
    </xf>
    <xf numFmtId="43" fontId="2" fillId="41" borderId="0" xfId="0" applyNumberFormat="1" applyFont="1" applyFill="1" applyAlignment="1">
      <alignment horizontal="left"/>
    </xf>
    <xf numFmtId="14" fontId="0" fillId="0" borderId="3" xfId="0" applyNumberFormat="1" applyBorder="1"/>
    <xf numFmtId="14" fontId="0" fillId="0" borderId="0" xfId="0" applyNumberFormat="1" applyAlignment="1" applyProtection="1">
      <alignment horizontal="center"/>
      <protection locked="0"/>
    </xf>
    <xf numFmtId="0" fontId="0" fillId="0" borderId="60" xfId="0" applyBorder="1" applyAlignment="1">
      <alignment horizontal="center"/>
    </xf>
    <xf numFmtId="1" fontId="13" fillId="0" borderId="48" xfId="0" applyNumberFormat="1" applyFont="1" applyBorder="1" applyAlignment="1" applyProtection="1">
      <alignment horizontal="left"/>
      <protection locked="0"/>
    </xf>
    <xf numFmtId="49" fontId="13" fillId="0" borderId="12" xfId="0" applyNumberFormat="1" applyFont="1" applyBorder="1" applyProtection="1">
      <protection locked="0"/>
    </xf>
    <xf numFmtId="14" fontId="174" fillId="0" borderId="6" xfId="0" applyNumberFormat="1" applyFont="1" applyBorder="1" applyAlignment="1" applyProtection="1">
      <alignment horizontal="center" vertical="center"/>
      <protection locked="0"/>
    </xf>
    <xf numFmtId="0" fontId="174" fillId="0" borderId="6" xfId="0" applyFont="1" applyBorder="1" applyAlignment="1" applyProtection="1">
      <alignment horizontal="center" vertical="center" wrapText="1"/>
      <protection locked="0"/>
    </xf>
    <xf numFmtId="14" fontId="174" fillId="0" borderId="6" xfId="0" applyNumberFormat="1" applyFont="1" applyBorder="1" applyAlignment="1" applyProtection="1">
      <alignment horizontal="center" vertical="center" wrapText="1"/>
      <protection locked="0"/>
    </xf>
    <xf numFmtId="43" fontId="174" fillId="0" borderId="6" xfId="1" applyFont="1" applyFill="1" applyBorder="1" applyAlignment="1" applyProtection="1">
      <alignment horizontal="right" vertical="center"/>
      <protection locked="0"/>
    </xf>
    <xf numFmtId="43" fontId="175" fillId="4" borderId="6" xfId="2" applyNumberFormat="1" applyFont="1" applyFill="1" applyBorder="1" applyAlignment="1" applyProtection="1">
      <alignment horizontal="right" vertical="center"/>
    </xf>
    <xf numFmtId="43" fontId="175" fillId="4" borderId="6" xfId="1" applyFont="1" applyFill="1" applyBorder="1" applyAlignment="1" applyProtection="1">
      <alignment horizontal="right" vertical="center"/>
      <protection locked="0"/>
    </xf>
    <xf numFmtId="4" fontId="174" fillId="0" borderId="6" xfId="1" applyNumberFormat="1" applyFont="1" applyFill="1" applyBorder="1" applyAlignment="1" applyProtection="1">
      <alignment vertical="center"/>
      <protection locked="0"/>
    </xf>
    <xf numFmtId="0" fontId="174" fillId="0" borderId="6" xfId="0" applyFont="1" applyBorder="1" applyAlignment="1">
      <alignment horizontal="center" vertical="center" wrapText="1"/>
    </xf>
    <xf numFmtId="0" fontId="176" fillId="0" borderId="6" xfId="0" applyFont="1" applyBorder="1" applyAlignment="1" applyProtection="1">
      <alignment horizontal="center" vertical="center"/>
      <protection locked="0"/>
    </xf>
    <xf numFmtId="44" fontId="102" fillId="0" borderId="3" xfId="1" applyNumberFormat="1" applyFont="1" applyFill="1" applyBorder="1" applyAlignment="1" applyProtection="1">
      <protection locked="0"/>
    </xf>
    <xf numFmtId="44" fontId="0" fillId="4" borderId="3" xfId="1" applyNumberFormat="1" applyFont="1" applyFill="1" applyBorder="1" applyAlignment="1"/>
    <xf numFmtId="44" fontId="45" fillId="0" borderId="3" xfId="2" applyFont="1" applyFill="1" applyBorder="1" applyAlignment="1" applyProtection="1">
      <protection locked="0"/>
    </xf>
    <xf numFmtId="44" fontId="110" fillId="0" borderId="3" xfId="1" applyNumberFormat="1" applyFont="1" applyFill="1" applyBorder="1" applyAlignment="1" applyProtection="1">
      <protection locked="0"/>
    </xf>
    <xf numFmtId="4" fontId="174" fillId="0" borderId="6" xfId="0" applyNumberFormat="1" applyFont="1" applyBorder="1" applyAlignment="1" applyProtection="1">
      <alignment horizontal="center" vertical="center" wrapText="1"/>
      <protection locked="0"/>
    </xf>
    <xf numFmtId="14" fontId="128" fillId="6" borderId="6" xfId="0" applyNumberFormat="1" applyFont="1" applyFill="1" applyBorder="1" applyAlignment="1" applyProtection="1">
      <alignment horizontal="center" vertical="center" wrapText="1"/>
      <protection locked="0"/>
    </xf>
    <xf numFmtId="0" fontId="0" fillId="0" borderId="6" xfId="0" applyBorder="1" applyAlignment="1">
      <alignment horizontal="center"/>
    </xf>
    <xf numFmtId="44" fontId="1" fillId="0" borderId="3" xfId="1" applyNumberFormat="1" applyFont="1" applyFill="1" applyBorder="1" applyProtection="1"/>
    <xf numFmtId="44" fontId="177" fillId="0" borderId="3" xfId="1" applyNumberFormat="1" applyFont="1" applyFill="1" applyBorder="1" applyProtection="1">
      <protection locked="0"/>
    </xf>
    <xf numFmtId="44" fontId="177" fillId="0" borderId="3" xfId="1" applyNumberFormat="1" applyFont="1" applyFill="1" applyBorder="1" applyAlignment="1" applyProtection="1">
      <alignment horizontal="right"/>
    </xf>
    <xf numFmtId="44" fontId="177" fillId="4" borderId="3" xfId="1" applyNumberFormat="1" applyFont="1" applyFill="1" applyBorder="1"/>
    <xf numFmtId="44" fontId="177" fillId="0" borderId="3" xfId="1" applyNumberFormat="1" applyFont="1" applyFill="1" applyBorder="1" applyAlignment="1" applyProtection="1">
      <alignment horizontal="center" vertical="center"/>
    </xf>
    <xf numFmtId="44" fontId="0" fillId="0" borderId="3" xfId="1" applyNumberFormat="1" applyFont="1" applyFill="1" applyBorder="1" applyAlignment="1" applyProtection="1">
      <alignment horizontal="center" vertical="center"/>
    </xf>
    <xf numFmtId="14" fontId="178" fillId="0" borderId="12" xfId="0" applyNumberFormat="1" applyFont="1" applyBorder="1" applyAlignment="1">
      <alignment horizontal="center"/>
    </xf>
    <xf numFmtId="1" fontId="178" fillId="4" borderId="3" xfId="0" applyNumberFormat="1" applyFont="1" applyFill="1" applyBorder="1" applyAlignment="1">
      <alignment horizontal="center"/>
    </xf>
    <xf numFmtId="1" fontId="178" fillId="4" borderId="12" xfId="0" applyNumberFormat="1" applyFont="1" applyFill="1" applyBorder="1" applyAlignment="1">
      <alignment horizontal="center"/>
    </xf>
    <xf numFmtId="1" fontId="178" fillId="0" borderId="3" xfId="0" applyNumberFormat="1" applyFont="1" applyBorder="1" applyAlignment="1" applyProtection="1">
      <alignment horizontal="center"/>
      <protection locked="0"/>
    </xf>
    <xf numFmtId="49" fontId="178" fillId="0" borderId="48" xfId="0" applyNumberFormat="1" applyFont="1" applyBorder="1" applyAlignment="1" applyProtection="1">
      <alignment horizontal="left"/>
      <protection locked="0"/>
    </xf>
    <xf numFmtId="44" fontId="178" fillId="0" borderId="3" xfId="1" applyNumberFormat="1" applyFont="1" applyFill="1" applyBorder="1" applyAlignment="1" applyProtection="1">
      <protection locked="0"/>
    </xf>
    <xf numFmtId="44" fontId="178" fillId="0" borderId="70" xfId="1" applyNumberFormat="1" applyFont="1" applyFill="1" applyBorder="1" applyAlignment="1" applyProtection="1"/>
    <xf numFmtId="0" fontId="0" fillId="6" borderId="0" xfId="0" applyFill="1" applyAlignment="1">
      <alignment horizontal="right"/>
    </xf>
    <xf numFmtId="44" fontId="45" fillId="6" borderId="3" xfId="1" applyNumberFormat="1" applyFont="1" applyFill="1" applyBorder="1" applyProtection="1">
      <protection locked="0"/>
    </xf>
    <xf numFmtId="44" fontId="2" fillId="6" borderId="3" xfId="1" applyNumberFormat="1" applyFont="1" applyFill="1" applyBorder="1" applyProtection="1">
      <protection locked="0"/>
    </xf>
    <xf numFmtId="44" fontId="45" fillId="6" borderId="3" xfId="2" applyFont="1" applyFill="1" applyBorder="1" applyProtection="1">
      <protection locked="0"/>
    </xf>
    <xf numFmtId="44" fontId="13" fillId="47" borderId="3" xfId="1" applyNumberFormat="1" applyFont="1" applyFill="1" applyBorder="1" applyAlignment="1" applyProtection="1"/>
    <xf numFmtId="44" fontId="8" fillId="4" borderId="50" xfId="1" applyNumberFormat="1" applyFont="1" applyFill="1" applyBorder="1"/>
    <xf numFmtId="44" fontId="8" fillId="4" borderId="71" xfId="1" applyNumberFormat="1" applyFont="1" applyFill="1" applyBorder="1"/>
    <xf numFmtId="2" fontId="2" fillId="0" borderId="6" xfId="0" applyNumberFormat="1" applyFont="1" applyBorder="1" applyAlignment="1" applyProtection="1">
      <alignment horizontal="center" vertical="center"/>
      <protection locked="0"/>
    </xf>
    <xf numFmtId="14" fontId="0" fillId="0" borderId="60" xfId="0" applyNumberFormat="1" applyBorder="1" applyAlignment="1" applyProtection="1">
      <alignment horizontal="center"/>
      <protection locked="0"/>
    </xf>
    <xf numFmtId="44" fontId="0" fillId="0" borderId="60" xfId="1" applyNumberFormat="1" applyFont="1" applyFill="1" applyBorder="1" applyProtection="1">
      <protection locked="0"/>
    </xf>
    <xf numFmtId="44" fontId="0" fillId="0" borderId="60" xfId="1" applyNumberFormat="1" applyFont="1" applyFill="1" applyBorder="1" applyAlignment="1" applyProtection="1">
      <alignment horizontal="right"/>
    </xf>
    <xf numFmtId="44" fontId="0" fillId="4" borderId="60" xfId="1" applyNumberFormat="1" applyFont="1" applyFill="1" applyBorder="1"/>
    <xf numFmtId="44" fontId="0" fillId="0" borderId="60" xfId="1" applyNumberFormat="1" applyFont="1" applyFill="1" applyBorder="1" applyAlignment="1" applyProtection="1">
      <alignment horizontal="center" vertical="center"/>
    </xf>
    <xf numFmtId="44" fontId="179" fillId="0" borderId="60" xfId="1" applyNumberFormat="1" applyFont="1" applyFill="1" applyBorder="1" applyProtection="1">
      <protection locked="0"/>
    </xf>
    <xf numFmtId="44" fontId="179" fillId="0" borderId="60" xfId="1" applyNumberFormat="1" applyFont="1" applyFill="1" applyBorder="1" applyAlignment="1" applyProtection="1">
      <alignment horizontal="right"/>
    </xf>
    <xf numFmtId="44" fontId="179" fillId="4" borderId="60" xfId="1" applyNumberFormat="1" applyFont="1" applyFill="1" applyBorder="1"/>
    <xf numFmtId="44" fontId="179" fillId="0" borderId="60" xfId="1" applyNumberFormat="1" applyFont="1" applyFill="1" applyBorder="1" applyAlignment="1" applyProtection="1">
      <alignment horizontal="center" vertical="center"/>
    </xf>
    <xf numFmtId="0" fontId="12" fillId="0" borderId="0" xfId="0" applyFont="1" applyAlignment="1">
      <alignment wrapText="1"/>
    </xf>
    <xf numFmtId="14" fontId="180" fillId="0" borderId="6" xfId="0" applyNumberFormat="1" applyFont="1" applyBorder="1" applyAlignment="1" applyProtection="1">
      <alignment horizontal="center" vertical="center"/>
      <protection locked="0"/>
    </xf>
    <xf numFmtId="0" fontId="180" fillId="0" borderId="6" xfId="0" applyFont="1" applyBorder="1" applyAlignment="1" applyProtection="1">
      <alignment horizontal="center" vertical="center" wrapText="1"/>
      <protection locked="0"/>
    </xf>
    <xf numFmtId="14" fontId="180" fillId="0" borderId="6" xfId="0" applyNumberFormat="1" applyFont="1" applyBorder="1" applyAlignment="1" applyProtection="1">
      <alignment horizontal="center" vertical="center" wrapText="1"/>
      <protection locked="0"/>
    </xf>
    <xf numFmtId="43" fontId="180" fillId="0" borderId="6" xfId="1" applyFont="1" applyFill="1" applyBorder="1" applyAlignment="1" applyProtection="1">
      <alignment horizontal="right" vertical="center"/>
      <protection locked="0"/>
    </xf>
    <xf numFmtId="43" fontId="181" fillId="4" borderId="6" xfId="2" applyNumberFormat="1" applyFont="1" applyFill="1" applyBorder="1" applyAlignment="1" applyProtection="1">
      <alignment horizontal="right" vertical="center"/>
    </xf>
    <xf numFmtId="43" fontId="181" fillId="4" borderId="6" xfId="1" applyFont="1" applyFill="1" applyBorder="1" applyAlignment="1" applyProtection="1">
      <alignment horizontal="right" vertical="center"/>
      <protection locked="0"/>
    </xf>
    <xf numFmtId="4" fontId="180" fillId="0" borderId="6" xfId="1" applyNumberFormat="1" applyFont="1" applyFill="1" applyBorder="1" applyAlignment="1" applyProtection="1">
      <alignment vertical="center"/>
      <protection locked="0"/>
    </xf>
    <xf numFmtId="0" fontId="180" fillId="0" borderId="6" xfId="0" applyFont="1" applyBorder="1" applyAlignment="1">
      <alignment horizontal="center" vertical="center" wrapText="1"/>
    </xf>
    <xf numFmtId="0" fontId="182" fillId="0" borderId="6" xfId="0" applyFont="1" applyBorder="1" applyAlignment="1" applyProtection="1">
      <alignment horizontal="center" vertical="center"/>
      <protection locked="0"/>
    </xf>
    <xf numFmtId="0" fontId="90" fillId="0" borderId="15" xfId="0" applyFont="1" applyBorder="1" applyAlignment="1" applyProtection="1">
      <alignment horizontal="center" vertical="center"/>
      <protection locked="0"/>
    </xf>
    <xf numFmtId="43" fontId="2" fillId="0" borderId="0" xfId="1" applyFont="1" applyFill="1" applyBorder="1" applyAlignment="1" applyProtection="1">
      <alignment horizontal="right" vertical="center"/>
      <protection locked="0"/>
    </xf>
    <xf numFmtId="4" fontId="53" fillId="0" borderId="0" xfId="1" applyNumberFormat="1" applyFont="1" applyFill="1" applyBorder="1" applyAlignment="1" applyProtection="1">
      <alignment horizontal="right" vertical="center"/>
      <protection locked="0"/>
    </xf>
    <xf numFmtId="4" fontId="2" fillId="0" borderId="0" xfId="1" applyNumberFormat="1" applyFont="1" applyFill="1" applyBorder="1" applyAlignment="1" applyProtection="1">
      <alignment vertical="center"/>
      <protection locked="0"/>
    </xf>
    <xf numFmtId="14" fontId="2" fillId="0" borderId="0" xfId="0" applyNumberFormat="1" applyFont="1" applyAlignment="1" applyProtection="1">
      <alignment horizontal="center" vertical="center" wrapText="1"/>
      <protection locked="0"/>
    </xf>
    <xf numFmtId="0" fontId="43" fillId="0" borderId="63" xfId="0" applyFont="1" applyBorder="1" applyAlignment="1" applyProtection="1">
      <alignment horizontal="center" vertical="center"/>
      <protection locked="0"/>
    </xf>
    <xf numFmtId="0" fontId="162" fillId="0" borderId="6" xfId="0" applyFont="1" applyBorder="1" applyAlignment="1" applyProtection="1">
      <alignment horizontal="center" vertical="center"/>
      <protection locked="0"/>
    </xf>
    <xf numFmtId="14" fontId="183" fillId="0" borderId="12" xfId="0" applyNumberFormat="1" applyFont="1" applyBorder="1" applyAlignment="1">
      <alignment horizontal="center"/>
    </xf>
    <xf numFmtId="1" fontId="183" fillId="4" borderId="3" xfId="0" applyNumberFormat="1" applyFont="1" applyFill="1" applyBorder="1" applyAlignment="1">
      <alignment horizontal="center"/>
    </xf>
    <xf numFmtId="1" fontId="183" fillId="4" borderId="12" xfId="0" applyNumberFormat="1" applyFont="1" applyFill="1" applyBorder="1" applyAlignment="1">
      <alignment horizontal="center"/>
    </xf>
    <xf numFmtId="1" fontId="183" fillId="0" borderId="3" xfId="0" applyNumberFormat="1" applyFont="1" applyBorder="1" applyAlignment="1" applyProtection="1">
      <alignment horizontal="center"/>
      <protection locked="0"/>
    </xf>
    <xf numFmtId="49" fontId="183" fillId="0" borderId="48" xfId="0" applyNumberFormat="1" applyFont="1" applyBorder="1" applyAlignment="1" applyProtection="1">
      <alignment horizontal="left"/>
      <protection locked="0"/>
    </xf>
    <xf numFmtId="44" fontId="183" fillId="0" borderId="3" xfId="1" applyNumberFormat="1" applyFont="1" applyFill="1" applyBorder="1" applyAlignment="1" applyProtection="1">
      <protection locked="0"/>
    </xf>
    <xf numFmtId="44" fontId="183" fillId="0" borderId="70" xfId="1" applyNumberFormat="1" applyFont="1" applyFill="1" applyBorder="1" applyAlignment="1" applyProtection="1"/>
    <xf numFmtId="44" fontId="179" fillId="0" borderId="3" xfId="1" applyNumberFormat="1" applyFont="1" applyFill="1" applyBorder="1" applyProtection="1">
      <protection locked="0"/>
    </xf>
    <xf numFmtId="44" fontId="179" fillId="0" borderId="3" xfId="1" applyNumberFormat="1" applyFont="1" applyFill="1" applyBorder="1" applyAlignment="1" applyProtection="1">
      <alignment horizontal="right"/>
    </xf>
    <xf numFmtId="44" fontId="179" fillId="4" borderId="3" xfId="1" applyNumberFormat="1" applyFont="1" applyFill="1" applyBorder="1"/>
    <xf numFmtId="44" fontId="179" fillId="0" borderId="3" xfId="1" applyNumberFormat="1" applyFont="1" applyFill="1" applyBorder="1" applyAlignment="1" applyProtection="1">
      <alignment horizontal="center" vertical="center"/>
    </xf>
    <xf numFmtId="0" fontId="12" fillId="0" borderId="60" xfId="0" applyFont="1" applyBorder="1" applyProtection="1">
      <protection locked="0"/>
    </xf>
    <xf numFmtId="0" fontId="12" fillId="0" borderId="60" xfId="0" applyFont="1" applyBorder="1" applyAlignment="1" applyProtection="1">
      <alignment horizontal="left"/>
      <protection locked="0"/>
    </xf>
    <xf numFmtId="44" fontId="102" fillId="0" borderId="0" xfId="1" applyNumberFormat="1" applyFont="1" applyFill="1" applyBorder="1" applyAlignment="1" applyProtection="1">
      <protection locked="0"/>
    </xf>
    <xf numFmtId="1" fontId="183" fillId="0" borderId="12" xfId="0" applyNumberFormat="1" applyFont="1" applyBorder="1" applyAlignment="1" applyProtection="1">
      <alignment horizontal="center"/>
      <protection locked="0"/>
    </xf>
    <xf numFmtId="167" fontId="69" fillId="48" borderId="8" xfId="1" applyNumberFormat="1" applyFont="1" applyFill="1" applyBorder="1" applyAlignment="1">
      <alignment horizontal="center" vertical="center"/>
    </xf>
    <xf numFmtId="1" fontId="13" fillId="48" borderId="8" xfId="0" applyNumberFormat="1" applyFont="1" applyFill="1" applyBorder="1" applyAlignment="1">
      <alignment horizontal="left" vertical="center" wrapText="1"/>
    </xf>
    <xf numFmtId="167" fontId="69" fillId="46" borderId="15" xfId="1" applyNumberFormat="1" applyFont="1" applyFill="1" applyBorder="1" applyAlignment="1">
      <alignment horizontal="center" vertical="center"/>
    </xf>
    <xf numFmtId="167" fontId="69" fillId="46" borderId="8" xfId="1" applyNumberFormat="1" applyFont="1" applyFill="1" applyBorder="1" applyAlignment="1">
      <alignment horizontal="center" vertical="center"/>
    </xf>
    <xf numFmtId="165" fontId="180" fillId="0" borderId="6" xfId="0" applyNumberFormat="1" applyFont="1" applyBorder="1" applyAlignment="1" applyProtection="1">
      <alignment horizontal="center" vertical="center"/>
      <protection locked="0"/>
    </xf>
    <xf numFmtId="0" fontId="181" fillId="4" borderId="6" xfId="0" applyFont="1" applyFill="1" applyBorder="1" applyAlignment="1">
      <alignment vertical="center" wrapText="1"/>
    </xf>
    <xf numFmtId="1" fontId="180" fillId="0" borderId="6" xfId="0" applyNumberFormat="1" applyFont="1" applyBorder="1" applyAlignment="1" applyProtection="1">
      <alignment horizontal="center" vertical="center"/>
      <protection locked="0"/>
    </xf>
    <xf numFmtId="0" fontId="180" fillId="0" borderId="6" xfId="0" applyFont="1" applyBorder="1" applyAlignment="1" applyProtection="1">
      <alignment horizontal="center" vertical="center"/>
      <protection locked="0"/>
    </xf>
    <xf numFmtId="14" fontId="145" fillId="6" borderId="6" xfId="0" applyNumberFormat="1" applyFont="1" applyFill="1" applyBorder="1" applyAlignment="1" applyProtection="1">
      <alignment horizontal="center" vertical="center" wrapText="1"/>
      <protection locked="0"/>
    </xf>
    <xf numFmtId="49" fontId="180" fillId="0" borderId="6" xfId="0" applyNumberFormat="1" applyFont="1" applyBorder="1" applyAlignment="1" applyProtection="1">
      <alignment horizontal="center" vertical="center"/>
      <protection locked="0"/>
    </xf>
    <xf numFmtId="14" fontId="184" fillId="0" borderId="6" xfId="0" applyNumberFormat="1" applyFont="1" applyBorder="1" applyAlignment="1" applyProtection="1">
      <alignment horizontal="center" vertical="center"/>
      <protection locked="0"/>
    </xf>
    <xf numFmtId="165" fontId="184" fillId="0" borderId="6" xfId="0" applyNumberFormat="1" applyFont="1" applyBorder="1" applyAlignment="1" applyProtection="1">
      <alignment horizontal="center" vertical="center"/>
      <protection locked="0"/>
    </xf>
    <xf numFmtId="0" fontId="185" fillId="4" borderId="6" xfId="0" applyFont="1" applyFill="1" applyBorder="1" applyAlignment="1">
      <alignment vertical="center" wrapText="1"/>
    </xf>
    <xf numFmtId="0" fontId="184" fillId="0" borderId="6" xfId="0" applyFont="1" applyBorder="1" applyAlignment="1" applyProtection="1">
      <alignment horizontal="center" vertical="center" wrapText="1"/>
      <protection locked="0"/>
    </xf>
    <xf numFmtId="1" fontId="184" fillId="0" borderId="6" xfId="0" applyNumberFormat="1" applyFont="1" applyBorder="1" applyAlignment="1" applyProtection="1">
      <alignment horizontal="center" vertical="center"/>
      <protection locked="0"/>
    </xf>
    <xf numFmtId="0" fontId="184" fillId="0" borderId="6" xfId="0" applyFont="1" applyBorder="1" applyAlignment="1" applyProtection="1">
      <alignment horizontal="center" vertical="center"/>
      <protection locked="0"/>
    </xf>
    <xf numFmtId="14" fontId="184" fillId="0" borderId="6" xfId="0" applyNumberFormat="1" applyFont="1" applyBorder="1" applyAlignment="1" applyProtection="1">
      <alignment horizontal="center" vertical="center" wrapText="1"/>
      <protection locked="0"/>
    </xf>
    <xf numFmtId="43" fontId="184" fillId="0" borderId="6" xfId="1" applyFont="1" applyFill="1" applyBorder="1" applyAlignment="1" applyProtection="1">
      <alignment horizontal="right" vertical="center"/>
      <protection locked="0"/>
    </xf>
    <xf numFmtId="43" fontId="185" fillId="4" borderId="6" xfId="2" applyNumberFormat="1" applyFont="1" applyFill="1" applyBorder="1" applyAlignment="1" applyProtection="1">
      <alignment horizontal="right" vertical="center"/>
    </xf>
    <xf numFmtId="43" fontId="185" fillId="4" borderId="6" xfId="1" applyFont="1" applyFill="1" applyBorder="1" applyAlignment="1" applyProtection="1">
      <alignment horizontal="right" vertical="center"/>
      <protection locked="0"/>
    </xf>
    <xf numFmtId="4" fontId="184" fillId="0" borderId="6" xfId="1" applyNumberFormat="1" applyFont="1" applyFill="1" applyBorder="1" applyAlignment="1" applyProtection="1">
      <alignment vertical="center"/>
      <protection locked="0"/>
    </xf>
    <xf numFmtId="0" fontId="184" fillId="0" borderId="6" xfId="0" applyFont="1" applyBorder="1" applyAlignment="1">
      <alignment horizontal="center" vertical="center" wrapText="1"/>
    </xf>
    <xf numFmtId="0" fontId="186" fillId="0" borderId="6" xfId="0" applyFont="1" applyBorder="1" applyAlignment="1" applyProtection="1">
      <alignment horizontal="center" vertical="center"/>
      <protection locked="0"/>
    </xf>
    <xf numFmtId="0" fontId="2" fillId="0" borderId="0" xfId="0" applyFont="1" applyAlignment="1" applyProtection="1">
      <alignment horizontal="center" vertical="center" wrapText="1"/>
      <protection locked="0"/>
    </xf>
    <xf numFmtId="0" fontId="12" fillId="0" borderId="3" xfId="0" applyFont="1" applyBorder="1" applyAlignment="1">
      <alignment horizontal="center"/>
    </xf>
    <xf numFmtId="49" fontId="13" fillId="6" borderId="3" xfId="0" applyNumberFormat="1" applyFont="1" applyFill="1" applyBorder="1" applyProtection="1">
      <protection locked="0"/>
    </xf>
    <xf numFmtId="0" fontId="12" fillId="0" borderId="48" xfId="0" applyFont="1" applyBorder="1"/>
    <xf numFmtId="1" fontId="111" fillId="0" borderId="12" xfId="0" applyNumberFormat="1" applyFont="1" applyBorder="1" applyAlignment="1" applyProtection="1">
      <alignment horizontal="center"/>
      <protection locked="0"/>
    </xf>
    <xf numFmtId="4" fontId="0" fillId="0" borderId="3" xfId="0" applyNumberFormat="1" applyBorder="1"/>
    <xf numFmtId="44" fontId="13" fillId="0" borderId="0" xfId="1" applyNumberFormat="1" applyFont="1" applyFill="1" applyBorder="1" applyAlignment="1" applyProtection="1">
      <protection locked="0"/>
    </xf>
    <xf numFmtId="44" fontId="40" fillId="0" borderId="0" xfId="1" applyNumberFormat="1" applyFont="1" applyFill="1" applyBorder="1" applyAlignment="1" applyProtection="1">
      <protection locked="0"/>
    </xf>
    <xf numFmtId="44" fontId="92" fillId="0" borderId="0" xfId="1" applyNumberFormat="1" applyFont="1" applyFill="1" applyBorder="1" applyAlignment="1" applyProtection="1">
      <protection locked="0"/>
    </xf>
    <xf numFmtId="44" fontId="62" fillId="0" borderId="70" xfId="1" applyNumberFormat="1" applyFont="1" applyFill="1" applyBorder="1" applyAlignment="1" applyProtection="1"/>
    <xf numFmtId="44" fontId="156" fillId="0" borderId="3" xfId="1" applyNumberFormat="1" applyFont="1" applyFill="1" applyBorder="1" applyAlignment="1" applyProtection="1"/>
    <xf numFmtId="49" fontId="13" fillId="0" borderId="0" xfId="0" applyNumberFormat="1" applyFont="1" applyAlignment="1" applyProtection="1">
      <alignment horizontal="left"/>
      <protection locked="0"/>
    </xf>
    <xf numFmtId="14" fontId="188" fillId="0" borderId="12" xfId="0" applyNumberFormat="1" applyFont="1" applyBorder="1" applyAlignment="1">
      <alignment horizontal="center"/>
    </xf>
    <xf numFmtId="1" fontId="188" fillId="4" borderId="3" xfId="0" applyNumberFormat="1" applyFont="1" applyFill="1" applyBorder="1" applyAlignment="1">
      <alignment horizontal="center"/>
    </xf>
    <xf numFmtId="1" fontId="188" fillId="4" borderId="12" xfId="0" applyNumberFormat="1" applyFont="1" applyFill="1" applyBorder="1" applyAlignment="1">
      <alignment horizontal="center"/>
    </xf>
    <xf numFmtId="1" fontId="188" fillId="0" borderId="3" xfId="0" applyNumberFormat="1" applyFont="1" applyBorder="1" applyAlignment="1" applyProtection="1">
      <alignment horizontal="center"/>
      <protection locked="0"/>
    </xf>
    <xf numFmtId="49" fontId="188" fillId="0" borderId="48" xfId="0" applyNumberFormat="1" applyFont="1" applyBorder="1" applyAlignment="1" applyProtection="1">
      <alignment horizontal="left"/>
      <protection locked="0"/>
    </xf>
    <xf numFmtId="1" fontId="188" fillId="0" borderId="12" xfId="0" applyNumberFormat="1" applyFont="1" applyBorder="1" applyAlignment="1" applyProtection="1">
      <alignment horizontal="center"/>
      <protection locked="0"/>
    </xf>
    <xf numFmtId="44" fontId="188" fillId="0" borderId="3" xfId="1" applyNumberFormat="1" applyFont="1" applyFill="1" applyBorder="1" applyAlignment="1" applyProtection="1">
      <protection locked="0"/>
    </xf>
    <xf numFmtId="44" fontId="188" fillId="0" borderId="70" xfId="1" applyNumberFormat="1" applyFont="1" applyFill="1" applyBorder="1" applyAlignment="1" applyProtection="1"/>
    <xf numFmtId="1" fontId="137" fillId="4" borderId="3" xfId="0" applyNumberFormat="1" applyFont="1" applyFill="1" applyBorder="1" applyAlignment="1">
      <alignment horizontal="center"/>
    </xf>
    <xf numFmtId="1" fontId="173" fillId="4" borderId="3" xfId="0" applyNumberFormat="1" applyFont="1" applyFill="1" applyBorder="1" applyAlignment="1">
      <alignment horizontal="center"/>
    </xf>
    <xf numFmtId="49" fontId="13" fillId="0" borderId="3" xfId="0" applyNumberFormat="1" applyFont="1" applyBorder="1" applyAlignment="1" applyProtection="1">
      <alignment horizontal="center"/>
      <protection locked="0"/>
    </xf>
    <xf numFmtId="1" fontId="83" fillId="0" borderId="0" xfId="0" applyNumberFormat="1" applyFont="1" applyAlignment="1" applyProtection="1">
      <alignment horizontal="center"/>
      <protection locked="0"/>
    </xf>
    <xf numFmtId="1" fontId="13" fillId="0" borderId="12" xfId="0" applyNumberFormat="1" applyFont="1" applyBorder="1" applyAlignment="1" applyProtection="1">
      <alignment horizontal="left"/>
      <protection locked="0"/>
    </xf>
    <xf numFmtId="49" fontId="13" fillId="0" borderId="0" xfId="0" applyNumberFormat="1" applyFont="1" applyProtection="1">
      <protection locked="0"/>
    </xf>
    <xf numFmtId="0" fontId="12" fillId="0" borderId="12" xfId="0" applyFont="1" applyBorder="1"/>
    <xf numFmtId="49" fontId="173" fillId="0" borderId="3" xfId="0" applyNumberFormat="1" applyFont="1" applyBorder="1" applyProtection="1">
      <protection locked="0"/>
    </xf>
    <xf numFmtId="49" fontId="13" fillId="6" borderId="12" xfId="0" applyNumberFormat="1" applyFont="1" applyFill="1" applyBorder="1" applyProtection="1">
      <protection locked="0"/>
    </xf>
    <xf numFmtId="49" fontId="111" fillId="0" borderId="0" xfId="0" applyNumberFormat="1" applyFont="1" applyProtection="1">
      <protection locked="0"/>
    </xf>
    <xf numFmtId="1" fontId="13" fillId="0" borderId="3" xfId="0" applyNumberFormat="1" applyFont="1" applyBorder="1" applyAlignment="1" applyProtection="1">
      <alignment horizontal="left"/>
      <protection locked="0"/>
    </xf>
    <xf numFmtId="49" fontId="173" fillId="0" borderId="12" xfId="0" applyNumberFormat="1" applyFont="1" applyBorder="1" applyProtection="1">
      <protection locked="0"/>
    </xf>
    <xf numFmtId="44" fontId="103" fillId="0" borderId="0" xfId="1" applyNumberFormat="1" applyFont="1" applyFill="1" applyBorder="1" applyAlignment="1" applyProtection="1">
      <protection locked="0"/>
    </xf>
    <xf numFmtId="44" fontId="52" fillId="0" borderId="0" xfId="1" applyNumberFormat="1" applyFont="1" applyFill="1" applyBorder="1" applyAlignment="1" applyProtection="1">
      <protection locked="0"/>
    </xf>
    <xf numFmtId="4" fontId="187" fillId="0" borderId="3" xfId="0" applyNumberFormat="1" applyFont="1" applyBorder="1"/>
    <xf numFmtId="44" fontId="173" fillId="0" borderId="3" xfId="1" applyNumberFormat="1" applyFont="1" applyFill="1" applyBorder="1" applyAlignment="1" applyProtection="1"/>
    <xf numFmtId="44" fontId="189" fillId="0" borderId="3" xfId="1" applyNumberFormat="1" applyFont="1" applyFill="1" applyBorder="1" applyProtection="1">
      <protection locked="0"/>
    </xf>
    <xf numFmtId="44" fontId="189" fillId="0" borderId="3" xfId="1" applyNumberFormat="1" applyFont="1" applyFill="1" applyBorder="1" applyAlignment="1" applyProtection="1">
      <alignment horizontal="right"/>
    </xf>
    <xf numFmtId="44" fontId="189" fillId="4" borderId="3" xfId="1" applyNumberFormat="1" applyFont="1" applyFill="1" applyBorder="1"/>
    <xf numFmtId="44" fontId="189" fillId="0" borderId="3" xfId="1" applyNumberFormat="1" applyFont="1" applyFill="1" applyBorder="1" applyAlignment="1" applyProtection="1">
      <alignment horizontal="center" vertical="center"/>
    </xf>
    <xf numFmtId="0" fontId="0" fillId="0" borderId="0" xfId="0" applyProtection="1">
      <protection locked="0"/>
    </xf>
    <xf numFmtId="14" fontId="190" fillId="0" borderId="6" xfId="0" applyNumberFormat="1" applyFont="1" applyBorder="1" applyAlignment="1" applyProtection="1">
      <alignment horizontal="center" vertical="center"/>
      <protection locked="0"/>
    </xf>
    <xf numFmtId="0" fontId="190" fillId="0" borderId="6" xfId="0" applyFont="1" applyBorder="1" applyAlignment="1" applyProtection="1">
      <alignment horizontal="center" vertical="center" wrapText="1"/>
      <protection locked="0"/>
    </xf>
    <xf numFmtId="14" fontId="190" fillId="0" borderId="6" xfId="0" applyNumberFormat="1" applyFont="1" applyBorder="1" applyAlignment="1" applyProtection="1">
      <alignment horizontal="center" vertical="center" wrapText="1"/>
      <protection locked="0"/>
    </xf>
    <xf numFmtId="43" fontId="190" fillId="0" borderId="6" xfId="1" applyFont="1" applyFill="1" applyBorder="1" applyAlignment="1" applyProtection="1">
      <alignment horizontal="right" vertical="center"/>
      <protection locked="0"/>
    </xf>
    <xf numFmtId="43" fontId="191" fillId="4" borderId="6" xfId="2" applyNumberFormat="1" applyFont="1" applyFill="1" applyBorder="1" applyAlignment="1" applyProtection="1">
      <alignment horizontal="right" vertical="center"/>
    </xf>
    <xf numFmtId="43" fontId="191" fillId="4" borderId="6" xfId="1" applyFont="1" applyFill="1" applyBorder="1" applyAlignment="1" applyProtection="1">
      <alignment horizontal="right" vertical="center"/>
      <protection locked="0"/>
    </xf>
    <xf numFmtId="4" fontId="190" fillId="0" borderId="6" xfId="1" applyNumberFormat="1" applyFont="1" applyFill="1" applyBorder="1" applyAlignment="1" applyProtection="1">
      <alignment vertical="center"/>
      <protection locked="0"/>
    </xf>
    <xf numFmtId="0" fontId="190" fillId="0" borderId="6" xfId="0" applyFont="1" applyBorder="1" applyAlignment="1">
      <alignment horizontal="center" vertical="center" wrapText="1"/>
    </xf>
    <xf numFmtId="0" fontId="192" fillId="0" borderId="6" xfId="0" applyFont="1" applyBorder="1" applyAlignment="1" applyProtection="1">
      <alignment horizontal="center" vertical="center"/>
      <protection locked="0"/>
    </xf>
    <xf numFmtId="0" fontId="0" fillId="0" borderId="0" xfId="0" quotePrefix="1"/>
    <xf numFmtId="4" fontId="187" fillId="0" borderId="0" xfId="0" applyNumberFormat="1" applyFont="1"/>
    <xf numFmtId="0" fontId="187" fillId="49" borderId="72" xfId="0" applyFont="1" applyFill="1" applyBorder="1" applyAlignment="1">
      <alignment vertical="center" wrapText="1"/>
    </xf>
    <xf numFmtId="0" fontId="187" fillId="0" borderId="0" xfId="0" applyFont="1"/>
    <xf numFmtId="1" fontId="191" fillId="4" borderId="9" xfId="0" applyNumberFormat="1" applyFont="1" applyFill="1" applyBorder="1" applyAlignment="1">
      <alignment horizontal="center" vertical="center"/>
    </xf>
    <xf numFmtId="167" fontId="193" fillId="0" borderId="8" xfId="1" applyNumberFormat="1" applyFont="1" applyFill="1" applyBorder="1" applyAlignment="1">
      <alignment horizontal="center" vertical="center"/>
    </xf>
    <xf numFmtId="1" fontId="194" fillId="0" borderId="9" xfId="0" applyNumberFormat="1" applyFont="1" applyBorder="1" applyAlignment="1">
      <alignment horizontal="left" vertical="center" wrapText="1"/>
    </xf>
    <xf numFmtId="44" fontId="31" fillId="4" borderId="47" xfId="1" applyNumberFormat="1" applyFont="1" applyFill="1" applyBorder="1"/>
    <xf numFmtId="44" fontId="1" fillId="6" borderId="3" xfId="1" applyNumberFormat="1" applyFont="1" applyFill="1" applyBorder="1" applyProtection="1"/>
    <xf numFmtId="1" fontId="191" fillId="2" borderId="9" xfId="0" quotePrefix="1" applyNumberFormat="1" applyFont="1" applyFill="1" applyBorder="1" applyAlignment="1">
      <alignment horizontal="center" vertical="center"/>
    </xf>
    <xf numFmtId="1" fontId="191" fillId="42" borderId="9" xfId="0" applyNumberFormat="1" applyFont="1" applyFill="1" applyBorder="1" applyAlignment="1">
      <alignment horizontal="center" vertical="center"/>
    </xf>
    <xf numFmtId="165" fontId="190" fillId="0" borderId="6" xfId="0" applyNumberFormat="1" applyFont="1" applyBorder="1" applyAlignment="1" applyProtection="1">
      <alignment horizontal="center" vertical="center"/>
      <protection locked="0"/>
    </xf>
    <xf numFmtId="0" fontId="191" fillId="4" borderId="6" xfId="0" applyFont="1" applyFill="1" applyBorder="1" applyAlignment="1">
      <alignment vertical="center" wrapText="1"/>
    </xf>
    <xf numFmtId="1" fontId="190" fillId="0" borderId="6" xfId="0" applyNumberFormat="1" applyFont="1" applyBorder="1" applyAlignment="1" applyProtection="1">
      <alignment horizontal="center" vertical="center"/>
      <protection locked="0"/>
    </xf>
    <xf numFmtId="0" fontId="190" fillId="0" borderId="6" xfId="0" applyFont="1" applyBorder="1" applyAlignment="1" applyProtection="1">
      <alignment horizontal="center" vertical="center"/>
      <protection locked="0"/>
    </xf>
    <xf numFmtId="4" fontId="187" fillId="44" borderId="72" xfId="0" applyNumberFormat="1" applyFont="1" applyFill="1" applyBorder="1" applyAlignment="1">
      <alignment vertical="center" wrapText="1"/>
    </xf>
    <xf numFmtId="0" fontId="187" fillId="44" borderId="72" xfId="0" applyFont="1" applyFill="1" applyBorder="1" applyAlignment="1">
      <alignment vertical="center" wrapText="1"/>
    </xf>
    <xf numFmtId="0" fontId="187" fillId="0" borderId="3" xfId="0" applyFont="1" applyBorder="1" applyAlignment="1" applyProtection="1">
      <alignment horizontal="left"/>
      <protection locked="0"/>
    </xf>
    <xf numFmtId="4" fontId="0" fillId="50" borderId="0" xfId="0" applyNumberFormat="1" applyFill="1"/>
    <xf numFmtId="0" fontId="0" fillId="50" borderId="0" xfId="0" applyFill="1"/>
    <xf numFmtId="4" fontId="0" fillId="6" borderId="0" xfId="0" applyNumberFormat="1" applyFill="1"/>
    <xf numFmtId="14" fontId="195" fillId="0" borderId="6" xfId="0" applyNumberFormat="1" applyFont="1" applyBorder="1" applyAlignment="1" applyProtection="1">
      <alignment horizontal="center" vertical="center"/>
      <protection locked="0"/>
    </xf>
    <xf numFmtId="165" fontId="195" fillId="0" borderId="6" xfId="0" applyNumberFormat="1" applyFont="1" applyBorder="1" applyAlignment="1" applyProtection="1">
      <alignment horizontal="center" vertical="center"/>
      <protection locked="0"/>
    </xf>
    <xf numFmtId="0" fontId="196" fillId="4" borderId="6" xfId="0" applyFont="1" applyFill="1" applyBorder="1" applyAlignment="1">
      <alignment vertical="center" wrapText="1"/>
    </xf>
    <xf numFmtId="0" fontId="195" fillId="0" borderId="6" xfId="0" applyFont="1" applyBorder="1" applyAlignment="1" applyProtection="1">
      <alignment horizontal="center" vertical="center" wrapText="1"/>
      <protection locked="0"/>
    </xf>
    <xf numFmtId="1" fontId="195" fillId="0" borderId="6" xfId="0" applyNumberFormat="1" applyFont="1" applyBorder="1" applyAlignment="1" applyProtection="1">
      <alignment horizontal="center" vertical="center"/>
      <protection locked="0"/>
    </xf>
    <xf numFmtId="0" fontId="195" fillId="0" borderId="6" xfId="0" applyFont="1" applyBorder="1" applyAlignment="1" applyProtection="1">
      <alignment horizontal="center" vertical="center"/>
      <protection locked="0"/>
    </xf>
    <xf numFmtId="14" fontId="195" fillId="0" borderId="6" xfId="0" applyNumberFormat="1" applyFont="1" applyBorder="1" applyAlignment="1" applyProtection="1">
      <alignment horizontal="center" vertical="center" wrapText="1"/>
      <protection locked="0"/>
    </xf>
    <xf numFmtId="43" fontId="195" fillId="0" borderId="6" xfId="1" applyFont="1" applyFill="1" applyBorder="1" applyAlignment="1" applyProtection="1">
      <alignment horizontal="right" vertical="center"/>
      <protection locked="0"/>
    </xf>
    <xf numFmtId="43" fontId="196" fillId="4" borderId="6" xfId="2" applyNumberFormat="1" applyFont="1" applyFill="1" applyBorder="1" applyAlignment="1" applyProtection="1">
      <alignment horizontal="right" vertical="center"/>
    </xf>
    <xf numFmtId="43" fontId="196" fillId="4" borderId="6" xfId="1" applyFont="1" applyFill="1" applyBorder="1" applyAlignment="1" applyProtection="1">
      <alignment horizontal="right" vertical="center"/>
      <protection locked="0"/>
    </xf>
    <xf numFmtId="4" fontId="195" fillId="0" borderId="6" xfId="1" applyNumberFormat="1" applyFont="1" applyFill="1" applyBorder="1" applyAlignment="1" applyProtection="1">
      <alignment vertical="center"/>
      <protection locked="0"/>
    </xf>
    <xf numFmtId="0" fontId="195" fillId="0" borderId="6" xfId="0" applyFont="1" applyBorder="1" applyAlignment="1">
      <alignment horizontal="center" vertical="center" wrapText="1"/>
    </xf>
    <xf numFmtId="0" fontId="197" fillId="0" borderId="6" xfId="0" applyFont="1" applyBorder="1" applyAlignment="1" applyProtection="1">
      <alignment horizontal="center" vertical="center"/>
      <protection locked="0"/>
    </xf>
    <xf numFmtId="43" fontId="128" fillId="0" borderId="6" xfId="1" applyFont="1" applyFill="1" applyBorder="1" applyAlignment="1" applyProtection="1">
      <alignment vertical="center"/>
      <protection locked="0"/>
    </xf>
    <xf numFmtId="14" fontId="198" fillId="0" borderId="6" xfId="0" applyNumberFormat="1" applyFont="1" applyBorder="1" applyAlignment="1" applyProtection="1">
      <alignment horizontal="center" vertical="center"/>
      <protection locked="0"/>
    </xf>
    <xf numFmtId="165" fontId="198" fillId="0" borderId="6" xfId="0" applyNumberFormat="1" applyFont="1" applyBorder="1" applyAlignment="1" applyProtection="1">
      <alignment horizontal="center" vertical="center"/>
      <protection locked="0"/>
    </xf>
    <xf numFmtId="0" fontId="199" fillId="4" borderId="6" xfId="0" applyFont="1" applyFill="1" applyBorder="1" applyAlignment="1">
      <alignment vertical="center" wrapText="1"/>
    </xf>
    <xf numFmtId="0" fontId="198" fillId="0" borderId="6" xfId="0" applyFont="1" applyBorder="1" applyAlignment="1" applyProtection="1">
      <alignment horizontal="center" vertical="center" wrapText="1"/>
      <protection locked="0"/>
    </xf>
    <xf numFmtId="1" fontId="198" fillId="0" borderId="6" xfId="0" applyNumberFormat="1" applyFont="1" applyBorder="1" applyAlignment="1" applyProtection="1">
      <alignment horizontal="center" vertical="center"/>
      <protection locked="0"/>
    </xf>
    <xf numFmtId="0" fontId="198" fillId="0" borderId="6" xfId="0" applyFont="1" applyBorder="1" applyAlignment="1" applyProtection="1">
      <alignment horizontal="center" vertical="center"/>
      <protection locked="0"/>
    </xf>
    <xf numFmtId="14" fontId="198" fillId="0" borderId="6" xfId="0" applyNumberFormat="1" applyFont="1" applyBorder="1" applyAlignment="1" applyProtection="1">
      <alignment horizontal="center" vertical="center" wrapText="1"/>
      <protection locked="0"/>
    </xf>
    <xf numFmtId="43" fontId="198" fillId="0" borderId="6" xfId="1" applyFont="1" applyFill="1" applyBorder="1" applyAlignment="1" applyProtection="1">
      <alignment horizontal="right" vertical="center"/>
      <protection locked="0"/>
    </xf>
    <xf numFmtId="43" fontId="199" fillId="4" borderId="6" xfId="2" applyNumberFormat="1" applyFont="1" applyFill="1" applyBorder="1" applyAlignment="1" applyProtection="1">
      <alignment horizontal="right" vertical="center"/>
    </xf>
    <xf numFmtId="43" fontId="199" fillId="4" borderId="6" xfId="1" applyFont="1" applyFill="1" applyBorder="1" applyAlignment="1" applyProtection="1">
      <alignment horizontal="right" vertical="center"/>
      <protection locked="0"/>
    </xf>
    <xf numFmtId="4" fontId="198" fillId="0" borderId="6" xfId="1" applyNumberFormat="1" applyFont="1" applyFill="1" applyBorder="1" applyAlignment="1" applyProtection="1">
      <alignment vertical="center"/>
      <protection locked="0"/>
    </xf>
    <xf numFmtId="0" fontId="198" fillId="0" borderId="6" xfId="0" applyFont="1" applyBorder="1" applyAlignment="1">
      <alignment horizontal="center" vertical="center" wrapText="1"/>
    </xf>
    <xf numFmtId="0" fontId="200" fillId="0" borderId="6" xfId="0" applyFont="1" applyBorder="1" applyAlignment="1" applyProtection="1">
      <alignment horizontal="center" vertical="center"/>
      <protection locked="0"/>
    </xf>
    <xf numFmtId="49" fontId="198" fillId="0" borderId="6" xfId="0" applyNumberFormat="1" applyFont="1" applyBorder="1" applyAlignment="1" applyProtection="1">
      <alignment horizontal="center" vertical="center"/>
      <protection locked="0"/>
    </xf>
    <xf numFmtId="14" fontId="198" fillId="0" borderId="15" xfId="0" applyNumberFormat="1" applyFont="1" applyBorder="1" applyAlignment="1" applyProtection="1">
      <alignment horizontal="center" vertical="center"/>
      <protection locked="0"/>
    </xf>
    <xf numFmtId="165" fontId="198" fillId="0" borderId="15" xfId="0" applyNumberFormat="1" applyFont="1" applyBorder="1" applyAlignment="1" applyProtection="1">
      <alignment horizontal="center" vertical="center"/>
      <protection locked="0"/>
    </xf>
    <xf numFmtId="0" fontId="198" fillId="0" borderId="15" xfId="0" applyFont="1" applyBorder="1" applyAlignment="1" applyProtection="1">
      <alignment horizontal="center" vertical="center" wrapText="1"/>
      <protection locked="0"/>
    </xf>
    <xf numFmtId="1" fontId="198" fillId="0" borderId="15" xfId="0" applyNumberFormat="1" applyFont="1" applyBorder="1" applyAlignment="1" applyProtection="1">
      <alignment horizontal="center" vertical="center"/>
      <protection locked="0"/>
    </xf>
    <xf numFmtId="0" fontId="198" fillId="0" borderId="15" xfId="0" applyFont="1" applyBorder="1" applyAlignment="1" applyProtection="1">
      <alignment horizontal="center" vertical="center"/>
      <protection locked="0"/>
    </xf>
    <xf numFmtId="49" fontId="198" fillId="0" borderId="15" xfId="0" applyNumberFormat="1" applyFont="1" applyBorder="1" applyAlignment="1" applyProtection="1">
      <alignment horizontal="center" vertical="center"/>
      <protection locked="0"/>
    </xf>
    <xf numFmtId="14" fontId="198" fillId="0" borderId="15" xfId="0" applyNumberFormat="1" applyFont="1" applyBorder="1" applyAlignment="1" applyProtection="1">
      <alignment horizontal="center" vertical="center" wrapText="1"/>
      <protection locked="0"/>
    </xf>
    <xf numFmtId="43" fontId="199" fillId="4" borderId="15" xfId="2" applyNumberFormat="1" applyFont="1" applyFill="1" applyBorder="1" applyAlignment="1" applyProtection="1">
      <alignment horizontal="right" vertical="center"/>
    </xf>
    <xf numFmtId="43" fontId="199" fillId="4" borderId="15" xfId="1" applyFont="1" applyFill="1" applyBorder="1" applyAlignment="1" applyProtection="1">
      <alignment horizontal="right" vertical="center"/>
      <protection locked="0"/>
    </xf>
    <xf numFmtId="4" fontId="198" fillId="0" borderId="15" xfId="1" applyNumberFormat="1" applyFont="1" applyFill="1" applyBorder="1" applyAlignment="1" applyProtection="1">
      <alignment vertical="center"/>
      <protection locked="0"/>
    </xf>
    <xf numFmtId="43" fontId="198" fillId="0" borderId="15" xfId="1" applyFont="1" applyFill="1" applyBorder="1" applyAlignment="1" applyProtection="1">
      <alignment horizontal="right" vertical="center"/>
      <protection locked="0"/>
    </xf>
    <xf numFmtId="0" fontId="0" fillId="0" borderId="6" xfId="0" applyBorder="1"/>
    <xf numFmtId="0" fontId="200" fillId="0" borderId="0" xfId="0" applyFont="1" applyAlignment="1" applyProtection="1">
      <alignment horizontal="center" vertical="center"/>
      <protection locked="0"/>
    </xf>
    <xf numFmtId="167" fontId="17" fillId="4" borderId="7" xfId="1" applyNumberFormat="1" applyFont="1" applyFill="1" applyBorder="1" applyAlignment="1">
      <alignment horizontal="center" vertical="center" wrapText="1"/>
    </xf>
    <xf numFmtId="167" fontId="17" fillId="4" borderId="9" xfId="1" applyNumberFormat="1" applyFont="1" applyFill="1" applyBorder="1" applyAlignment="1">
      <alignment horizontal="center" vertical="center"/>
    </xf>
    <xf numFmtId="167" fontId="17" fillId="2" borderId="7" xfId="1" applyNumberFormat="1" applyFont="1" applyFill="1" applyBorder="1" applyAlignment="1">
      <alignment horizontal="center" vertical="center"/>
    </xf>
    <xf numFmtId="167" fontId="17" fillId="2" borderId="9" xfId="1" applyNumberFormat="1" applyFont="1" applyFill="1" applyBorder="1" applyAlignment="1">
      <alignment horizontal="center" vertical="center"/>
    </xf>
    <xf numFmtId="167" fontId="17" fillId="2" borderId="8" xfId="1" applyNumberFormat="1" applyFont="1" applyFill="1" applyBorder="1" applyAlignment="1">
      <alignment horizontal="center" vertical="center"/>
    </xf>
    <xf numFmtId="49" fontId="0" fillId="0" borderId="0" xfId="0" applyNumberFormat="1" applyAlignment="1">
      <alignment horizontal="center" vertical="center" wrapText="1"/>
    </xf>
    <xf numFmtId="49" fontId="8" fillId="0" borderId="27" xfId="0" applyNumberFormat="1" applyFont="1" applyBorder="1" applyAlignment="1">
      <alignment horizontal="center" vertical="center"/>
    </xf>
    <xf numFmtId="49" fontId="58" fillId="0" borderId="0" xfId="0" applyNumberFormat="1" applyFont="1" applyAlignment="1">
      <alignment horizontal="right"/>
    </xf>
    <xf numFmtId="167" fontId="10" fillId="4" borderId="6" xfId="2" applyNumberFormat="1" applyFont="1" applyFill="1" applyBorder="1" applyAlignment="1">
      <alignment horizontal="center" vertical="center" wrapText="1"/>
    </xf>
    <xf numFmtId="167" fontId="10" fillId="4" borderId="35" xfId="2" applyNumberFormat="1" applyFont="1" applyFill="1" applyBorder="1" applyAlignment="1">
      <alignment horizontal="center" vertical="center" wrapText="1"/>
    </xf>
    <xf numFmtId="167" fontId="49" fillId="38" borderId="38" xfId="2" applyNumberFormat="1" applyFont="1" applyFill="1" applyBorder="1" applyAlignment="1">
      <alignment horizontal="center" vertical="center" wrapText="1"/>
    </xf>
    <xf numFmtId="167" fontId="48" fillId="38" borderId="40" xfId="2" applyNumberFormat="1" applyFont="1" applyFill="1" applyBorder="1" applyAlignment="1">
      <alignment horizontal="center" vertical="center" wrapText="1"/>
    </xf>
    <xf numFmtId="14" fontId="49" fillId="38" borderId="38" xfId="2" applyNumberFormat="1" applyFont="1" applyFill="1" applyBorder="1" applyAlignment="1">
      <alignment horizontal="center" vertical="center" wrapText="1"/>
    </xf>
    <xf numFmtId="167" fontId="49" fillId="38" borderId="0" xfId="2" applyNumberFormat="1" applyFont="1" applyFill="1" applyBorder="1" applyAlignment="1">
      <alignment horizontal="center" vertical="center" wrapText="1"/>
    </xf>
    <xf numFmtId="14" fontId="49" fillId="38" borderId="0" xfId="2" applyNumberFormat="1" applyFont="1" applyFill="1" applyBorder="1" applyAlignment="1">
      <alignment horizontal="center" vertical="center" wrapText="1"/>
    </xf>
    <xf numFmtId="167" fontId="10" fillId="4" borderId="52" xfId="2" applyNumberFormat="1" applyFont="1" applyFill="1" applyBorder="1" applyAlignment="1">
      <alignment horizontal="center" vertical="center" wrapText="1"/>
    </xf>
    <xf numFmtId="167" fontId="10" fillId="4" borderId="53" xfId="2" applyNumberFormat="1" applyFont="1" applyFill="1" applyBorder="1" applyAlignment="1">
      <alignment horizontal="center" vertical="center" wrapText="1"/>
    </xf>
    <xf numFmtId="167" fontId="10" fillId="4" borderId="54" xfId="2" applyNumberFormat="1" applyFont="1" applyFill="1" applyBorder="1" applyAlignment="1">
      <alignment horizontal="center" vertical="center" wrapText="1"/>
    </xf>
    <xf numFmtId="167" fontId="10" fillId="4" borderId="65" xfId="2" applyNumberFormat="1" applyFont="1" applyFill="1" applyBorder="1" applyAlignment="1">
      <alignment horizontal="center" vertical="center" wrapText="1"/>
    </xf>
    <xf numFmtId="0" fontId="86" fillId="0" borderId="0" xfId="0" applyFont="1" applyAlignment="1">
      <alignment horizontal="left" vertical="top"/>
    </xf>
    <xf numFmtId="49" fontId="47" fillId="0" borderId="36" xfId="0" applyNumberFormat="1" applyFont="1" applyBorder="1" applyAlignment="1">
      <alignment horizontal="center" vertical="center"/>
    </xf>
    <xf numFmtId="167" fontId="10" fillId="4" borderId="46" xfId="2" applyNumberFormat="1" applyFont="1" applyFill="1" applyBorder="1" applyAlignment="1">
      <alignment horizontal="center" vertical="center" wrapText="1"/>
    </xf>
    <xf numFmtId="167" fontId="10" fillId="4" borderId="0" xfId="2" applyNumberFormat="1" applyFont="1" applyFill="1" applyBorder="1" applyAlignment="1">
      <alignment horizontal="center" vertical="center" wrapText="1"/>
    </xf>
    <xf numFmtId="167" fontId="10" fillId="4" borderId="57" xfId="2" applyNumberFormat="1" applyFont="1" applyFill="1" applyBorder="1" applyAlignment="1">
      <alignment horizontal="center" vertical="center" wrapText="1"/>
    </xf>
    <xf numFmtId="167" fontId="10" fillId="4" borderId="58" xfId="2" applyNumberFormat="1" applyFont="1" applyFill="1" applyBorder="1" applyAlignment="1">
      <alignment horizontal="center" vertical="center" wrapText="1"/>
    </xf>
    <xf numFmtId="167" fontId="10" fillId="4" borderId="59" xfId="2" applyNumberFormat="1" applyFont="1" applyFill="1" applyBorder="1" applyAlignment="1">
      <alignment horizontal="center" vertical="center" wrapText="1"/>
    </xf>
    <xf numFmtId="43" fontId="49" fillId="38" borderId="36" xfId="2" applyNumberFormat="1" applyFont="1" applyFill="1" applyBorder="1" applyAlignment="1">
      <alignment horizontal="center" vertical="center" wrapText="1"/>
    </xf>
    <xf numFmtId="14" fontId="49" fillId="38" borderId="36" xfId="2" applyNumberFormat="1" applyFont="1" applyFill="1" applyBorder="1" applyAlignment="1">
      <alignment horizontal="center" vertical="center" wrapText="1"/>
    </xf>
    <xf numFmtId="0" fontId="0" fillId="0" borderId="0" xfId="0" applyAlignment="1">
      <alignment horizontal="center"/>
    </xf>
    <xf numFmtId="0" fontId="56" fillId="8" borderId="49" xfId="0" applyFont="1" applyFill="1" applyBorder="1" applyAlignment="1">
      <alignment horizontal="center"/>
    </xf>
    <xf numFmtId="0" fontId="57" fillId="8" borderId="0" xfId="0" applyFont="1" applyFill="1" applyAlignment="1">
      <alignment horizontal="center"/>
    </xf>
    <xf numFmtId="0" fontId="57" fillId="8" borderId="0" xfId="0" applyFont="1" applyFill="1" applyAlignment="1">
      <alignment horizontal="center" vertical="center" wrapText="1"/>
    </xf>
  </cellXfs>
  <cellStyles count="64">
    <cellStyle name="20% - Ênfase1" xfId="38" builtinId="30" customBuiltin="1"/>
    <cellStyle name="20% - Ênfase2" xfId="41" builtinId="34" customBuiltin="1"/>
    <cellStyle name="20% - Ênfase3" xfId="44" builtinId="38" customBuiltin="1"/>
    <cellStyle name="20% - Ênfase4" xfId="47" builtinId="42" customBuiltin="1"/>
    <cellStyle name="20% - Ênfase5" xfId="50" builtinId="46" customBuiltin="1"/>
    <cellStyle name="20% - Ênfase6" xfId="53" builtinId="50" customBuiltin="1"/>
    <cellStyle name="40% - Ênfase1" xfId="39" builtinId="31" customBuiltin="1"/>
    <cellStyle name="40% - Ênfase2" xfId="42" builtinId="35" customBuiltin="1"/>
    <cellStyle name="40% - Ênfase3" xfId="45" builtinId="39" customBuiltin="1"/>
    <cellStyle name="40% - Ênfase4" xfId="48" builtinId="43" customBuiltin="1"/>
    <cellStyle name="40% - Ênfase5" xfId="51" builtinId="47" customBuiltin="1"/>
    <cellStyle name="40% - Ênfase6" xfId="54" builtinId="51" customBuiltin="1"/>
    <cellStyle name="60% - Ênfase1 2" xfId="55" xr:uid="{00000000-0005-0000-0000-00000C000000}"/>
    <cellStyle name="60% - Ênfase2 2" xfId="56" xr:uid="{00000000-0005-0000-0000-00000D000000}"/>
    <cellStyle name="60% - Ênfase3 2" xfId="57" xr:uid="{00000000-0005-0000-0000-00000E000000}"/>
    <cellStyle name="60% - Ênfase4 2" xfId="58" xr:uid="{00000000-0005-0000-0000-00000F000000}"/>
    <cellStyle name="60% - Ênfase5 2" xfId="59" xr:uid="{00000000-0005-0000-0000-000010000000}"/>
    <cellStyle name="60% - Ênfase6 2" xfId="60" xr:uid="{00000000-0005-0000-0000-000011000000}"/>
    <cellStyle name="Bom" xfId="28" builtinId="26" customBuiltin="1"/>
    <cellStyle name="Cálculo" xfId="31" builtinId="22" customBuiltin="1"/>
    <cellStyle name="Célula de Verificação" xfId="33" builtinId="23" customBuiltin="1"/>
    <cellStyle name="Célula Vinculada" xfId="32" builtinId="24" customBuiltin="1"/>
    <cellStyle name="Ênfase1" xfId="37" builtinId="29" customBuiltin="1"/>
    <cellStyle name="Ênfase2" xfId="40" builtinId="33" customBuiltin="1"/>
    <cellStyle name="Ênfase3" xfId="43" builtinId="37" customBuiltin="1"/>
    <cellStyle name="Ênfase4" xfId="46" builtinId="41" customBuiltin="1"/>
    <cellStyle name="Ênfase5" xfId="49" builtinId="45" customBuiltin="1"/>
    <cellStyle name="Ênfase6" xfId="52" builtinId="49" customBuiltin="1"/>
    <cellStyle name="Entrada" xfId="29" builtinId="20" customBuiltin="1"/>
    <cellStyle name="Excel Built-in Comma" xfId="9" xr:uid="{00000000-0005-0000-0000-00001D000000}"/>
    <cellStyle name="Excel Built-in Currency" xfId="10" xr:uid="{00000000-0005-0000-0000-00001E000000}"/>
    <cellStyle name="Excel Built-in Normal" xfId="11" xr:uid="{00000000-0005-0000-0000-00001F000000}"/>
    <cellStyle name="Moeda" xfId="2" builtinId="4"/>
    <cellStyle name="Moeda 2" xfId="6" xr:uid="{00000000-0005-0000-0000-000021000000}"/>
    <cellStyle name="Moeda 2 2" xfId="13" xr:uid="{00000000-0005-0000-0000-000022000000}"/>
    <cellStyle name="Moeda 3" xfId="14" xr:uid="{00000000-0005-0000-0000-000023000000}"/>
    <cellStyle name="Moeda 3 2" xfId="15" xr:uid="{00000000-0005-0000-0000-000024000000}"/>
    <cellStyle name="Moeda 4" xfId="16" xr:uid="{00000000-0005-0000-0000-000025000000}"/>
    <cellStyle name="Moeda 4 2" xfId="17" xr:uid="{00000000-0005-0000-0000-000026000000}"/>
    <cellStyle name="Moeda 5" xfId="18" xr:uid="{00000000-0005-0000-0000-000027000000}"/>
    <cellStyle name="Moeda 6" xfId="19" xr:uid="{00000000-0005-0000-0000-000028000000}"/>
    <cellStyle name="Moeda 7" xfId="12" xr:uid="{00000000-0005-0000-0000-000029000000}"/>
    <cellStyle name="Normal" xfId="0" builtinId="0"/>
    <cellStyle name="Normal 2" xfId="4" xr:uid="{00000000-0005-0000-0000-00002B000000}"/>
    <cellStyle name="Normal 2 2" xfId="20" xr:uid="{00000000-0005-0000-0000-00002C000000}"/>
    <cellStyle name="Normal 3" xfId="21" xr:uid="{00000000-0005-0000-0000-00002D000000}"/>
    <cellStyle name="Normal 4" xfId="8" xr:uid="{00000000-0005-0000-0000-00002E000000}"/>
    <cellStyle name="Nota" xfId="35" builtinId="10" customBuiltin="1"/>
    <cellStyle name="Saída" xfId="30" builtinId="21" customBuiltin="1"/>
    <cellStyle name="Separador de milhares 2" xfId="5" xr:uid="{00000000-0005-0000-0000-000031000000}"/>
    <cellStyle name="Texto de Aviso" xfId="34" builtinId="11" customBuiltin="1"/>
    <cellStyle name="Texto Explicativo" xfId="36" builtinId="53" customBuiltin="1"/>
    <cellStyle name="Título 1" xfId="24" builtinId="16" customBuiltin="1"/>
    <cellStyle name="Título 1 1" xfId="22" xr:uid="{00000000-0005-0000-0000-000035000000}"/>
    <cellStyle name="Título 1 1 1" xfId="23" xr:uid="{00000000-0005-0000-0000-000036000000}"/>
    <cellStyle name="Título 2" xfId="25" builtinId="17" customBuiltin="1"/>
    <cellStyle name="Título 3" xfId="26" builtinId="18" customBuiltin="1"/>
    <cellStyle name="Título 4" xfId="27" builtinId="19" customBuiltin="1"/>
    <cellStyle name="Título 5" xfId="61" xr:uid="{00000000-0005-0000-0000-00003A000000}"/>
    <cellStyle name="Total" xfId="7" builtinId="25" customBuiltin="1"/>
    <cellStyle name="Vírgula" xfId="1" builtinId="3"/>
    <cellStyle name="Vírgula 2" xfId="3" xr:uid="{00000000-0005-0000-0000-00003D000000}"/>
    <cellStyle name="Vírgula 3" xfId="62" xr:uid="{00000000-0005-0000-0000-00003E000000}"/>
    <cellStyle name="Vírgula 4" xfId="63" xr:uid="{00000000-0005-0000-0000-00003F000000}"/>
  </cellStyles>
  <dxfs count="454">
    <dxf>
      <numFmt numFmtId="4" formatCode="#,##0.00"/>
      <fill>
        <patternFill patternType="none">
          <fgColor indexed="64"/>
          <bgColor auto="1"/>
        </patternFill>
      </fill>
    </dxf>
    <dxf>
      <numFmt numFmtId="19" formatCode="dd/mm/yyyy"/>
    </dxf>
    <dxf>
      <numFmt numFmtId="19" formatCode="dd/mm/yyyy"/>
    </dxf>
    <dxf>
      <numFmt numFmtId="19" formatCode="dd/mm/yyyy"/>
    </dxf>
    <dxf>
      <numFmt numFmtId="19" formatCode="dd/mm/yyyy"/>
    </dxf>
    <dxf>
      <alignment horizontal="center" vertical="bottom"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border>
        <bottom style="medium">
          <color indexed="64"/>
        </bottom>
      </border>
    </dxf>
    <dxf>
      <fill>
        <patternFill patternType="solid">
          <fgColor indexed="64"/>
          <bgColor rgb="FFFFFF00"/>
        </patternFill>
      </fill>
      <alignment horizontal="center" vertical="center" textRotation="0" indent="0" justifyLastLine="0" shrinkToFit="0" readingOrder="0"/>
      <border diagonalUp="0" diagonalDown="0" outline="0">
        <left/>
        <right/>
        <top/>
        <bottom/>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1"/>
        <color theme="8" tint="-0.499984740745262"/>
        <name val="Calibri"/>
        <scheme val="minor"/>
      </font>
      <numFmt numFmtId="35" formatCode="_-* #,##0.00_-;\-* #,##0.00_-;_-* &quot;-&quot;??_-;_-@_-"/>
      <fill>
        <patternFill patternType="none">
          <fgColor indexed="64"/>
          <bgColor indexed="65"/>
        </patternFill>
      </fill>
      <alignment horizontal="left" vertical="center" textRotation="0" wrapText="1" indent="0" justifyLastLine="0" shrinkToFit="0" readingOrder="0"/>
      <border diagonalUp="0" diagonalDown="0" outline="0">
        <left/>
        <right/>
        <top style="hair">
          <color rgb="FF002060"/>
        </top>
        <bottom/>
      </border>
    </dxf>
    <dxf>
      <font>
        <strike val="0"/>
        <outline val="0"/>
        <shadow val="0"/>
        <u val="none"/>
        <vertAlign val="baseline"/>
        <color theme="8" tint="-0.499984740745262"/>
        <name val="Calibri"/>
        <scheme val="minor"/>
      </font>
      <fill>
        <patternFill patternType="none">
          <fgColor indexed="64"/>
          <bgColor theme="0"/>
        </patternFill>
      </fill>
      <alignment horizontal="left" vertical="center" textRotation="0" wrapText="1" indent="0" justifyLastLine="0" shrinkToFit="0" readingOrder="0"/>
      <border diagonalUp="0" diagonalDown="0" outline="0">
        <left/>
        <right/>
        <top style="hair">
          <color rgb="FF002060"/>
        </top>
        <bottom style="hair">
          <color rgb="FF002060"/>
        </bottom>
      </border>
    </dxf>
    <dxf>
      <font>
        <b/>
        <i val="0"/>
        <strike val="0"/>
        <condense val="0"/>
        <extend val="0"/>
        <outline val="0"/>
        <shadow val="0"/>
        <u val="none"/>
        <vertAlign val="baseline"/>
        <sz val="11"/>
        <color rgb="FF002060"/>
        <name val="Calibri"/>
        <scheme val="minor"/>
      </font>
      <numFmt numFmtId="167" formatCode="&quot;R$&quot;\ #,##0.00"/>
      <fill>
        <patternFill patternType="none">
          <fgColor indexed="64"/>
          <bgColor indexed="65"/>
        </patternFill>
      </fill>
      <alignment horizontal="center" vertical="center" textRotation="0" wrapText="0" indent="0" justifyLastLine="0" shrinkToFit="0" readingOrder="0"/>
      <border diagonalUp="0" diagonalDown="0" outline="0">
        <left/>
        <right style="hair">
          <color rgb="FF002060"/>
        </right>
        <top style="hair">
          <color rgb="FF002060"/>
        </top>
        <bottom/>
      </border>
    </dxf>
    <dxf>
      <font>
        <b/>
        <strike val="0"/>
        <outline val="0"/>
        <shadow val="0"/>
        <u val="none"/>
        <vertAlign val="baseline"/>
        <sz val="11"/>
        <color rgb="FF002060"/>
        <name val="Calibri"/>
        <scheme val="minor"/>
      </font>
      <numFmt numFmtId="167" formatCode="&quot;R$&quot;\ #,##0.00"/>
      <fill>
        <patternFill patternType="none">
          <fgColor indexed="64"/>
          <bgColor theme="0"/>
        </patternFill>
      </fill>
      <alignment horizontal="center" vertical="center" textRotation="0" wrapText="0" indent="0" justifyLastLine="0" shrinkToFit="0" readingOrder="0"/>
      <border diagonalUp="0" diagonalDown="0" outline="0">
        <left/>
        <right style="hair">
          <color rgb="FF002060"/>
        </right>
        <top style="hair">
          <color rgb="FF002060"/>
        </top>
        <bottom style="hair">
          <color rgb="FF002060"/>
        </bottom>
      </border>
    </dxf>
    <dxf>
      <font>
        <b val="0"/>
        <i val="0"/>
        <strike val="0"/>
        <condense val="0"/>
        <extend val="0"/>
        <outline val="0"/>
        <shadow val="0"/>
        <u val="none"/>
        <vertAlign val="baseline"/>
        <sz val="11"/>
        <color rgb="FF002060"/>
        <name val="Calibri"/>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style="hair">
          <color rgb="FF002060"/>
        </top>
        <bottom/>
      </border>
    </dxf>
    <dxf>
      <font>
        <b val="0"/>
        <strike val="0"/>
        <outline val="0"/>
        <shadow val="0"/>
        <u val="none"/>
        <vertAlign val="baseline"/>
        <sz val="11"/>
        <color rgb="FF002060"/>
        <name val="Calibri"/>
        <scheme val="minor"/>
      </font>
      <numFmt numFmtId="1" formatCode="0"/>
      <fill>
        <patternFill patternType="none">
          <bgColor theme="4" tint="0.39997558519241921"/>
        </patternFill>
      </fill>
      <alignment horizontal="center" vertical="center" textRotation="0" wrapText="0" indent="0" justifyLastLine="0" shrinkToFit="0" readingOrder="0"/>
      <border diagonalUp="0" diagonalDown="0" outline="0">
        <left/>
        <right/>
        <top style="hair">
          <color rgb="FF002060"/>
        </top>
        <bottom style="hair">
          <color rgb="FF002060"/>
        </bottom>
      </border>
    </dxf>
    <dxf>
      <font>
        <b val="0"/>
        <i val="0"/>
        <strike val="0"/>
        <condense val="0"/>
        <extend val="0"/>
        <outline val="0"/>
        <shadow val="0"/>
        <u val="none"/>
        <vertAlign val="baseline"/>
        <sz val="11"/>
        <color rgb="FF002060"/>
        <name val="Calibri"/>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style="hair">
          <color rgb="FF002060"/>
        </top>
        <bottom/>
      </border>
    </dxf>
    <dxf>
      <font>
        <b val="0"/>
        <strike val="0"/>
        <outline val="0"/>
        <shadow val="0"/>
        <u val="none"/>
        <vertAlign val="baseline"/>
        <sz val="11"/>
        <color rgb="FF002060"/>
        <name val="Calibri"/>
        <scheme val="minor"/>
      </font>
      <numFmt numFmtId="1" formatCode="0"/>
      <fill>
        <patternFill patternType="none">
          <bgColor theme="4" tint="0.39997558519241921"/>
        </patternFill>
      </fill>
      <alignment horizontal="center" vertical="center" textRotation="0" wrapText="0" indent="0" justifyLastLine="0" shrinkToFit="0" readingOrder="0"/>
      <border diagonalUp="0" diagonalDown="0" outline="0">
        <left/>
        <right/>
        <top style="hair">
          <color rgb="FF002060"/>
        </top>
        <bottom style="hair">
          <color rgb="FF002060"/>
        </bottom>
      </border>
    </dxf>
    <dxf>
      <font>
        <b val="0"/>
        <i val="0"/>
        <strike val="0"/>
        <condense val="0"/>
        <extend val="0"/>
        <outline val="0"/>
        <shadow val="0"/>
        <u val="none"/>
        <vertAlign val="baseline"/>
        <sz val="11"/>
        <color rgb="FF002060"/>
        <name val="Calibri"/>
        <scheme val="minor"/>
      </font>
      <numFmt numFmtId="1" formatCode="0"/>
      <fill>
        <patternFill patternType="solid">
          <fgColor indexed="64"/>
          <bgColor theme="4" tint="0.39997558519241921"/>
        </patternFill>
      </fill>
      <alignment horizontal="center" vertical="center" textRotation="0" wrapText="0" indent="0" justifyLastLine="0" shrinkToFit="0" readingOrder="0"/>
      <border diagonalUp="0" diagonalDown="0" outline="0">
        <left/>
        <right/>
        <top style="hair">
          <color rgb="FF002060"/>
        </top>
        <bottom/>
      </border>
    </dxf>
    <dxf>
      <font>
        <b val="0"/>
        <i val="0"/>
        <strike val="0"/>
        <condense val="0"/>
        <extend val="0"/>
        <outline val="0"/>
        <shadow val="0"/>
        <u val="none"/>
        <vertAlign val="baseline"/>
        <sz val="11"/>
        <color rgb="FF002060"/>
        <name val="Calibri"/>
        <scheme val="minor"/>
      </font>
      <numFmt numFmtId="1" formatCode="0"/>
      <fill>
        <patternFill>
          <bgColor theme="4" tint="0.39997558519241921"/>
        </patternFill>
      </fill>
      <alignment horizontal="center" vertical="center" textRotation="0" wrapText="0" indent="0" justifyLastLine="0" shrinkToFit="0" readingOrder="0"/>
      <border diagonalUp="0" diagonalDown="0" outline="0">
        <left/>
        <right/>
        <top style="hair">
          <color rgb="FF002060"/>
        </top>
        <bottom style="hair">
          <color rgb="FF002060"/>
        </bottom>
      </border>
    </dxf>
    <dxf>
      <font>
        <b val="0"/>
        <i val="0"/>
        <strike val="0"/>
        <condense val="0"/>
        <extend val="0"/>
        <outline val="0"/>
        <shadow val="0"/>
        <u val="none"/>
        <vertAlign val="baseline"/>
        <sz val="11"/>
        <color rgb="FF002060"/>
        <name val="Calibri"/>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style="hair">
          <color rgb="FF002060"/>
        </top>
        <bottom/>
      </border>
    </dxf>
    <dxf>
      <font>
        <b val="0"/>
        <strike val="0"/>
        <outline val="0"/>
        <shadow val="0"/>
        <u val="none"/>
        <vertAlign val="baseline"/>
        <sz val="11"/>
        <color rgb="FF002060"/>
        <name val="Calibri"/>
        <scheme val="minor"/>
      </font>
      <numFmt numFmtId="1" formatCode="0"/>
      <fill>
        <patternFill patternType="none">
          <bgColor theme="4" tint="0.59999389629810485"/>
        </patternFill>
      </fill>
      <alignment horizontal="center" vertical="center" textRotation="0" wrapText="0" indent="0" justifyLastLine="0" shrinkToFit="0" readingOrder="0"/>
      <border diagonalUp="0" diagonalDown="0" outline="0">
        <left/>
        <right/>
        <top style="hair">
          <color rgb="FF002060"/>
        </top>
        <bottom style="hair">
          <color rgb="FF002060"/>
        </bottom>
      </border>
    </dxf>
    <dxf>
      <font>
        <b val="0"/>
        <i val="0"/>
        <strike val="0"/>
        <condense val="0"/>
        <extend val="0"/>
        <outline val="0"/>
        <shadow val="0"/>
        <u val="none"/>
        <vertAlign val="baseline"/>
        <sz val="11"/>
        <color rgb="FF002060"/>
        <name val="Calibri"/>
        <scheme val="minor"/>
      </font>
      <numFmt numFmtId="1" formatCode="0"/>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style="hair">
          <color rgb="FF002060"/>
        </top>
        <bottom/>
      </border>
    </dxf>
    <dxf>
      <font>
        <b val="0"/>
        <i val="0"/>
        <strike val="0"/>
        <condense val="0"/>
        <extend val="0"/>
        <outline val="0"/>
        <shadow val="0"/>
        <u val="none"/>
        <vertAlign val="baseline"/>
        <sz val="11"/>
        <color rgb="FF002060"/>
        <name val="Calibri"/>
        <scheme val="minor"/>
      </font>
      <numFmt numFmtId="1" formatCode="0"/>
      <fill>
        <patternFill>
          <bgColor theme="4" tint="0.59999389629810485"/>
        </patternFill>
      </fill>
      <alignment horizontal="center" vertical="center" textRotation="0" wrapText="0" indent="0" justifyLastLine="0" shrinkToFit="0" readingOrder="0"/>
      <border diagonalUp="0" diagonalDown="0" outline="0">
        <left/>
        <right/>
        <top style="hair">
          <color rgb="FF002060"/>
        </top>
        <bottom style="hair">
          <color rgb="FF002060"/>
        </bottom>
      </border>
    </dxf>
    <dxf>
      <font>
        <b val="0"/>
        <i val="0"/>
        <strike val="0"/>
        <condense val="0"/>
        <extend val="0"/>
        <outline val="0"/>
        <shadow val="0"/>
        <u val="none"/>
        <vertAlign val="baseline"/>
        <sz val="11"/>
        <color rgb="FF002060"/>
        <name val="Calibri"/>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style="hair">
          <color rgb="FF002060"/>
        </top>
        <bottom/>
      </border>
    </dxf>
    <dxf>
      <font>
        <b val="0"/>
        <strike val="0"/>
        <outline val="0"/>
        <shadow val="0"/>
        <u val="none"/>
        <vertAlign val="baseline"/>
        <sz val="11"/>
        <color rgb="FF002060"/>
        <name val="Calibri"/>
        <scheme val="minor"/>
      </font>
      <numFmt numFmtId="1" formatCode="0"/>
      <fill>
        <patternFill patternType="none">
          <bgColor theme="4" tint="0.59999389629810485"/>
        </patternFill>
      </fill>
      <alignment horizontal="center" vertical="center" textRotation="0" wrapText="0" indent="0" justifyLastLine="0" shrinkToFit="0" readingOrder="0"/>
      <border diagonalUp="0" diagonalDown="0" outline="0">
        <left/>
        <right/>
        <top style="hair">
          <color rgb="FF002060"/>
        </top>
        <bottom style="hair">
          <color rgb="FF002060"/>
        </bottom>
      </border>
    </dxf>
    <dxf>
      <border>
        <top style="hair">
          <color rgb="FF002060"/>
        </top>
      </border>
    </dxf>
    <dxf>
      <border diagonalUp="0" diagonalDown="0">
        <left style="hair">
          <color rgb="FF002060"/>
        </left>
        <right style="hair">
          <color rgb="FF002060"/>
        </right>
        <top style="hair">
          <color rgb="FF002060"/>
        </top>
        <bottom style="hair">
          <color rgb="FF002060"/>
        </bottom>
      </border>
    </dxf>
    <dxf>
      <font>
        <strike val="0"/>
        <outline val="0"/>
        <shadow val="0"/>
        <u val="none"/>
        <vertAlign val="baseline"/>
        <color theme="8" tint="-0.499984740745262"/>
        <name val="Calibri"/>
        <scheme val="minor"/>
      </font>
      <fill>
        <patternFill patternType="none">
          <bgColor auto="1"/>
        </patternFill>
      </fill>
      <alignment horizontal="center" vertical="center" textRotation="0" wrapText="0" indent="0" justifyLastLine="0" shrinkToFit="0" readingOrder="0"/>
    </dxf>
    <dxf>
      <border>
        <bottom style="hair">
          <color rgb="FF002060"/>
        </bottom>
      </border>
    </dxf>
    <dxf>
      <font>
        <b/>
        <i val="0"/>
        <strike val="0"/>
        <condense val="0"/>
        <extend val="0"/>
        <outline val="0"/>
        <shadow val="0"/>
        <u val="none"/>
        <vertAlign val="baseline"/>
        <sz val="12"/>
        <color theme="8" tint="-0.499984740745262"/>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hair">
          <color rgb="FF002060"/>
        </left>
        <right style="hair">
          <color rgb="FF002060"/>
        </right>
        <top/>
        <bottom/>
        <vertical style="hair">
          <color rgb="FF002060"/>
        </vertical>
        <horizontal style="hair">
          <color rgb="FF002060"/>
        </horizontal>
      </border>
    </dxf>
    <dxf>
      <font>
        <b val="0"/>
        <i val="0"/>
        <strike val="0"/>
        <condense val="0"/>
        <extend val="0"/>
        <outline val="0"/>
        <shadow val="0"/>
        <u val="none"/>
        <vertAlign val="baseline"/>
        <sz val="11"/>
        <color auto="1"/>
        <name val="Calibri"/>
        <family val="2"/>
        <scheme val="none"/>
      </font>
      <alignment horizontal="center" vertical="center" textRotation="0" wrapText="0" indent="0" justifyLastLine="0" shrinkToFit="0" readingOrder="0"/>
      <border diagonalUp="0" diagonalDown="0" outline="0">
        <left style="hair">
          <color rgb="FF002060"/>
        </left>
        <right style="hair">
          <color rgb="FF002060"/>
        </right>
        <top style="hair">
          <color rgb="FF002060"/>
        </top>
        <bottom/>
      </border>
      <protection locked="0" hidden="0"/>
    </dxf>
    <dxf>
      <font>
        <b val="0"/>
        <strike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border diagonalUp="0" diagonalDown="0" outline="0">
        <left style="hair">
          <color rgb="FF002060"/>
        </left>
        <right style="hair">
          <color rgb="FF002060"/>
        </right>
        <top style="hair">
          <color rgb="FF002060"/>
        </top>
        <bottom style="hair">
          <color rgb="FF002060"/>
        </bottom>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outline="0">
        <left style="hair">
          <color rgb="FF002060"/>
        </left>
        <right style="hair">
          <color rgb="FF002060"/>
        </right>
        <top style="hair">
          <color rgb="FF002060"/>
        </top>
        <bottom/>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justifyLastLine="0" shrinkToFit="0" readingOrder="0"/>
      <border diagonalUp="0" diagonalDown="0" outline="0">
        <left style="hair">
          <color rgb="FF002060"/>
        </left>
        <right style="hair">
          <color rgb="FF002060"/>
        </right>
        <top style="hair">
          <color rgb="FF002060"/>
        </top>
        <bottom style="hair">
          <color rgb="FF002060"/>
        </bottom>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outline="0">
        <left style="hair">
          <color rgb="FF002060"/>
        </left>
        <right style="hair">
          <color rgb="FF002060"/>
        </right>
        <top style="hair">
          <color rgb="FF002060"/>
        </top>
        <bottom/>
      </border>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hair">
          <color rgb="FF002060"/>
        </left>
        <right style="hair">
          <color rgb="FF002060"/>
        </right>
        <top style="hair">
          <color rgb="FF002060"/>
        </top>
        <bottom style="hair">
          <color rgb="FF002060"/>
        </bottom>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outline="0">
        <left style="hair">
          <color rgb="FF002060"/>
        </left>
        <right style="hair">
          <color rgb="FF002060"/>
        </right>
        <top style="hair">
          <color rgb="FF002060"/>
        </top>
        <bottom/>
      </border>
      <protection locked="0" hidden="0"/>
    </dxf>
    <dxf>
      <font>
        <color auto="1"/>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hair">
          <color rgb="FF002060"/>
        </left>
        <right style="hair">
          <color rgb="FF002060"/>
        </right>
        <top style="hair">
          <color rgb="FF002060"/>
        </top>
        <bottom style="hair">
          <color rgb="FF002060"/>
        </bottom>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outline="0">
        <left style="hair">
          <color rgb="FF002060"/>
        </left>
        <right style="hair">
          <color rgb="FF002060"/>
        </right>
        <top style="hair">
          <color rgb="FF00206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hair">
          <color rgb="FF002060"/>
        </left>
        <right style="hair">
          <color rgb="FF002060"/>
        </right>
        <top style="hair">
          <color rgb="FF002060"/>
        </top>
        <bottom style="hair">
          <color rgb="FF002060"/>
        </bottom>
      </border>
      <protection locked="1" hidden="0"/>
    </dxf>
    <dxf>
      <font>
        <b val="0"/>
        <i val="0"/>
        <strike val="0"/>
        <condense val="0"/>
        <extend val="0"/>
        <outline val="0"/>
        <shadow val="0"/>
        <u val="none"/>
        <vertAlign val="baseline"/>
        <sz val="11"/>
        <color auto="1"/>
        <name val="Calibri"/>
        <family val="2"/>
        <scheme val="minor"/>
      </font>
      <numFmt numFmtId="19" formatCode="dd/mm/yyyy"/>
      <alignment horizontal="center" vertical="center" textRotation="0" wrapText="1" indent="0" justifyLastLine="0" shrinkToFit="0" readingOrder="0"/>
      <border diagonalUp="0" diagonalDown="0" outline="0">
        <left style="hair">
          <color rgb="FF002060"/>
        </left>
        <right style="hair">
          <color rgb="FF002060"/>
        </right>
        <top style="hair">
          <color rgb="FF002060"/>
        </top>
        <bottom/>
      </border>
      <protection locked="0"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1" indent="0" justifyLastLine="0" shrinkToFit="0" readingOrder="0"/>
      <border diagonalUp="0" diagonalDown="0" outline="0">
        <left style="hair">
          <color rgb="FF002060"/>
        </left>
        <right style="hair">
          <color rgb="FF002060"/>
        </right>
        <top style="hair">
          <color rgb="FF002060"/>
        </top>
        <bottom style="hair">
          <color rgb="FF002060"/>
        </bottom>
      </border>
      <protection locked="0" hidden="0"/>
    </dxf>
    <dxf>
      <font>
        <b val="0"/>
        <i val="0"/>
        <strike val="0"/>
        <condense val="0"/>
        <extend val="0"/>
        <outline val="0"/>
        <shadow val="0"/>
        <u val="none"/>
        <vertAlign val="baseline"/>
        <sz val="11"/>
        <color auto="1"/>
        <name val="Calibri"/>
        <family val="2"/>
        <scheme val="minor"/>
      </font>
      <numFmt numFmtId="4" formatCode="#,##0.00"/>
      <alignment horizontal="general" vertical="center" textRotation="0" wrapText="0" indent="0" justifyLastLine="0" shrinkToFit="0" readingOrder="0"/>
      <border diagonalUp="0" diagonalDown="0" outline="0">
        <left style="hair">
          <color rgb="FF002060"/>
        </left>
        <right style="hair">
          <color rgb="FF002060"/>
        </right>
        <top style="hair">
          <color rgb="FF002060"/>
        </top>
        <bottom/>
      </border>
      <protection locked="0" hidden="0"/>
    </dxf>
    <dxf>
      <font>
        <b val="0"/>
        <i val="0"/>
        <strike val="0"/>
        <condense val="0"/>
        <extend val="0"/>
        <outline val="0"/>
        <shadow val="0"/>
        <u val="none"/>
        <vertAlign val="baseline"/>
        <sz val="11"/>
        <color auto="1"/>
        <name val="Calibri"/>
        <scheme val="minor"/>
      </font>
      <numFmt numFmtId="4" formatCode="#,##0.00"/>
      <fill>
        <patternFill patternType="none">
          <fgColor indexed="64"/>
          <bgColor indexed="65"/>
        </patternFill>
      </fill>
      <alignment horizontal="general" vertical="center" textRotation="0" wrapText="0" indent="0" justifyLastLine="0" shrinkToFit="0" readingOrder="0"/>
      <border diagonalUp="0" diagonalDown="0">
        <left style="hair">
          <color rgb="FF002060"/>
        </left>
        <right style="hair">
          <color rgb="FF002060"/>
        </right>
        <top style="hair">
          <color rgb="FF002060"/>
        </top>
        <bottom style="hair">
          <color rgb="FF002060"/>
        </bottom>
      </border>
      <protection locked="0" hidden="0"/>
    </dxf>
    <dxf>
      <font>
        <b val="0"/>
        <i val="0"/>
        <strike val="0"/>
        <condense val="0"/>
        <extend val="0"/>
        <outline val="0"/>
        <shadow val="0"/>
        <u val="none"/>
        <vertAlign val="baseline"/>
        <sz val="11"/>
        <color auto="1"/>
        <name val="Calibri"/>
        <family val="2"/>
        <scheme val="minor"/>
      </font>
      <numFmt numFmtId="19" formatCode="dd/mm/yyyy"/>
      <alignment horizontal="center" vertical="center" textRotation="0" wrapText="0" indent="0" justifyLastLine="0" shrinkToFit="0" readingOrder="0"/>
      <border diagonalUp="0" diagonalDown="0" outline="0">
        <left style="hair">
          <color rgb="FF002060"/>
        </left>
        <right style="hair">
          <color rgb="FF002060"/>
        </right>
        <top style="hair">
          <color rgb="FF002060"/>
        </top>
        <bottom/>
      </border>
      <protection locked="0"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style="hair">
          <color rgb="FF002060"/>
        </left>
        <right style="hair">
          <color rgb="FF002060"/>
        </right>
        <top style="hair">
          <color rgb="FF002060"/>
        </top>
        <bottom style="hair">
          <color rgb="FF002060"/>
        </bottom>
      </border>
      <protection locked="0" hidden="0"/>
    </dxf>
    <dxf>
      <font>
        <b val="0"/>
        <i val="0"/>
        <strike val="0"/>
        <condense val="0"/>
        <extend val="0"/>
        <outline val="0"/>
        <shadow val="0"/>
        <u val="none"/>
        <vertAlign val="baseline"/>
        <sz val="11"/>
        <color rgb="FF002060"/>
        <name val="Calibri"/>
        <family val="2"/>
        <scheme val="minor"/>
      </font>
      <numFmt numFmtId="35" formatCode="_-* #,##0.00_-;\-* #,##0.00_-;_-* &quot;-&quot;??_-;_-@_-"/>
      <fill>
        <patternFill patternType="solid">
          <fgColor indexed="64"/>
          <bgColor theme="4" tint="0.59999389629810485"/>
        </patternFill>
      </fill>
      <alignment horizontal="right" vertical="center" textRotation="0" wrapText="0" indent="0" justifyLastLine="0" shrinkToFit="0" readingOrder="0"/>
      <border diagonalUp="0" diagonalDown="0" outline="0">
        <left style="hair">
          <color rgb="FF002060"/>
        </left>
        <right style="hair">
          <color rgb="FF002060"/>
        </right>
        <top style="hair">
          <color rgb="FF002060"/>
        </top>
        <bottom/>
      </border>
      <protection locked="0" hidden="0"/>
    </dxf>
    <dxf>
      <font>
        <b val="0"/>
        <i val="0"/>
        <strike val="0"/>
        <condense val="0"/>
        <extend val="0"/>
        <outline val="0"/>
        <shadow val="0"/>
        <u val="none"/>
        <vertAlign val="baseline"/>
        <sz val="11"/>
        <color rgb="FF002060"/>
        <name val="Calibri"/>
        <scheme val="minor"/>
      </font>
      <numFmt numFmtId="35" formatCode="_-* #,##0.00_-;\-* #,##0.00_-;_-* &quot;-&quot;??_-;_-@_-"/>
      <fill>
        <patternFill patternType="solid">
          <fgColor indexed="64"/>
          <bgColor theme="4" tint="0.59999389629810485"/>
        </patternFill>
      </fill>
      <alignment horizontal="right" vertical="center" textRotation="0" wrapText="0" indent="0" justifyLastLine="0" shrinkToFit="0" readingOrder="0"/>
      <border diagonalUp="0" diagonalDown="0">
        <left style="hair">
          <color rgb="FF002060"/>
        </left>
        <right style="hair">
          <color rgb="FF002060"/>
        </right>
        <top style="hair">
          <color rgb="FF002060"/>
        </top>
        <bottom style="hair">
          <color rgb="FF002060"/>
        </bottom>
      </border>
      <protection locked="0" hidden="0"/>
    </dxf>
    <dxf>
      <font>
        <b val="0"/>
        <i val="0"/>
        <strike val="0"/>
        <condense val="0"/>
        <extend val="0"/>
        <outline val="0"/>
        <shadow val="0"/>
        <u val="none"/>
        <vertAlign val="baseline"/>
        <sz val="11"/>
        <color rgb="FF002060"/>
        <name val="Calibri"/>
        <family val="2"/>
        <scheme val="minor"/>
      </font>
      <numFmt numFmtId="35" formatCode="_-* #,##0.00_-;\-* #,##0.00_-;_-* &quot;-&quot;??_-;_-@_-"/>
      <fill>
        <patternFill patternType="solid">
          <fgColor indexed="64"/>
          <bgColor theme="4" tint="0.59999389629810485"/>
        </patternFill>
      </fill>
      <alignment horizontal="right" vertical="center" textRotation="0" wrapText="0" indent="0" justifyLastLine="0" shrinkToFit="0" readingOrder="0"/>
      <border diagonalUp="0" diagonalDown="0" outline="0">
        <left style="hair">
          <color rgb="FF002060"/>
        </left>
        <right style="hair">
          <color rgb="FF002060"/>
        </right>
        <top style="hair">
          <color rgb="FF002060"/>
        </top>
        <bottom/>
      </border>
    </dxf>
    <dxf>
      <font>
        <b val="0"/>
        <strike val="0"/>
        <outline val="0"/>
        <shadow val="0"/>
        <u val="none"/>
        <vertAlign val="baseline"/>
        <sz val="11"/>
        <color rgb="FF002060"/>
        <name val="Calibri"/>
        <scheme val="minor"/>
      </font>
      <numFmt numFmtId="35" formatCode="_-* #,##0.00_-;\-* #,##0.00_-;_-* &quot;-&quot;??_-;_-@_-"/>
      <fill>
        <patternFill patternType="solid">
          <fgColor indexed="64"/>
          <bgColor theme="4" tint="0.59999389629810485"/>
        </patternFill>
      </fill>
      <alignment horizontal="right" vertical="center" textRotation="0" wrapText="0" indent="0" justifyLastLine="0" shrinkToFit="0" readingOrder="0"/>
      <border diagonalUp="0" diagonalDown="0">
        <left style="hair">
          <color rgb="FF002060"/>
        </left>
        <right style="hair">
          <color rgb="FF002060"/>
        </right>
        <top style="hair">
          <color rgb="FF002060"/>
        </top>
        <bottom style="hair">
          <color rgb="FF002060"/>
        </bottom>
      </border>
      <protection locked="1" hidden="0"/>
    </dxf>
    <dxf>
      <font>
        <b val="0"/>
        <i val="0"/>
        <strike val="0"/>
        <condense val="0"/>
        <extend val="0"/>
        <outline val="0"/>
        <shadow val="0"/>
        <u val="none"/>
        <vertAlign val="baseline"/>
        <sz val="11"/>
        <color auto="1"/>
        <name val="Calibri"/>
        <family val="2"/>
        <scheme val="minor"/>
      </font>
      <numFmt numFmtId="35" formatCode="_-* #,##0.00_-;\-* #,##0.00_-;_-* &quot;-&quot;??_-;_-@_-"/>
      <alignment horizontal="right" vertical="center" textRotation="0" wrapText="0" indent="0" justifyLastLine="0" shrinkToFit="0" readingOrder="0"/>
      <border diagonalUp="0" diagonalDown="0" outline="0">
        <left style="hair">
          <color rgb="FF002060"/>
        </left>
        <right style="hair">
          <color rgb="FF002060"/>
        </right>
        <top style="hair">
          <color rgb="FF002060"/>
        </top>
        <bottom/>
      </border>
      <protection locked="0" hidden="0"/>
    </dxf>
    <dxf>
      <font>
        <b val="0"/>
        <i val="0"/>
        <strike val="0"/>
        <condense val="0"/>
        <extend val="0"/>
        <outline val="0"/>
        <shadow val="0"/>
        <u val="none"/>
        <vertAlign val="baseline"/>
        <sz val="11"/>
        <color auto="1"/>
        <name val="Calibri"/>
        <scheme val="minor"/>
      </font>
      <numFmt numFmtId="35" formatCode="_-* #,##0.00_-;\-* #,##0.00_-;_-* &quot;-&quot;??_-;_-@_-"/>
      <fill>
        <patternFill patternType="none">
          <fgColor indexed="64"/>
          <bgColor indexed="65"/>
        </patternFill>
      </fill>
      <alignment horizontal="right" vertical="center" textRotation="0" wrapText="0" indent="0" justifyLastLine="0" shrinkToFit="0" readingOrder="0"/>
      <border diagonalUp="0" diagonalDown="0">
        <left style="hair">
          <color rgb="FF002060"/>
        </left>
        <right style="hair">
          <color rgb="FF002060"/>
        </right>
        <top style="hair">
          <color rgb="FF002060"/>
        </top>
        <bottom style="hair">
          <color rgb="FF002060"/>
        </bottom>
      </border>
      <protection locked="0" hidden="0"/>
    </dxf>
    <dxf>
      <font>
        <b val="0"/>
        <i val="0"/>
        <strike val="0"/>
        <condense val="0"/>
        <extend val="0"/>
        <outline val="0"/>
        <shadow val="0"/>
        <u val="none"/>
        <vertAlign val="baseline"/>
        <sz val="11"/>
        <color auto="1"/>
        <name val="Calibri"/>
        <family val="2"/>
        <scheme val="minor"/>
      </font>
      <numFmt numFmtId="19" formatCode="dd/mm/yyyy"/>
      <alignment horizontal="center" vertical="center" textRotation="0" wrapText="0" indent="0" justifyLastLine="0" shrinkToFit="0" readingOrder="0"/>
      <border diagonalUp="0" diagonalDown="0" outline="0">
        <left style="hair">
          <color rgb="FF002060"/>
        </left>
        <right style="hair">
          <color rgb="FF002060"/>
        </right>
        <top style="hair">
          <color rgb="FF002060"/>
        </top>
        <bottom/>
      </border>
      <protection locked="0" hidden="0"/>
    </dxf>
    <dxf>
      <font>
        <b val="0"/>
        <strike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style="hair">
          <color rgb="FF002060"/>
        </left>
        <right style="hair">
          <color rgb="FF002060"/>
        </right>
        <top style="hair">
          <color rgb="FF002060"/>
        </top>
        <bottom style="hair">
          <color rgb="FF002060"/>
        </bottom>
      </border>
      <protection locked="0" hidden="0"/>
    </dxf>
    <dxf>
      <font>
        <b val="0"/>
        <i val="0"/>
        <strike val="0"/>
        <condense val="0"/>
        <extend val="0"/>
        <outline val="0"/>
        <shadow val="0"/>
        <u val="none"/>
        <vertAlign val="baseline"/>
        <sz val="11"/>
        <color auto="1"/>
        <name val="Calibri"/>
        <family val="2"/>
        <scheme val="minor"/>
      </font>
      <numFmt numFmtId="19" formatCode="dd/mm/yyyy"/>
      <alignment horizontal="center" vertical="center" textRotation="0" wrapText="1" indent="0" justifyLastLine="0" shrinkToFit="0" readingOrder="0"/>
      <border diagonalUp="0" diagonalDown="0" outline="0">
        <left style="hair">
          <color rgb="FF002060"/>
        </left>
        <right style="hair">
          <color rgb="FF002060"/>
        </right>
        <top style="hair">
          <color rgb="FF002060"/>
        </top>
        <bottom/>
      </border>
      <protection locked="0"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1" indent="0" justifyLastLine="0" shrinkToFit="0" readingOrder="0"/>
      <border diagonalUp="0" diagonalDown="0" outline="0">
        <left style="hair">
          <color rgb="FF002060"/>
        </left>
        <right style="hair">
          <color rgb="FF002060"/>
        </right>
        <top style="hair">
          <color rgb="FF002060"/>
        </top>
        <bottom style="hair">
          <color rgb="FF002060"/>
        </bottom>
      </border>
      <protection locked="0" hidden="0"/>
    </dxf>
    <dxf>
      <font>
        <b val="0"/>
        <i val="0"/>
        <strike val="0"/>
        <condense val="0"/>
        <extend val="0"/>
        <outline val="0"/>
        <shadow val="0"/>
        <u val="none"/>
        <vertAlign val="baseline"/>
        <sz val="11"/>
        <color auto="1"/>
        <name val="Calibri"/>
        <family val="2"/>
        <scheme val="minor"/>
      </font>
      <numFmt numFmtId="30" formatCode="@"/>
      <alignment horizontal="center" vertical="center" textRotation="0" wrapText="0" indent="0" justifyLastLine="0" shrinkToFit="0" readingOrder="0"/>
      <border diagonalUp="0" diagonalDown="0" outline="0">
        <left style="hair">
          <color rgb="FF002060"/>
        </left>
        <right style="hair">
          <color rgb="FF002060"/>
        </right>
        <top style="hair">
          <color rgb="FF002060"/>
        </top>
        <bottom/>
      </border>
      <protection locked="0" hidden="0"/>
    </dxf>
    <dxf>
      <font>
        <b val="0"/>
        <i val="0"/>
        <strike val="0"/>
        <condense val="0"/>
        <extend val="0"/>
        <outline val="0"/>
        <shadow val="0"/>
        <u val="none"/>
        <vertAlign val="baseline"/>
        <sz val="11"/>
        <color auto="1"/>
        <name val="Calibri"/>
        <scheme val="minor"/>
      </font>
      <numFmt numFmtId="30" formatCode="@"/>
      <fill>
        <patternFill patternType="none">
          <fgColor indexed="64"/>
          <bgColor auto="1"/>
        </patternFill>
      </fill>
      <alignment horizontal="center" vertical="center" textRotation="0" wrapText="0" indent="0" justifyLastLine="0" shrinkToFit="0" readingOrder="0"/>
      <border diagonalUp="0" diagonalDown="0" outline="0">
        <left style="hair">
          <color rgb="FF002060"/>
        </left>
        <right style="hair">
          <color rgb="FF002060"/>
        </right>
        <top style="hair">
          <color rgb="FF002060"/>
        </top>
        <bottom style="hair">
          <color rgb="FF002060"/>
        </bottom>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outline="0">
        <left style="hair">
          <color rgb="FF002060"/>
        </left>
        <right style="hair">
          <color rgb="FF002060"/>
        </right>
        <top style="hair">
          <color rgb="FF002060"/>
        </top>
        <bottom/>
      </border>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hair">
          <color rgb="FF002060"/>
        </left>
        <right style="hair">
          <color rgb="FF002060"/>
        </right>
        <top style="hair">
          <color rgb="FF002060"/>
        </top>
        <bottom style="hair">
          <color rgb="FF002060"/>
        </bottom>
      </border>
      <protection locked="0" hidden="0"/>
    </dxf>
    <dxf>
      <font>
        <b val="0"/>
        <i val="0"/>
        <strike val="0"/>
        <condense val="0"/>
        <extend val="0"/>
        <outline val="0"/>
        <shadow val="0"/>
        <u val="none"/>
        <vertAlign val="baseline"/>
        <sz val="11"/>
        <color auto="1"/>
        <name val="Calibri"/>
        <family val="2"/>
        <scheme val="minor"/>
      </font>
      <numFmt numFmtId="1" formatCode="0"/>
      <alignment horizontal="center" vertical="center" textRotation="0" wrapText="0" indent="0" justifyLastLine="0" shrinkToFit="0" readingOrder="0"/>
      <border diagonalUp="0" diagonalDown="0" outline="0">
        <left style="hair">
          <color rgb="FF002060"/>
        </left>
        <right style="hair">
          <color rgb="FF002060"/>
        </right>
        <top style="hair">
          <color rgb="FF002060"/>
        </top>
        <bottom style="hair">
          <color rgb="FF002060"/>
        </bottom>
      </border>
      <protection locked="0" hidden="0"/>
    </dxf>
    <dxf>
      <font>
        <b val="0"/>
        <strike val="0"/>
        <outline val="0"/>
        <shadow val="0"/>
        <u val="none"/>
        <vertAlign val="baseline"/>
        <sz val="11"/>
        <color auto="1"/>
        <name val="Calibri"/>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left style="hair">
          <color rgb="FF002060"/>
        </left>
        <right style="hair">
          <color rgb="FF002060"/>
        </right>
        <top style="hair">
          <color rgb="FF002060"/>
        </top>
        <bottom style="hair">
          <color rgb="FF002060"/>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outline="0">
        <left style="hair">
          <color rgb="FF002060"/>
        </left>
        <right style="hair">
          <color rgb="FF002060"/>
        </right>
        <top style="hair">
          <color rgb="FF002060"/>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hair">
          <color rgb="FF002060"/>
        </left>
        <right style="hair">
          <color rgb="FF002060"/>
        </right>
        <top style="hair">
          <color rgb="FF002060"/>
        </top>
        <bottom style="hair">
          <color rgb="FF002060"/>
        </bottom>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outline="0">
        <left style="hair">
          <color rgb="FF002060"/>
        </left>
        <right style="hair">
          <color rgb="FF002060"/>
        </right>
        <top style="hair">
          <color rgb="FF002060"/>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hair">
          <color rgb="FF002060"/>
        </left>
        <right style="hair">
          <color rgb="FF002060"/>
        </right>
        <top style="hair">
          <color rgb="FF002060"/>
        </top>
        <bottom style="hair">
          <color rgb="FF002060"/>
        </bottom>
      </border>
      <protection locked="0" hidden="0"/>
    </dxf>
    <dxf>
      <font>
        <b val="0"/>
        <i val="0"/>
        <strike val="0"/>
        <condense val="0"/>
        <extend val="0"/>
        <outline val="0"/>
        <shadow val="0"/>
        <u val="none"/>
        <vertAlign val="baseline"/>
        <sz val="11"/>
        <color rgb="FF002060"/>
        <name val="Calibri"/>
        <family val="2"/>
        <scheme val="minor"/>
      </font>
      <fill>
        <patternFill patternType="solid">
          <fgColor indexed="64"/>
          <bgColor theme="4" tint="0.59999389629810485"/>
        </patternFill>
      </fill>
      <alignment horizontal="general" vertical="center" textRotation="0" wrapText="1" indent="0" justifyLastLine="0" shrinkToFit="0" readingOrder="0"/>
      <border diagonalUp="0" diagonalDown="0" outline="0">
        <left style="hair">
          <color rgb="FF002060"/>
        </left>
        <right style="hair">
          <color rgb="FF002060"/>
        </right>
        <top style="hair">
          <color rgb="FF002060"/>
        </top>
        <bottom/>
      </border>
    </dxf>
    <dxf>
      <font>
        <b val="0"/>
        <strike val="0"/>
        <outline val="0"/>
        <shadow val="0"/>
        <u val="none"/>
        <vertAlign val="baseline"/>
        <sz val="11"/>
        <color rgb="FF002060"/>
        <name val="Calibri"/>
        <scheme val="minor"/>
      </font>
      <numFmt numFmtId="0" formatCode="General"/>
      <fill>
        <patternFill patternType="solid">
          <fgColor indexed="64"/>
          <bgColor theme="4" tint="0.59999389629810485"/>
        </patternFill>
      </fill>
      <alignment horizontal="general" vertical="center" textRotation="0" wrapText="1" indent="0" justifyLastLine="0" shrinkToFit="0" readingOrder="0"/>
      <border diagonalUp="0" diagonalDown="0">
        <left style="hair">
          <color rgb="FF002060"/>
        </left>
        <right style="hair">
          <color rgb="FF002060"/>
        </right>
        <top style="hair">
          <color rgb="FF002060"/>
        </top>
        <bottom style="hair">
          <color rgb="FF002060"/>
        </bottom>
        <vertical/>
        <horizontal/>
      </border>
      <protection locked="1" hidden="0"/>
    </dxf>
    <dxf>
      <font>
        <b val="0"/>
        <i val="0"/>
        <strike val="0"/>
        <condense val="0"/>
        <extend val="0"/>
        <outline val="0"/>
        <shadow val="0"/>
        <u val="none"/>
        <vertAlign val="baseline"/>
        <sz val="11"/>
        <color auto="1"/>
        <name val="Calibri"/>
        <family val="2"/>
        <scheme val="minor"/>
      </font>
      <numFmt numFmtId="165" formatCode="0;[Red]0"/>
      <alignment horizontal="center" vertical="center" textRotation="0" wrapText="0" indent="0" justifyLastLine="0" shrinkToFit="0" readingOrder="0"/>
      <border diagonalUp="0" diagonalDown="0" outline="0">
        <left style="hair">
          <color rgb="FF002060"/>
        </left>
        <right style="hair">
          <color rgb="FF002060"/>
        </right>
        <top style="hair">
          <color rgb="FF002060"/>
        </top>
        <bottom/>
      </border>
      <protection locked="0" hidden="0"/>
    </dxf>
    <dxf>
      <font>
        <b val="0"/>
        <i val="0"/>
        <strike val="0"/>
        <condense val="0"/>
        <extend val="0"/>
        <outline val="0"/>
        <shadow val="0"/>
        <u val="none"/>
        <vertAlign val="baseline"/>
        <sz val="11"/>
        <color auto="1"/>
        <name val="Calibri"/>
        <scheme val="minor"/>
      </font>
      <numFmt numFmtId="165" formatCode="0;[Red]0"/>
      <fill>
        <patternFill patternType="none">
          <fgColor indexed="64"/>
          <bgColor auto="1"/>
        </patternFill>
      </fill>
      <alignment horizontal="center" vertical="center" textRotation="0" wrapText="0" indent="0" justifyLastLine="0" shrinkToFit="0" readingOrder="0"/>
      <border diagonalUp="0" diagonalDown="0" outline="0">
        <left style="hair">
          <color rgb="FF002060"/>
        </left>
        <right style="hair">
          <color rgb="FF002060"/>
        </right>
        <top style="hair">
          <color rgb="FF002060"/>
        </top>
        <bottom style="hair">
          <color rgb="FF002060"/>
        </bottom>
      </border>
      <protection locked="0" hidden="0"/>
    </dxf>
    <dxf>
      <font>
        <b val="0"/>
        <i val="0"/>
        <strike val="0"/>
        <condense val="0"/>
        <extend val="0"/>
        <outline val="0"/>
        <shadow val="0"/>
        <u val="none"/>
        <vertAlign val="baseline"/>
        <sz val="11"/>
        <color auto="1"/>
        <name val="Calibri"/>
        <family val="2"/>
        <scheme val="minor"/>
      </font>
      <numFmt numFmtId="19" formatCode="dd/mm/yyyy"/>
      <alignment horizontal="center" vertical="center" textRotation="0" wrapText="0" indent="0" justifyLastLine="0" shrinkToFit="0" readingOrder="0"/>
      <border diagonalUp="0" diagonalDown="0" outline="0">
        <left style="hair">
          <color rgb="FF002060"/>
        </left>
        <right style="hair">
          <color rgb="FF002060"/>
        </right>
        <top style="hair">
          <color rgb="FF002060"/>
        </top>
        <bottom/>
      </border>
      <protection locked="0" hidden="0"/>
    </dxf>
    <dxf>
      <font>
        <b val="0"/>
        <strike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style="hair">
          <color rgb="FF002060"/>
        </left>
        <right style="hair">
          <color rgb="FF002060"/>
        </right>
        <top style="hair">
          <color rgb="FF002060"/>
        </top>
        <bottom style="hair">
          <color rgb="FF002060"/>
        </bottom>
      </border>
      <protection locked="0" hidden="0"/>
    </dxf>
    <dxf>
      <font>
        <b val="0"/>
        <strike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rgb="FF000000"/>
        </left>
        <right style="thin">
          <color rgb="FF000000"/>
        </right>
        <top/>
        <bottom/>
      </border>
      <protection locked="0" hidden="0"/>
    </dxf>
    <dxf>
      <border>
        <bottom style="medium">
          <color rgb="FF002060"/>
        </bottom>
      </border>
    </dxf>
    <dxf>
      <font>
        <b/>
        <i val="0"/>
        <strike val="0"/>
        <condense val="0"/>
        <extend val="0"/>
        <outline val="0"/>
        <shadow val="0"/>
        <u val="none"/>
        <vertAlign val="baseline"/>
        <sz val="12"/>
        <color rgb="FF002060"/>
        <name val="Calibri"/>
        <scheme val="minor"/>
      </font>
      <fill>
        <patternFill patternType="solid">
          <fgColor indexed="64"/>
          <bgColor theme="4"/>
        </patternFill>
      </fill>
      <alignment horizontal="center" vertical="center" textRotation="0" wrapText="1" indent="0" justifyLastLine="0" shrinkToFit="0" readingOrder="0"/>
      <border diagonalUp="0" diagonalDown="0" outline="0">
        <left style="medium">
          <color rgb="FF002060"/>
        </left>
        <right style="medium">
          <color rgb="FF002060"/>
        </right>
        <top/>
        <bottom/>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theme="7" tint="-0.499984740745262"/>
      </font>
      <fill>
        <patternFill>
          <bgColor theme="7" tint="0.39994506668294322"/>
        </patternFill>
      </fill>
    </dxf>
    <dxf>
      <font>
        <color rgb="FF9C0006"/>
      </font>
      <fill>
        <patternFill>
          <bgColor rgb="FFFFC7CE"/>
        </patternFill>
      </fill>
    </dxf>
    <dxf>
      <font>
        <color theme="7" tint="-0.499984740745262"/>
      </font>
      <fill>
        <patternFill>
          <bgColor theme="7" tint="0.39994506668294322"/>
        </patternFill>
      </fill>
    </dxf>
    <dxf>
      <font>
        <color theme="0"/>
      </font>
      <fill>
        <patternFill patternType="none">
          <bgColor auto="1"/>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1"/>
        <color theme="8" tint="-0.499984740745262"/>
        <name val="Calibri"/>
        <scheme val="minor"/>
      </font>
      <numFmt numFmtId="34" formatCode="_-&quot;R$&quot;\ * #,##0.00_-;\-&quot;R$&quot;\ * #,##0.00_-;_-&quot;R$&quot;\ * &quot;-&quot;??_-;_-@_-"/>
      <fill>
        <patternFill patternType="none">
          <fgColor indexed="64"/>
          <bgColor indexed="65"/>
        </patternFill>
      </fill>
      <alignment horizontal="general" vertical="bottom" textRotation="0" wrapText="0" indent="0" justifyLastLine="0" shrinkToFit="0" readingOrder="0"/>
      <border diagonalUp="0" diagonalDown="0">
        <left style="hair">
          <color indexed="64"/>
        </left>
        <right/>
        <top style="hair">
          <color indexed="64"/>
        </top>
        <bottom style="hair">
          <color indexed="64"/>
        </bottom>
      </border>
      <protection locked="1" hidden="0"/>
    </dxf>
    <dxf>
      <font>
        <b val="0"/>
        <i val="0"/>
        <strike val="0"/>
        <condense val="0"/>
        <extend val="0"/>
        <outline val="0"/>
        <shadow val="0"/>
        <u val="none"/>
        <vertAlign val="baseline"/>
        <sz val="11"/>
        <color theme="8" tint="-0.499984740745262"/>
        <name val="Calibri"/>
        <scheme val="minor"/>
      </font>
      <numFmt numFmtId="34" formatCode="_-&quot;R$&quot;\ * #,##0.00_-;\-&quot;R$&quot;\ * #,##0.00_-;_-&quot;R$&quot;\ * &quot;-&quot;??_-;_-@_-"/>
      <fill>
        <patternFill patternType="solid">
          <fgColor indexed="64"/>
          <bgColor rgb="FFFFFF00"/>
        </patternFill>
      </fill>
      <alignment horizontal="general" vertical="bottom" textRotation="0" wrapText="0" indent="0" justifyLastLine="0" shrinkToFit="0" readingOrder="0"/>
      <border diagonalUp="0" diagonalDown="0" outline="0">
        <left style="hair">
          <color indexed="64"/>
        </left>
        <right style="hair">
          <color indexed="64"/>
        </right>
        <top style="hair">
          <color indexed="64"/>
        </top>
        <bottom/>
      </border>
      <protection locked="0" hidden="0"/>
    </dxf>
    <dxf>
      <font>
        <b val="0"/>
        <i val="0"/>
        <strike val="0"/>
        <condense val="0"/>
        <extend val="0"/>
        <outline val="0"/>
        <shadow val="0"/>
        <u val="none"/>
        <vertAlign val="baseline"/>
        <sz val="11"/>
        <color theme="8" tint="-0.499984740745262"/>
        <name val="Calibri"/>
        <family val="2"/>
        <scheme val="minor"/>
      </font>
      <numFmt numFmtId="34" formatCode="_-&quot;R$&quot;\ * #,##0.00_-;\-&quot;R$&quot;\ * #,##0.00_-;_-&quot;R$&quot;\ * &quot;-&quot;??_-;_-@_-"/>
      <fill>
        <patternFill patternType="solid">
          <fgColor indexed="64"/>
          <bgColor theme="4" tint="0.59999389629810485"/>
        </patternFill>
      </fill>
      <alignment horizontal="general"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0"/>
    </dxf>
    <dxf>
      <font>
        <b val="0"/>
        <i val="0"/>
        <strike val="0"/>
        <condense val="0"/>
        <extend val="0"/>
        <outline val="0"/>
        <shadow val="0"/>
        <u val="none"/>
        <vertAlign val="baseline"/>
        <sz val="11"/>
        <color theme="8" tint="-0.499984740745262"/>
        <name val="Calibri"/>
        <scheme val="minor"/>
      </font>
      <numFmt numFmtId="34" formatCode="_-&quot;R$&quot;\ * #,##0.00_-;\-&quot;R$&quot;\ * #,##0.00_-;_-&quot;R$&quot;\ * &quot;-&quot;??_-;_-@_-"/>
      <fill>
        <patternFill patternType="none">
          <fgColor indexed="64"/>
          <bgColor indexed="65"/>
        </patternFill>
      </fill>
      <alignment horizontal="general"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1"/>
        <color theme="8" tint="-0.499984740745262"/>
        <name val="Calibri"/>
        <scheme val="minor"/>
      </font>
      <numFmt numFmtId="34" formatCode="_-&quot;R$&quot;\ * #,##0.00_-;\-&quot;R$&quot;\ * #,##0.00_-;_-&quot;R$&quot;\ * &quot;-&quot;??_-;_-@_-"/>
      <fill>
        <patternFill patternType="none">
          <fgColor indexed="64"/>
          <bgColor indexed="65"/>
        </patternFill>
      </fill>
      <alignment horizontal="general"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1"/>
        <color theme="8" tint="-0.499984740745262"/>
        <name val="Calibri"/>
        <scheme val="minor"/>
      </font>
      <numFmt numFmtId="1" formatCode="0"/>
      <fill>
        <patternFill patternType="none">
          <fgColor indexed="64"/>
          <bgColor auto="1"/>
        </patternFill>
      </fill>
      <alignment horizontal="center" vertical="bottom" textRotation="0" wrapText="0" indent="0" justifyLastLine="0" shrinkToFit="0" readingOrder="0"/>
      <border diagonalUp="0" diagonalDown="0" outline="0">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1"/>
        <color theme="8" tint="-0.499984740745262"/>
        <name val="Calibri"/>
        <scheme val="minor"/>
      </font>
      <numFmt numFmtId="30" formatCode="@"/>
      <fill>
        <patternFill patternType="none">
          <fgColor indexed="64"/>
          <bgColor auto="1"/>
        </patternFill>
      </fill>
      <border diagonalUp="0" diagonalDown="0" outline="0">
        <left/>
        <right/>
        <top style="hair">
          <color indexed="64"/>
        </top>
        <bottom style="hair">
          <color indexed="64"/>
        </bottom>
      </border>
      <protection locked="0" hidden="0"/>
    </dxf>
    <dxf>
      <font>
        <b val="0"/>
        <i val="0"/>
        <strike val="0"/>
        <condense val="0"/>
        <extend val="0"/>
        <outline val="0"/>
        <shadow val="0"/>
        <u val="none"/>
        <vertAlign val="baseline"/>
        <sz val="11"/>
        <color theme="8" tint="-0.499984740745262"/>
        <name val="Calibri"/>
        <scheme val="minor"/>
      </font>
      <numFmt numFmtId="1" formatCode="0"/>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1"/>
        <color theme="8" tint="-0.499984740745262"/>
        <name val="Calibri"/>
        <scheme val="minor"/>
      </font>
      <numFmt numFmtId="1" formatCode="0"/>
      <fill>
        <patternFill patternType="none">
          <fgColor indexed="64"/>
          <bgColor auto="1"/>
        </patternFill>
      </fil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1"/>
        <color theme="8" tint="-0.499984740745262"/>
        <name val="Calibri"/>
        <scheme val="minor"/>
      </font>
      <numFmt numFmtId="1" formatCode="0"/>
      <fill>
        <patternFill patternType="solid">
          <fgColor indexed="64"/>
          <bgColor theme="4" tint="0.59999389629810485"/>
        </patternFill>
      </fil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0"/>
    </dxf>
    <dxf>
      <font>
        <b val="0"/>
        <i val="0"/>
        <strike val="0"/>
        <condense val="0"/>
        <extend val="0"/>
        <outline val="0"/>
        <shadow val="0"/>
        <u val="none"/>
        <vertAlign val="baseline"/>
        <sz val="11"/>
        <color theme="8" tint="-0.499984740745262"/>
        <name val="Calibri"/>
        <scheme val="minor"/>
      </font>
      <numFmt numFmtId="1" formatCode="0"/>
      <fill>
        <patternFill patternType="solid">
          <fgColor indexed="64"/>
          <bgColor theme="4" tint="0.59999389629810485"/>
        </patternFill>
      </fil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0"/>
    </dxf>
    <dxf>
      <font>
        <b val="0"/>
        <i val="0"/>
        <strike val="0"/>
        <condense val="0"/>
        <extend val="0"/>
        <outline val="0"/>
        <shadow val="0"/>
        <u val="none"/>
        <vertAlign val="baseline"/>
        <sz val="11"/>
        <color theme="8" tint="-0.499984740745262"/>
        <name val="Calibri"/>
        <scheme val="minor"/>
      </font>
      <numFmt numFmtId="1" formatCode="0"/>
      <fill>
        <patternFill patternType="solid">
          <fgColor indexed="64"/>
          <bgColor theme="4" tint="0.59999389629810485"/>
        </patternFill>
      </fill>
      <alignment horizontal="center" vertical="bottom" textRotation="0" wrapText="0" indent="0" justifyLastLine="0" shrinkToFit="0" readingOrder="0"/>
      <border diagonalUp="0" diagonalDown="0">
        <left/>
        <right style="hair">
          <color indexed="64"/>
        </right>
        <top style="hair">
          <color indexed="64"/>
        </top>
        <bottom style="hair">
          <color indexed="64"/>
        </bottom>
      </border>
      <protection locked="1" hidden="0"/>
    </dxf>
    <dxf>
      <font>
        <b val="0"/>
        <i val="0"/>
        <strike val="0"/>
        <condense val="0"/>
        <extend val="0"/>
        <outline val="0"/>
        <shadow val="0"/>
        <u val="none"/>
        <vertAlign val="baseline"/>
        <sz val="11"/>
        <color theme="8" tint="-0.499984740745262"/>
        <name val="Calibri"/>
        <scheme val="minor"/>
      </font>
      <numFmt numFmtId="1" formatCode="0"/>
      <fill>
        <patternFill patternType="solid">
          <fgColor indexed="64"/>
          <bgColor theme="4" tint="0.59999389629810485"/>
        </patternFill>
      </fil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0"/>
    </dxf>
    <dxf>
      <font>
        <b val="0"/>
        <i val="0"/>
        <strike val="0"/>
        <condense val="0"/>
        <extend val="0"/>
        <outline val="0"/>
        <shadow val="0"/>
        <u val="none"/>
        <vertAlign val="baseline"/>
        <sz val="11"/>
        <color theme="8" tint="-0.499984740745262"/>
        <name val="Calibri"/>
        <scheme val="minor"/>
      </font>
      <numFmt numFmtId="19" formatCode="dd/mm/yyyy"/>
      <fill>
        <patternFill patternType="none">
          <fgColor indexed="64"/>
          <bgColor auto="1"/>
        </patternFill>
      </fill>
      <alignment horizontal="center" vertical="bottom" textRotation="0" wrapText="0" indent="0" justifyLastLine="0" shrinkToFit="0" readingOrder="0"/>
      <border diagonalUp="0" diagonalDown="0" outline="0">
        <left/>
        <right style="hair">
          <color indexed="64"/>
        </right>
        <top style="hair">
          <color indexed="64"/>
        </top>
        <bottom style="hair">
          <color indexed="64"/>
        </bottom>
      </border>
      <protection locked="1" hidden="0"/>
    </dxf>
    <dxf>
      <border outline="0">
        <top style="hair">
          <color indexed="64"/>
        </top>
      </border>
    </dxf>
    <dxf>
      <border outline="0">
        <left style="hair">
          <color indexed="64"/>
        </left>
        <top style="hair">
          <color indexed="64"/>
        </top>
        <bottom style="hair">
          <color indexed="64"/>
        </bottom>
      </border>
    </dxf>
    <dxf>
      <protection locked="0" hidden="0"/>
    </dxf>
    <dxf>
      <border outline="0">
        <bottom style="hair">
          <color indexed="64"/>
        </bottom>
      </border>
    </dxf>
    <dxf>
      <font>
        <b/>
        <i val="0"/>
        <strike val="0"/>
        <condense val="0"/>
        <extend val="0"/>
        <outline val="0"/>
        <shadow val="0"/>
        <u val="none"/>
        <vertAlign val="baseline"/>
        <sz val="12"/>
        <color theme="8" tint="-0.499984740745262"/>
        <name val="Calibri"/>
        <scheme val="minor"/>
      </font>
      <numFmt numFmtId="167" formatCode="&quot;R$&quot;\ #,##0.00"/>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indexed="64"/>
        </left>
        <right style="hair">
          <color indexed="64"/>
        </right>
        <top/>
        <bottom/>
      </border>
    </dxf>
    <dxf>
      <font>
        <color rgb="FF006100"/>
      </font>
      <fill>
        <patternFill>
          <bgColor rgb="FFC6EFCE"/>
        </patternFill>
      </fill>
    </dxf>
    <dxf>
      <font>
        <color rgb="FF9C0006"/>
      </font>
      <fill>
        <patternFill>
          <bgColor rgb="FFFFC7CE"/>
        </patternFill>
      </fill>
    </dxf>
    <dxf>
      <fill>
        <patternFill patternType="none">
          <bgColor auto="1"/>
        </patternFill>
      </fill>
    </dxf>
    <dxf>
      <font>
        <strike val="0"/>
        <outline val="0"/>
        <shadow val="0"/>
        <u val="none"/>
        <vertAlign val="baseline"/>
        <sz val="11"/>
        <name val="Calibri"/>
        <scheme val="minor"/>
      </font>
      <numFmt numFmtId="34" formatCode="_-&quot;R$&quot;\ * #,##0.00_-;\-&quot;R$&quot;\ * #,##0.00_-;_-&quot;R$&quot;\ * &quot;-&quot;??_-;_-@_-"/>
      <fill>
        <patternFill patternType="none">
          <fgColor indexed="64"/>
          <bgColor auto="1"/>
        </patternFill>
      </fill>
      <border diagonalUp="0" diagonalDown="0">
        <left style="hair">
          <color auto="1"/>
        </left>
        <right style="hair">
          <color auto="1"/>
        </right>
        <top style="hair">
          <color auto="1"/>
        </top>
        <bottom style="hair">
          <color auto="1"/>
        </bottom>
        <vertical style="hair">
          <color auto="1"/>
        </vertical>
        <horizontal style="hair">
          <color auto="1"/>
        </horizontal>
      </border>
      <protection locked="0" hidden="0"/>
    </dxf>
    <dxf>
      <font>
        <strike val="0"/>
        <outline val="0"/>
        <shadow val="0"/>
        <u val="none"/>
        <vertAlign val="baseline"/>
        <sz val="11"/>
        <name val="Calibri"/>
        <scheme val="minor"/>
      </font>
      <numFmt numFmtId="34" formatCode="_-&quot;R$&quot;\ * #,##0.00_-;\-&quot;R$&quot;\ * #,##0.00_-;_-&quot;R$&quot;\ * &quot;-&quot;??_-;_-@_-"/>
      <fill>
        <patternFill patternType="none">
          <fgColor indexed="64"/>
          <bgColor auto="1"/>
        </patternFill>
      </fill>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1" hidden="0"/>
    </dxf>
    <dxf>
      <font>
        <strike val="0"/>
        <outline val="0"/>
        <shadow val="0"/>
        <u val="none"/>
        <vertAlign val="baseline"/>
        <sz val="11"/>
        <name val="Calibri"/>
        <scheme val="minor"/>
      </font>
      <numFmt numFmtId="34" formatCode="_-&quot;R$&quot;\ * #,##0.00_-;\-&quot;R$&quot;\ * #,##0.00_-;_-&quot;R$&quot;\ * &quot;-&quot;??_-;_-@_-"/>
      <fill>
        <patternFill patternType="solid">
          <fgColor indexed="64"/>
          <bgColor theme="4" tint="0.59999389629810485"/>
        </patternFill>
      </fill>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1"/>
        <color theme="1"/>
        <name val="Calibri"/>
        <scheme val="minor"/>
      </font>
      <numFmt numFmtId="34" formatCode="_-&quot;R$&quot;\ * #,##0.00_-;\-&quot;R$&quot;\ * #,##0.00_-;_-&quot;R$&quot;\ * &quot;-&quot;??_-;_-@_-"/>
      <fill>
        <patternFill patternType="none">
          <fgColor indexed="64"/>
          <bgColor auto="1"/>
        </patternFill>
      </fill>
      <alignment horizontal="right" vertical="bottom"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1" hidden="0"/>
    </dxf>
    <dxf>
      <font>
        <b val="0"/>
        <i val="0"/>
        <strike val="0"/>
        <condense val="0"/>
        <extend val="0"/>
        <outline val="0"/>
        <shadow val="0"/>
        <u val="none"/>
        <vertAlign val="baseline"/>
        <sz val="11"/>
        <color theme="1"/>
        <name val="Calibri"/>
        <scheme val="minor"/>
      </font>
      <numFmt numFmtId="34" formatCode="_-&quot;R$&quot;\ * #,##0.00_-;\-&quot;R$&quot;\ * #,##0.00_-;_-&quot;R$&quot;\ * &quot;-&quot;??_-;_-@_-"/>
      <fill>
        <patternFill patternType="none">
          <fgColor indexed="64"/>
          <bgColor auto="1"/>
        </patternFill>
      </fill>
      <border diagonalUp="0" diagonalDown="0">
        <left style="hair">
          <color auto="1"/>
        </left>
        <right style="hair">
          <color auto="1"/>
        </right>
        <top style="hair">
          <color auto="1"/>
        </top>
        <bottom style="hair">
          <color auto="1"/>
        </bottom>
        <vertical style="hair">
          <color auto="1"/>
        </vertical>
        <horizontal style="hair">
          <color auto="1"/>
        </horizontal>
      </border>
      <protection locked="0" hidden="0"/>
    </dxf>
    <dxf>
      <font>
        <strike val="0"/>
        <outline val="0"/>
        <shadow val="0"/>
        <u val="none"/>
        <vertAlign val="baseline"/>
        <sz val="11"/>
        <name val="Calibri"/>
        <scheme val="minor"/>
      </font>
      <numFmt numFmtId="34" formatCode="_-&quot;R$&quot;\ * #,##0.00_-;\-&quot;R$&quot;\ * #,##0.00_-;_-&quot;R$&quot;\ * &quot;-&quot;??_-;_-@_-"/>
      <fill>
        <patternFill patternType="none">
          <fgColor indexed="64"/>
          <bgColor auto="1"/>
        </patternFill>
      </fill>
      <border diagonalUp="0" diagonalDown="0">
        <left style="hair">
          <color auto="1"/>
        </left>
        <right style="hair">
          <color auto="1"/>
        </right>
        <top style="hair">
          <color auto="1"/>
        </top>
        <bottom style="hair">
          <color auto="1"/>
        </bottom>
        <vertical style="hair">
          <color auto="1"/>
        </vertical>
        <horizontal style="hair">
          <color auto="1"/>
        </horizontal>
      </border>
      <protection locked="0" hidden="0"/>
    </dxf>
    <dxf>
      <fill>
        <patternFill patternType="none">
          <fgColor indexed="64"/>
          <bgColor auto="1"/>
        </patternFill>
      </fill>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0" hidden="0"/>
    </dxf>
    <dxf>
      <fill>
        <patternFill patternType="none">
          <fgColor indexed="64"/>
          <bgColor auto="1"/>
        </patternFill>
      </fill>
      <border diagonalUp="0" diagonalDown="0">
        <left style="hair">
          <color auto="1"/>
        </left>
        <right style="hair">
          <color auto="1"/>
        </right>
        <top style="hair">
          <color auto="1"/>
        </top>
        <bottom style="hair">
          <color auto="1"/>
        </bottom>
        <vertical style="hair">
          <color auto="1"/>
        </vertical>
        <horizontal style="hair">
          <color auto="1"/>
        </horizontal>
      </border>
      <protection locked="0" hidden="0"/>
    </dxf>
    <dxf>
      <numFmt numFmtId="1" formatCode="0"/>
      <fill>
        <patternFill patternType="none">
          <fgColor indexed="64"/>
          <bgColor auto="1"/>
        </patternFill>
      </fill>
      <alignment horizontal="center" vertical="bottom"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0" hidden="0"/>
    </dxf>
    <dxf>
      <numFmt numFmtId="1" formatCode="0"/>
      <fill>
        <patternFill patternType="none">
          <fgColor indexed="64"/>
          <bgColor auto="1"/>
        </patternFill>
      </fill>
      <alignment horizontal="center" vertical="bottom"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0" hidden="0"/>
    </dxf>
    <dxf>
      <numFmt numFmtId="1" formatCode="0"/>
      <fill>
        <patternFill patternType="none">
          <fgColor indexed="64"/>
          <bgColor auto="1"/>
        </patternFill>
      </fill>
      <alignment horizontal="center" vertical="bottom"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0" hidden="0"/>
    </dxf>
    <dxf>
      <numFmt numFmtId="1" formatCode="0"/>
      <fill>
        <patternFill patternType="none">
          <fgColor indexed="64"/>
          <bgColor auto="1"/>
        </patternFill>
      </fill>
      <alignment horizontal="center" vertical="bottom"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0" hidden="0"/>
    </dxf>
    <dxf>
      <numFmt numFmtId="1" formatCode="0"/>
      <fill>
        <patternFill patternType="none">
          <fgColor indexed="64"/>
          <bgColor auto="1"/>
        </patternFill>
      </fill>
      <alignment horizontal="center" vertical="bottom"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0" hidden="0"/>
    </dxf>
    <dxf>
      <numFmt numFmtId="19" formatCode="dd/mm/yyyy"/>
      <fill>
        <patternFill patternType="none">
          <fgColor indexed="64"/>
          <bgColor auto="1"/>
        </patternFill>
      </fill>
      <alignment horizontal="center" vertical="bottom"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0" hidden="0"/>
    </dxf>
    <dxf>
      <border>
        <top style="hair">
          <color auto="1"/>
        </top>
      </border>
    </dxf>
    <dxf>
      <border diagonalUp="0" diagonalDown="0">
        <left style="thin">
          <color auto="1"/>
        </left>
        <right style="thin">
          <color auto="1"/>
        </right>
        <top style="thin">
          <color auto="1"/>
        </top>
        <bottom style="thin">
          <color auto="1"/>
        </bottom>
      </border>
    </dxf>
    <dxf>
      <fill>
        <patternFill patternType="none">
          <fgColor indexed="64"/>
          <bgColor auto="1"/>
        </patternFill>
      </fill>
      <protection locked="0" hidden="0"/>
    </dxf>
    <dxf>
      <border>
        <bottom style="hair">
          <color auto="1"/>
        </bottom>
      </border>
    </dxf>
    <dxf>
      <font>
        <b/>
        <i val="0"/>
        <strike val="0"/>
        <condense val="0"/>
        <extend val="0"/>
        <outline val="0"/>
        <shadow val="0"/>
        <u val="none"/>
        <vertAlign val="baseline"/>
        <sz val="12"/>
        <color theme="8" tint="-0.499984740745262"/>
        <name val="Calibri"/>
        <scheme val="minor"/>
      </font>
      <numFmt numFmtId="167" formatCode="&quot;R$&quot;\ #,##0.00"/>
      <fill>
        <patternFill patternType="solid">
          <fgColor indexed="64"/>
          <bgColor theme="4" tint="0.59999389629810485"/>
        </patternFill>
      </fill>
      <alignment horizontal="center" vertical="center" textRotation="0" wrapText="0" indent="0" justifyLastLine="0" shrinkToFit="0" readingOrder="0"/>
      <border diagonalUp="0" diagonalDown="0">
        <left style="hair">
          <color auto="1"/>
        </left>
        <right style="hair">
          <color auto="1"/>
        </right>
        <top/>
        <bottom/>
        <vertical style="hair">
          <color auto="1"/>
        </vertical>
        <horizontal style="hair">
          <color auto="1"/>
        </horizontal>
      </border>
    </dxf>
    <dxf>
      <font>
        <b val="0"/>
        <i val="0"/>
        <strike val="0"/>
        <condense val="0"/>
        <extend val="0"/>
        <outline val="0"/>
        <shadow val="0"/>
        <u val="none"/>
        <vertAlign val="baseline"/>
        <sz val="11"/>
        <color rgb="FF002060"/>
        <name val="Calibri"/>
        <scheme val="minor"/>
      </font>
      <numFmt numFmtId="34" formatCode="_-&quot;R$&quot;\ * #,##0.00_-;\-&quot;R$&quot;\ * #,##0.00_-;_-&quot;R$&quot;\ * &quot;-&quot;??_-;_-@_-"/>
      <fill>
        <patternFill patternType="solid">
          <fgColor indexed="64"/>
          <bgColor rgb="FFFFD9D9"/>
        </patternFill>
      </fill>
      <border diagonalUp="0" diagonalDown="0">
        <left style="hair">
          <color theme="8" tint="-0.499984740745262"/>
        </left>
        <right style="hair">
          <color theme="8" tint="-0.499984740745262"/>
        </right>
        <top style="hair">
          <color theme="8" tint="-0.499984740745262"/>
        </top>
        <bottom style="hair">
          <color theme="8" tint="-0.499984740745262"/>
        </bottom>
        <vertical style="hair">
          <color theme="8" tint="-0.499984740745262"/>
        </vertical>
        <horizontal style="hair">
          <color theme="8" tint="-0.499984740745262"/>
        </horizontal>
      </border>
    </dxf>
    <dxf>
      <font>
        <b val="0"/>
        <i val="0"/>
        <strike val="0"/>
        <condense val="0"/>
        <extend val="0"/>
        <outline val="0"/>
        <shadow val="0"/>
        <u val="none"/>
        <vertAlign val="baseline"/>
        <sz val="11"/>
        <color rgb="FF002060"/>
        <name val="Calibri"/>
        <scheme val="minor"/>
      </font>
      <fill>
        <patternFill patternType="solid">
          <fgColor indexed="64"/>
          <bgColor theme="4" tint="0.59999389629810485"/>
        </patternFill>
      </fill>
      <border diagonalUp="0" diagonalDown="0" outline="0">
        <left style="hair">
          <color theme="8" tint="-0.499984740745262"/>
        </left>
        <right style="hair">
          <color theme="8" tint="-0.499984740745262"/>
        </right>
        <top/>
        <bottom/>
      </border>
    </dxf>
    <dxf>
      <font>
        <b val="0"/>
        <i val="0"/>
        <strike val="0"/>
        <condense val="0"/>
        <extend val="0"/>
        <outline val="0"/>
        <shadow val="0"/>
        <u val="none"/>
        <vertAlign val="baseline"/>
        <sz val="11"/>
        <color rgb="FF002060"/>
        <name val="Calibri"/>
        <scheme val="minor"/>
      </font>
      <numFmt numFmtId="34" formatCode="_-&quot;R$&quot;\ * #,##0.00_-;\-&quot;R$&quot;\ * #,##0.00_-;_-&quot;R$&quot;\ * &quot;-&quot;??_-;_-@_-"/>
      <fill>
        <patternFill patternType="solid">
          <fgColor indexed="64"/>
          <bgColor theme="4" tint="0.59999389629810485"/>
        </patternFill>
      </fill>
      <border diagonalUp="0" diagonalDown="0">
        <left style="hair">
          <color theme="8" tint="-0.499984740745262"/>
        </left>
        <right style="hair">
          <color theme="8" tint="-0.499984740745262"/>
        </right>
        <top style="hair">
          <color theme="8" tint="-0.499984740745262"/>
        </top>
        <bottom style="hair">
          <color theme="8" tint="-0.499984740745262"/>
        </bottom>
        <vertical style="hair">
          <color theme="8" tint="-0.499984740745262"/>
        </vertical>
        <horizontal style="hair">
          <color theme="8" tint="-0.499984740745262"/>
        </horizontal>
      </border>
    </dxf>
    <dxf>
      <font>
        <b val="0"/>
        <i val="0"/>
        <strike val="0"/>
        <condense val="0"/>
        <extend val="0"/>
        <outline val="0"/>
        <shadow val="0"/>
        <u val="none"/>
        <vertAlign val="baseline"/>
        <sz val="11"/>
        <color rgb="FF002060"/>
        <name val="Calibri"/>
        <scheme val="minor"/>
      </font>
      <fill>
        <patternFill patternType="solid">
          <fgColor indexed="64"/>
          <bgColor theme="4" tint="0.59999389629810485"/>
        </patternFill>
      </fill>
      <border diagonalUp="0" diagonalDown="0" outline="0">
        <left style="hair">
          <color theme="8" tint="-0.499984740745262"/>
        </left>
        <right style="hair">
          <color theme="8" tint="-0.499984740745262"/>
        </right>
        <top/>
        <bottom/>
      </border>
    </dxf>
    <dxf>
      <font>
        <b val="0"/>
        <i val="0"/>
        <strike val="0"/>
        <condense val="0"/>
        <extend val="0"/>
        <outline val="0"/>
        <shadow val="0"/>
        <u val="none"/>
        <vertAlign val="baseline"/>
        <sz val="11"/>
        <color rgb="FF002060"/>
        <name val="Calibri"/>
        <scheme val="minor"/>
      </font>
      <numFmt numFmtId="34" formatCode="_-&quot;R$&quot;\ * #,##0.00_-;\-&quot;R$&quot;\ * #,##0.00_-;_-&quot;R$&quot;\ * &quot;-&quot;??_-;_-@_-"/>
      <fill>
        <patternFill patternType="solid">
          <fgColor indexed="64"/>
          <bgColor theme="4" tint="0.59999389629810485"/>
        </patternFill>
      </fill>
      <border diagonalUp="0" diagonalDown="0">
        <left style="hair">
          <color theme="8" tint="-0.499984740745262"/>
        </left>
        <right style="hair">
          <color theme="8" tint="-0.499984740745262"/>
        </right>
        <top style="hair">
          <color theme="8" tint="-0.499984740745262"/>
        </top>
        <bottom style="hair">
          <color theme="8" tint="-0.499984740745262"/>
        </bottom>
        <vertical style="hair">
          <color theme="8" tint="-0.499984740745262"/>
        </vertical>
        <horizontal style="hair">
          <color theme="8" tint="-0.499984740745262"/>
        </horizontal>
      </border>
    </dxf>
    <dxf>
      <font>
        <b val="0"/>
        <i val="0"/>
        <strike val="0"/>
        <condense val="0"/>
        <extend val="0"/>
        <outline val="0"/>
        <shadow val="0"/>
        <u val="none"/>
        <vertAlign val="baseline"/>
        <sz val="11"/>
        <color theme="8" tint="-0.499984740745262"/>
        <name val="Calibri"/>
        <scheme val="minor"/>
      </font>
      <fill>
        <patternFill patternType="solid">
          <fgColor indexed="64"/>
          <bgColor theme="4" tint="0.59999389629810485"/>
        </patternFill>
      </fill>
      <alignment horizontal="right" vertical="bottom" textRotation="0" wrapText="0" indent="0" justifyLastLine="0" shrinkToFit="0" readingOrder="0"/>
      <border diagonalUp="0" diagonalDown="0" outline="0">
        <left style="hair">
          <color theme="8" tint="-0.499984740745262"/>
        </left>
        <right style="hair">
          <color theme="8" tint="-0.499984740745262"/>
        </right>
        <top/>
        <bottom/>
      </border>
    </dxf>
    <dxf>
      <font>
        <b val="0"/>
        <i val="0"/>
        <strike val="0"/>
        <condense val="0"/>
        <extend val="0"/>
        <outline val="0"/>
        <shadow val="0"/>
        <u val="none"/>
        <vertAlign val="baseline"/>
        <sz val="11"/>
        <color theme="8" tint="-0.499984740745262"/>
        <name val="Calibri"/>
        <scheme val="minor"/>
      </font>
      <numFmt numFmtId="34" formatCode="_-&quot;R$&quot;\ * #,##0.00_-;\-&quot;R$&quot;\ * #,##0.00_-;_-&quot;R$&quot;\ * &quot;-&quot;??_-;_-@_-"/>
      <fill>
        <patternFill patternType="solid">
          <fgColor indexed="64"/>
          <bgColor theme="4" tint="0.59999389629810485"/>
        </patternFill>
      </fill>
      <alignment horizontal="right" vertical="bottom" textRotation="0" wrapText="0" indent="0" justifyLastLine="0" shrinkToFit="0" readingOrder="0"/>
      <border diagonalUp="0" diagonalDown="0">
        <left style="hair">
          <color theme="8" tint="-0.499984740745262"/>
        </left>
        <right style="hair">
          <color theme="8" tint="-0.499984740745262"/>
        </right>
        <top style="hair">
          <color theme="8" tint="-0.499984740745262"/>
        </top>
        <bottom style="hair">
          <color theme="8" tint="-0.499984740745262"/>
        </bottom>
        <vertical style="hair">
          <color theme="8" tint="-0.499984740745262"/>
        </vertical>
        <horizontal style="hair">
          <color theme="8" tint="-0.499984740745262"/>
        </horizontal>
      </border>
    </dxf>
    <dxf>
      <font>
        <b val="0"/>
        <i val="0"/>
        <strike val="0"/>
        <condense val="0"/>
        <extend val="0"/>
        <outline val="0"/>
        <shadow val="0"/>
        <u val="none"/>
        <vertAlign val="baseline"/>
        <sz val="11"/>
        <color theme="8" tint="-0.499984740745262"/>
        <name val="Calibri"/>
        <scheme val="minor"/>
      </font>
      <numFmt numFmtId="34" formatCode="_-&quot;R$&quot;\ * #,##0.00_-;\-&quot;R$&quot;\ * #,##0.00_-;_-&quot;R$&quot;\ * &quot;-&quot;??_-;_-@_-"/>
      <fill>
        <patternFill patternType="solid">
          <fgColor indexed="64"/>
          <bgColor theme="4" tint="0.59999389629810485"/>
        </patternFill>
      </fill>
      <alignment horizontal="right" vertical="bottom" textRotation="0" wrapText="0" indent="0" justifyLastLine="0" shrinkToFit="0" readingOrder="0"/>
      <border diagonalUp="0" diagonalDown="0">
        <left style="hair">
          <color theme="8" tint="-0.499984740745262"/>
        </left>
        <right style="hair">
          <color theme="8" tint="-0.499984740745262"/>
        </right>
        <top style="hair">
          <color theme="8" tint="-0.499984740745262"/>
        </top>
        <bottom style="hair">
          <color theme="8" tint="-0.499984740745262"/>
        </bottom>
        <vertical style="hair">
          <color theme="8" tint="-0.499984740745262"/>
        </vertical>
        <horizontal style="hair">
          <color theme="8" tint="-0.499984740745262"/>
        </horizontal>
      </border>
    </dxf>
    <dxf>
      <font>
        <b val="0"/>
        <i val="0"/>
        <strike val="0"/>
        <condense val="0"/>
        <extend val="0"/>
        <outline val="0"/>
        <shadow val="0"/>
        <u val="none"/>
        <vertAlign val="baseline"/>
        <sz val="11"/>
        <color theme="1"/>
        <name val="Calibri"/>
        <scheme val="minor"/>
      </font>
      <fill>
        <patternFill patternType="solid">
          <fgColor indexed="64"/>
          <bgColor theme="6" tint="0.79998168889431442"/>
        </patternFill>
      </fill>
      <border diagonalUp="0" diagonalDown="0" outline="0">
        <left style="hair">
          <color theme="8" tint="-0.499984740745262"/>
        </left>
        <right style="hair">
          <color theme="8" tint="-0.499984740745262"/>
        </right>
        <top/>
        <bottom/>
      </border>
    </dxf>
    <dxf>
      <font>
        <b val="0"/>
        <i val="0"/>
        <strike val="0"/>
        <condense val="0"/>
        <extend val="0"/>
        <outline val="0"/>
        <shadow val="0"/>
        <u val="none"/>
        <vertAlign val="baseline"/>
        <sz val="11"/>
        <color theme="1"/>
        <name val="Calibri"/>
        <scheme val="minor"/>
      </font>
      <numFmt numFmtId="34" formatCode="_-&quot;R$&quot;\ * #,##0.00_-;\-&quot;R$&quot;\ * #,##0.00_-;_-&quot;R$&quot;\ * &quot;-&quot;??_-;_-@_-"/>
      <fill>
        <patternFill patternType="solid">
          <fgColor indexed="64"/>
          <bgColor theme="6" tint="0.79998168889431442"/>
        </patternFill>
      </fill>
      <border diagonalUp="0" diagonalDown="0">
        <left style="hair">
          <color theme="8" tint="-0.499984740745262"/>
        </left>
        <right style="hair">
          <color theme="8" tint="-0.499984740745262"/>
        </right>
        <top style="hair">
          <color theme="8" tint="-0.499984740745262"/>
        </top>
        <bottom style="hair">
          <color theme="8" tint="-0.499984740745262"/>
        </bottom>
        <vertical style="hair">
          <color theme="8" tint="-0.499984740745262"/>
        </vertical>
        <horizontal style="hair">
          <color theme="8" tint="-0.499984740745262"/>
        </horizontal>
      </border>
    </dxf>
    <dxf>
      <font>
        <b val="0"/>
        <i val="0"/>
        <strike val="0"/>
        <condense val="0"/>
        <extend val="0"/>
        <outline val="0"/>
        <shadow val="0"/>
        <u val="none"/>
        <vertAlign val="baseline"/>
        <sz val="11"/>
        <color theme="1"/>
        <name val="Calibri"/>
        <scheme val="minor"/>
      </font>
      <numFmt numFmtId="34" formatCode="_-&quot;R$&quot;\ * #,##0.00_-;\-&quot;R$&quot;\ * #,##0.00_-;_-&quot;R$&quot;\ * &quot;-&quot;??_-;_-@_-"/>
      <fill>
        <patternFill patternType="solid">
          <fgColor indexed="64"/>
          <bgColor theme="6" tint="0.79998168889431442"/>
        </patternFill>
      </fill>
      <border diagonalUp="0" diagonalDown="0">
        <left style="hair">
          <color theme="8" tint="-0.499984740745262"/>
        </left>
        <right style="hair">
          <color theme="8" tint="-0.499984740745262"/>
        </right>
        <top style="hair">
          <color theme="8" tint="-0.499984740745262"/>
        </top>
        <bottom style="hair">
          <color theme="8" tint="-0.499984740745262"/>
        </bottom>
        <vertical style="hair">
          <color theme="8" tint="-0.499984740745262"/>
        </vertical>
        <horizontal style="hair">
          <color theme="8" tint="-0.499984740745262"/>
        </horizontal>
      </border>
    </dxf>
    <dxf>
      <font>
        <b val="0"/>
        <i val="0"/>
        <strike val="0"/>
        <condense val="0"/>
        <extend val="0"/>
        <outline val="0"/>
        <shadow val="0"/>
        <u val="none"/>
        <vertAlign val="baseline"/>
        <sz val="11"/>
        <color theme="1"/>
        <name val="Calibri"/>
        <scheme val="minor"/>
      </font>
      <fill>
        <patternFill patternType="solid">
          <fgColor indexed="64"/>
          <bgColor theme="6" tint="0.79998168889431442"/>
        </patternFill>
      </fill>
      <border diagonalUp="0" diagonalDown="0" outline="0">
        <left style="hair">
          <color theme="8" tint="-0.499984740745262"/>
        </left>
        <right style="hair">
          <color theme="8" tint="-0.499984740745262"/>
        </right>
        <top/>
        <bottom/>
      </border>
    </dxf>
    <dxf>
      <font>
        <b val="0"/>
        <i val="0"/>
        <strike val="0"/>
        <condense val="0"/>
        <extend val="0"/>
        <outline val="0"/>
        <shadow val="0"/>
        <u val="none"/>
        <vertAlign val="baseline"/>
        <sz val="11"/>
        <color theme="1"/>
        <name val="Calibri"/>
        <scheme val="minor"/>
      </font>
      <numFmt numFmtId="34" formatCode="_-&quot;R$&quot;\ * #,##0.00_-;\-&quot;R$&quot;\ * #,##0.00_-;_-&quot;R$&quot;\ * &quot;-&quot;??_-;_-@_-"/>
      <fill>
        <patternFill patternType="solid">
          <fgColor indexed="64"/>
          <bgColor theme="6" tint="0.79998168889431442"/>
        </patternFill>
      </fill>
      <border diagonalUp="0" diagonalDown="0">
        <left style="hair">
          <color theme="8" tint="-0.499984740745262"/>
        </left>
        <right style="hair">
          <color theme="8" tint="-0.499984740745262"/>
        </right>
        <top style="hair">
          <color theme="8" tint="-0.499984740745262"/>
        </top>
        <bottom style="hair">
          <color theme="8" tint="-0.499984740745262"/>
        </bottom>
        <vertical style="hair">
          <color theme="8" tint="-0.499984740745262"/>
        </vertical>
        <horizontal style="hair">
          <color theme="8" tint="-0.499984740745262"/>
        </horizontal>
      </border>
    </dxf>
    <dxf>
      <font>
        <b val="0"/>
        <i val="0"/>
        <strike val="0"/>
        <condense val="0"/>
        <extend val="0"/>
        <outline val="0"/>
        <shadow val="0"/>
        <u val="none"/>
        <vertAlign val="baseline"/>
        <sz val="11"/>
        <color theme="1"/>
        <name val="Calibri"/>
        <scheme val="minor"/>
      </font>
      <fill>
        <patternFill patternType="solid">
          <fgColor indexed="64"/>
          <bgColor theme="6" tint="0.79998168889431442"/>
        </patternFill>
      </fill>
      <border diagonalUp="0" diagonalDown="0" outline="0">
        <left style="hair">
          <color theme="8" tint="-0.499984740745262"/>
        </left>
        <right style="hair">
          <color theme="8" tint="-0.499984740745262"/>
        </right>
        <top/>
        <bottom/>
      </border>
    </dxf>
    <dxf>
      <font>
        <b val="0"/>
        <i val="0"/>
        <strike val="0"/>
        <condense val="0"/>
        <extend val="0"/>
        <outline val="0"/>
        <shadow val="0"/>
        <u val="none"/>
        <vertAlign val="baseline"/>
        <sz val="11"/>
        <color theme="1"/>
        <name val="Calibri"/>
        <scheme val="minor"/>
      </font>
      <numFmt numFmtId="34" formatCode="_-&quot;R$&quot;\ * #,##0.00_-;\-&quot;R$&quot;\ * #,##0.00_-;_-&quot;R$&quot;\ * &quot;-&quot;??_-;_-@_-"/>
      <fill>
        <patternFill patternType="solid">
          <fgColor indexed="64"/>
          <bgColor theme="6" tint="0.79998168889431442"/>
        </patternFill>
      </fill>
      <border diagonalUp="0" diagonalDown="0">
        <left style="hair">
          <color theme="8" tint="-0.499984740745262"/>
        </left>
        <right style="hair">
          <color theme="8" tint="-0.499984740745262"/>
        </right>
        <top style="hair">
          <color theme="8" tint="-0.499984740745262"/>
        </top>
        <bottom style="hair">
          <color theme="8" tint="-0.499984740745262"/>
        </bottom>
        <vertical style="hair">
          <color theme="8" tint="-0.499984740745262"/>
        </vertical>
        <horizontal style="hair">
          <color theme="8" tint="-0.499984740745262"/>
        </horizontal>
      </border>
    </dxf>
    <dxf>
      <fill>
        <patternFill patternType="solid">
          <fgColor indexed="64"/>
          <bgColor theme="6" tint="0.79998168889431442"/>
        </patternFill>
      </fill>
      <border diagonalUp="0" diagonalDown="0" outline="0">
        <left style="hair">
          <color theme="8" tint="-0.499984740745262"/>
        </left>
        <right style="hair">
          <color theme="8" tint="-0.499984740745262"/>
        </right>
        <top/>
        <bottom/>
      </border>
    </dxf>
    <dxf>
      <numFmt numFmtId="1" formatCode="0"/>
      <fill>
        <patternFill patternType="solid">
          <fgColor indexed="64"/>
          <bgColor theme="6" tint="0.79998168889431442"/>
        </patternFill>
      </fill>
      <border diagonalUp="0" diagonalDown="0">
        <left style="hair">
          <color theme="8" tint="-0.499984740745262"/>
        </left>
        <right style="hair">
          <color theme="8" tint="-0.499984740745262"/>
        </right>
        <top style="hair">
          <color theme="8" tint="-0.499984740745262"/>
        </top>
        <bottom style="hair">
          <color theme="8" tint="-0.499984740745262"/>
        </bottom>
        <vertical style="hair">
          <color theme="8" tint="-0.499984740745262"/>
        </vertical>
        <horizontal style="hair">
          <color theme="8" tint="-0.499984740745262"/>
        </horizontal>
      </border>
    </dxf>
    <dxf>
      <fill>
        <patternFill patternType="solid">
          <fgColor indexed="64"/>
          <bgColor theme="6" tint="0.79998168889431442"/>
        </patternFill>
      </fill>
      <border diagonalUp="0" diagonalDown="0" outline="0">
        <left style="hair">
          <color theme="8" tint="-0.499984740745262"/>
        </left>
        <right style="hair">
          <color theme="8" tint="-0.499984740745262"/>
        </right>
        <top/>
        <bottom/>
      </border>
    </dxf>
    <dxf>
      <numFmt numFmtId="1" formatCode="0"/>
      <fill>
        <patternFill patternType="solid">
          <fgColor indexed="64"/>
          <bgColor theme="6" tint="0.79998168889431442"/>
        </patternFill>
      </fill>
      <alignment horizontal="center" textRotation="0" wrapText="0" indent="0" justifyLastLine="0" shrinkToFit="0" readingOrder="0"/>
      <border diagonalUp="0" diagonalDown="0" outline="0">
        <left style="hair">
          <color theme="8" tint="-0.499984740745262"/>
        </left>
        <right style="hair">
          <color theme="8" tint="-0.499984740745262"/>
        </right>
        <top style="hair">
          <color theme="8" tint="-0.499984740745262"/>
        </top>
        <bottom style="hair">
          <color theme="8" tint="-0.499984740745262"/>
        </bottom>
      </border>
    </dxf>
    <dxf>
      <fill>
        <patternFill patternType="solid">
          <fgColor indexed="64"/>
          <bgColor theme="6" tint="0.79998168889431442"/>
        </patternFill>
      </fill>
      <border diagonalUp="0" diagonalDown="0" outline="0">
        <left style="hair">
          <color theme="8" tint="-0.499984740745262"/>
        </left>
        <right style="hair">
          <color theme="8" tint="-0.499984740745262"/>
        </right>
        <top/>
        <bottom/>
      </border>
    </dxf>
    <dxf>
      <numFmt numFmtId="1" formatCode="0"/>
      <fill>
        <patternFill patternType="solid">
          <fgColor indexed="64"/>
          <bgColor theme="6" tint="0.79998168889431442"/>
        </patternFill>
      </fill>
      <border diagonalUp="0" diagonalDown="0">
        <left style="hair">
          <color theme="8" tint="-0.499984740745262"/>
        </left>
        <right style="hair">
          <color theme="8" tint="-0.499984740745262"/>
        </right>
        <top style="hair">
          <color theme="8" tint="-0.499984740745262"/>
        </top>
        <bottom style="hair">
          <color theme="8" tint="-0.499984740745262"/>
        </bottom>
        <vertical style="hair">
          <color theme="8" tint="-0.499984740745262"/>
        </vertical>
        <horizontal style="hair">
          <color theme="8" tint="-0.499984740745262"/>
        </horizontal>
      </border>
    </dxf>
    <dxf>
      <fill>
        <patternFill patternType="solid">
          <fgColor indexed="64"/>
          <bgColor theme="6" tint="0.79998168889431442"/>
        </patternFill>
      </fill>
      <alignment horizontal="center" vertical="bottom" textRotation="0" wrapText="0" indent="0" justifyLastLine="0" shrinkToFit="0" readingOrder="0"/>
      <border diagonalUp="0" diagonalDown="0" outline="0">
        <left style="hair">
          <color theme="8" tint="-0.499984740745262"/>
        </left>
        <right style="hair">
          <color theme="8" tint="-0.499984740745262"/>
        </right>
        <top/>
        <bottom/>
      </border>
    </dxf>
    <dxf>
      <numFmt numFmtId="1" formatCode="0"/>
      <fill>
        <patternFill patternType="solid">
          <fgColor indexed="64"/>
          <bgColor theme="6" tint="0.79998168889431442"/>
        </patternFill>
      </fill>
      <alignment horizontal="center" vertical="bottom" textRotation="0" wrapText="0" indent="0" justifyLastLine="0" shrinkToFit="0" readingOrder="0"/>
      <border diagonalUp="0" diagonalDown="0">
        <left style="hair">
          <color theme="8" tint="-0.499984740745262"/>
        </left>
        <right style="hair">
          <color theme="8" tint="-0.499984740745262"/>
        </right>
        <top style="hair">
          <color theme="8" tint="-0.499984740745262"/>
        </top>
        <bottom style="hair">
          <color theme="8" tint="-0.499984740745262"/>
        </bottom>
        <vertical style="hair">
          <color theme="8" tint="-0.499984740745262"/>
        </vertical>
        <horizontal style="hair">
          <color theme="8" tint="-0.499984740745262"/>
        </horizontal>
      </border>
    </dxf>
    <dxf>
      <fill>
        <patternFill patternType="solid">
          <fgColor indexed="64"/>
          <bgColor theme="6" tint="0.79998168889431442"/>
        </patternFill>
      </fill>
      <border diagonalUp="0" diagonalDown="0" outline="0">
        <left style="hair">
          <color theme="8" tint="-0.499984740745262"/>
        </left>
        <right style="hair">
          <color theme="8" tint="-0.499984740745262"/>
        </right>
        <top/>
        <bottom/>
      </border>
    </dxf>
    <dxf>
      <fill>
        <patternFill patternType="solid">
          <fgColor indexed="64"/>
          <bgColor theme="6" tint="0.79998168889431442"/>
        </patternFill>
      </fill>
      <border diagonalUp="0" diagonalDown="0">
        <left style="hair">
          <color theme="8" tint="-0.499984740745262"/>
        </left>
        <right style="hair">
          <color theme="8" tint="-0.499984740745262"/>
        </right>
        <top style="hair">
          <color theme="8" tint="-0.499984740745262"/>
        </top>
        <bottom style="hair">
          <color theme="8" tint="-0.499984740745262"/>
        </bottom>
        <vertical style="hair">
          <color theme="8" tint="-0.499984740745262"/>
        </vertical>
        <horizontal style="hair">
          <color theme="8" tint="-0.499984740745262"/>
        </horizontal>
      </border>
    </dxf>
    <dxf>
      <fill>
        <patternFill patternType="solid">
          <fgColor indexed="64"/>
          <bgColor theme="6" tint="0.79998168889431442"/>
        </patternFill>
      </fill>
      <alignment horizontal="center" vertical="bottom" textRotation="0" wrapText="0" indent="0" justifyLastLine="0" shrinkToFit="0" readingOrder="0"/>
      <border diagonalUp="0" diagonalDown="0" outline="0">
        <left style="hair">
          <color theme="8" tint="-0.499984740745262"/>
        </left>
        <right style="hair">
          <color theme="8" tint="-0.499984740745262"/>
        </right>
        <top/>
        <bottom/>
      </border>
    </dxf>
    <dxf>
      <numFmt numFmtId="1" formatCode="0"/>
      <fill>
        <patternFill patternType="solid">
          <fgColor indexed="64"/>
          <bgColor theme="6" tint="0.79998168889431442"/>
        </patternFill>
      </fill>
      <alignment horizontal="center" vertical="bottom" textRotation="0" wrapText="0" indent="0" justifyLastLine="0" shrinkToFit="0" readingOrder="0"/>
      <border diagonalUp="0" diagonalDown="0">
        <left style="hair">
          <color theme="8" tint="-0.499984740745262"/>
        </left>
        <right style="hair">
          <color theme="8" tint="-0.499984740745262"/>
        </right>
        <top style="hair">
          <color theme="8" tint="-0.499984740745262"/>
        </top>
        <bottom style="hair">
          <color theme="8" tint="-0.499984740745262"/>
        </bottom>
        <vertical style="hair">
          <color theme="8" tint="-0.499984740745262"/>
        </vertical>
        <horizontal style="hair">
          <color theme="8" tint="-0.499984740745262"/>
        </horizontal>
      </border>
    </dxf>
    <dxf>
      <fill>
        <patternFill patternType="solid">
          <fgColor indexed="64"/>
          <bgColor theme="6" tint="0.79998168889431442"/>
        </patternFill>
      </fill>
      <alignment horizontal="center" vertical="bottom" textRotation="0" wrapText="0" indent="0" justifyLastLine="0" shrinkToFit="0" readingOrder="0"/>
      <border diagonalUp="0" diagonalDown="0" outline="0">
        <left style="hair">
          <color theme="8" tint="-0.499984740745262"/>
        </left>
        <right style="hair">
          <color theme="8" tint="-0.499984740745262"/>
        </right>
        <top/>
        <bottom/>
      </border>
    </dxf>
    <dxf>
      <fill>
        <patternFill patternType="solid">
          <fgColor indexed="64"/>
          <bgColor theme="6" tint="0.79998168889431442"/>
        </patternFill>
      </fill>
      <alignment horizontal="center" vertical="bottom" textRotation="0" wrapText="0" indent="0" justifyLastLine="0" shrinkToFit="0" readingOrder="0"/>
      <border diagonalUp="0" diagonalDown="0">
        <left style="hair">
          <color theme="8" tint="-0.499984740745262"/>
        </left>
        <right style="hair">
          <color theme="8" tint="-0.499984740745262"/>
        </right>
        <top style="hair">
          <color theme="8" tint="-0.499984740745262"/>
        </top>
        <bottom style="hair">
          <color theme="8" tint="-0.499984740745262"/>
        </bottom>
        <vertical style="hair">
          <color theme="8" tint="-0.499984740745262"/>
        </vertical>
        <horizontal style="hair">
          <color theme="8" tint="-0.499984740745262"/>
        </horizontal>
      </border>
    </dxf>
    <dxf>
      <fill>
        <patternFill patternType="solid">
          <fgColor indexed="64"/>
          <bgColor theme="6" tint="0.79998168889431442"/>
        </patternFill>
      </fill>
      <alignment horizontal="center" vertical="bottom" textRotation="0" wrapText="0" indent="0" justifyLastLine="0" shrinkToFit="0" readingOrder="0"/>
      <border diagonalUp="0" diagonalDown="0" outline="0">
        <left style="thin">
          <color theme="8" tint="-0.499984740745262"/>
        </left>
        <right style="hair">
          <color theme="8" tint="-0.499984740745262"/>
        </right>
        <top/>
        <bottom/>
      </border>
    </dxf>
    <dxf>
      <fill>
        <patternFill patternType="solid">
          <fgColor indexed="64"/>
          <bgColor theme="6" tint="0.79998168889431442"/>
        </patternFill>
      </fill>
      <alignment horizontal="center" vertical="bottom" textRotation="0" wrapText="0" indent="0" justifyLastLine="0" shrinkToFit="0" readingOrder="0"/>
      <border diagonalUp="0" diagonalDown="0">
        <left style="hair">
          <color theme="8" tint="-0.499984740745262"/>
        </left>
        <right style="hair">
          <color theme="8" tint="-0.499984740745262"/>
        </right>
        <top style="hair">
          <color theme="8" tint="-0.499984740745262"/>
        </top>
        <bottom style="hair">
          <color theme="8" tint="-0.499984740745262"/>
        </bottom>
        <vertical style="hair">
          <color theme="8" tint="-0.499984740745262"/>
        </vertical>
        <horizontal style="hair">
          <color theme="8" tint="-0.499984740745262"/>
        </horizontal>
      </border>
    </dxf>
    <dxf>
      <border outline="0">
        <top style="hair">
          <color rgb="FF002060"/>
        </top>
        <bottom style="double">
          <color rgb="FF002060"/>
        </bottom>
      </border>
    </dxf>
    <dxf>
      <font>
        <b/>
        <i val="0"/>
        <strike val="0"/>
        <condense val="0"/>
        <extend val="0"/>
        <outline val="0"/>
        <shadow val="0"/>
        <u val="none"/>
        <vertAlign val="baseline"/>
        <sz val="12"/>
        <color theme="8" tint="-0.499984740745262"/>
        <name val="Calibri"/>
        <scheme val="minor"/>
      </font>
      <numFmt numFmtId="167" formatCode="&quot;R$&quot;\ #,##0.00"/>
      <fill>
        <patternFill patternType="solid">
          <fgColor indexed="64"/>
          <bgColor theme="4" tint="0.59999389629810485"/>
        </patternFill>
      </fill>
      <alignment horizontal="center" vertical="center" textRotation="0" wrapText="1" indent="0" justifyLastLine="0" shrinkToFit="0" readingOrder="0"/>
      <border diagonalUp="0" diagonalDown="0" outline="0">
        <left style="hair">
          <color rgb="FF002060"/>
        </left>
        <right style="hair">
          <color rgb="FF002060"/>
        </right>
        <top/>
        <bottom/>
      </border>
    </dxf>
    <dxf>
      <font>
        <color rgb="FF006100"/>
      </font>
      <fill>
        <patternFill>
          <bgColor rgb="FFC6EFCE"/>
        </patternFill>
      </fill>
    </dxf>
    <dxf>
      <font>
        <color rgb="FF9C0006"/>
      </font>
      <fill>
        <patternFill>
          <bgColor rgb="FFFFC7CE"/>
        </patternFill>
      </fill>
    </dxf>
    <dxf>
      <font>
        <color theme="8" tint="-0.499984740745262"/>
      </font>
      <fill>
        <patternFill>
          <bgColor theme="8" tint="0.39994506668294322"/>
        </patternFill>
      </fill>
    </dxf>
    <dxf>
      <fill>
        <patternFill>
          <bgColor theme="6" tint="0.79998168889431442"/>
        </patternFill>
      </fill>
    </dxf>
    <dxf>
      <fill>
        <patternFill>
          <bgColor theme="6" tint="0.79998168889431442"/>
        </patternFill>
      </fill>
    </dxf>
    <dxf>
      <fill>
        <gradientFill degree="180">
          <stop position="0">
            <color theme="4" tint="-0.25098422193060094"/>
          </stop>
          <stop position="1">
            <color theme="4" tint="0.40000610370189521"/>
          </stop>
        </gradientFill>
      </fill>
    </dxf>
    <dxf>
      <fill>
        <gradientFill degree="270">
          <stop position="0">
            <color rgb="FF66CCFF"/>
          </stop>
          <stop position="1">
            <color theme="4"/>
          </stop>
        </gradientFill>
      </fill>
    </dxf>
    <dxf>
      <font>
        <color theme="8" tint="0.79998168889431442"/>
      </font>
      <fill>
        <patternFill>
          <bgColor theme="4" tint="0.59996337778862885"/>
        </patternFill>
      </fill>
    </dxf>
    <dxf>
      <font>
        <color auto="1"/>
      </font>
      <fill>
        <patternFill patternType="none">
          <bgColor auto="1"/>
        </patternFill>
      </fill>
    </dxf>
    <dxf>
      <fill>
        <gradientFill degree="270">
          <stop position="0">
            <color rgb="FF66CCFF"/>
          </stop>
          <stop position="1">
            <color theme="4"/>
          </stop>
        </gradientFill>
      </fill>
    </dxf>
    <dxf>
      <fill>
        <patternFill patternType="solid">
          <bgColor theme="0"/>
        </patternFill>
      </fill>
    </dxf>
    <dxf>
      <font>
        <b/>
        <i val="0"/>
        <sz val="12"/>
        <color auto="1"/>
      </font>
    </dxf>
    <dxf>
      <fill>
        <patternFill>
          <bgColor theme="2" tint="-0.24994659260841701"/>
        </patternFill>
      </fill>
    </dxf>
    <dxf>
      <font>
        <b/>
        <i val="0"/>
        <sz val="12"/>
        <color auto="1"/>
      </font>
    </dxf>
    <dxf>
      <fill>
        <patternFill>
          <bgColor theme="0" tint="-0.14996795556505021"/>
        </patternFill>
      </fill>
    </dxf>
    <dxf>
      <border diagonalUp="1" diagonalDown="0">
        <left/>
        <right/>
        <top/>
        <bottom/>
        <diagonal style="hair">
          <color auto="1"/>
        </diagonal>
      </border>
    </dxf>
    <dxf>
      <fill>
        <gradientFill type="path">
          <stop position="0">
            <color theme="0"/>
          </stop>
          <stop position="1">
            <color theme="4"/>
          </stop>
        </gradientFill>
      </fill>
    </dxf>
    <dxf>
      <font>
        <b/>
        <i val="0"/>
        <color theme="8" tint="-0.499984740745262"/>
      </font>
    </dxf>
    <dxf>
      <fill>
        <gradientFill degree="90">
          <stop position="0">
            <color theme="0"/>
          </stop>
          <stop position="1">
            <color theme="4"/>
          </stop>
        </gradientFill>
      </fill>
      <border diagonalDown="1">
        <left style="thin">
          <color theme="6" tint="0.39994506668294322"/>
        </left>
        <right style="thin">
          <color theme="6" tint="0.39994506668294322"/>
        </right>
        <top style="thin">
          <color theme="6" tint="0.39994506668294322"/>
        </top>
        <bottom style="thin">
          <color theme="6" tint="0.39994506668294322"/>
        </bottom>
        <diagonal style="thin">
          <color theme="6" tint="0.39994506668294322"/>
        </diagonal>
      </border>
    </dxf>
    <dxf>
      <fill>
        <patternFill patternType="none">
          <bgColor auto="1"/>
        </patternFill>
      </fill>
    </dxf>
  </dxfs>
  <tableStyles count="12" defaultTableStyle="TableStyleMedium2" defaultPivotStyle="PivotStyleLight16">
    <tableStyle name="Estilo de Segmentação de Dados 1" pivot="0" table="0" count="1" xr9:uid="{00000000-0011-0000-FFFF-FFFF00000000}">
      <tableStyleElement type="wholeTable" dxfId="453"/>
    </tableStyle>
    <tableStyle name="Estilo de Segmentação de Dados 2" pivot="0" table="0" count="4" xr9:uid="{00000000-0011-0000-FFFF-FFFF01000000}">
      <tableStyleElement type="wholeTable" dxfId="452"/>
      <tableStyleElement type="headerRow" dxfId="451"/>
    </tableStyle>
    <tableStyle name="Estilo de Segmentação de Dados 3" pivot="0" table="0" count="1" xr9:uid="{00000000-0011-0000-FFFF-FFFF02000000}">
      <tableStyleElement type="wholeTable" dxfId="450"/>
    </tableStyle>
    <tableStyle name="Estilo de Segmentação de Dados 4" pivot="0" table="0" count="1" xr9:uid="{00000000-0011-0000-FFFF-FFFF03000000}">
      <tableStyleElement type="wholeTable" dxfId="449"/>
    </tableStyle>
    <tableStyle name="Estilo de Segmentação de Dados 5" pivot="0" table="0" count="0" xr9:uid="{00000000-0011-0000-FFFF-FFFF04000000}"/>
    <tableStyle name="Estilo de Segmentação de Dados 6" pivot="0" table="0" count="1" xr9:uid="{00000000-0011-0000-FFFF-FFFF05000000}"/>
    <tableStyle name="Estilo de Segmentação de Dados 6 2" pivot="0" table="0" count="3" xr9:uid="{00000000-0011-0000-FFFF-FFFF06000000}">
      <tableStyleElement type="wholeTable" dxfId="448"/>
      <tableStyleElement type="headerRow" dxfId="447"/>
    </tableStyle>
    <tableStyle name="Estilo de Segmentação de Dados 7" pivot="0" table="0" count="2" xr9:uid="{00000000-0011-0000-FFFF-FFFF07000000}">
      <tableStyleElement type="wholeTable" dxfId="446"/>
      <tableStyleElement type="headerRow" dxfId="445"/>
    </tableStyle>
    <tableStyle name="Estilo de Tabela 1" pivot="0" count="1" xr9:uid="{00000000-0011-0000-FFFF-FFFF08000000}">
      <tableStyleElement type="wholeTable" dxfId="444"/>
    </tableStyle>
    <tableStyle name="Estilo de Tabela 1 2" pivot="0" count="3" xr9:uid="{00000000-0011-0000-FFFF-FFFF09000000}">
      <tableStyleElement type="headerRow" dxfId="443"/>
      <tableStyleElement type="firstRowStripe" dxfId="442"/>
      <tableStyleElement type="secondRowStripe" dxfId="441"/>
    </tableStyle>
    <tableStyle name="Estilo de Tabela 1 3" pivot="0" count="1" xr9:uid="{00000000-0011-0000-FFFF-FFFF0A000000}">
      <tableStyleElement type="headerRow" dxfId="440"/>
    </tableStyle>
    <tableStyle name="Estilo de Tabela 2" pivot="0" count="2" xr9:uid="{00000000-0011-0000-FFFF-FFFF0B000000}">
      <tableStyleElement type="headerRow" dxfId="439"/>
      <tableStyleElement type="secondRowStripe" dxfId="438"/>
    </tableStyle>
  </tableStyles>
  <colors>
    <mruColors>
      <color rgb="FFFEB0B0"/>
      <color rgb="FF57CBD7"/>
      <color rgb="FFDEEBF7"/>
      <color rgb="FF5B9BD5"/>
      <color rgb="FFFFFFCC"/>
      <color rgb="FFFF7D7D"/>
      <color rgb="FFC7F1D2"/>
      <color rgb="FFD9D9D9"/>
      <color rgb="FFFFD9D9"/>
      <color rgb="FF34628C"/>
    </mruColors>
  </colors>
  <extLst>
    <ext xmlns:x14="http://schemas.microsoft.com/office/spreadsheetml/2009/9/main" uri="{46F421CA-312F-682f-3DD2-61675219B42D}">
      <x14:dxfs count="4">
        <dxf>
          <fill>
            <patternFill>
              <bgColor theme="2" tint="-0.24994659260841701"/>
            </patternFill>
          </fill>
        </dxf>
        <dxf>
          <fill>
            <patternFill>
              <bgColor theme="2" tint="-0.24994659260841701"/>
            </patternFill>
          </fill>
        </dxf>
        <dxf>
          <fill>
            <patternFill>
              <bgColor theme="6" tint="0.59996337778862885"/>
            </patternFill>
          </fill>
        </dxf>
        <dxf>
          <fill>
            <patternFill>
              <bgColor theme="6" tint="-0.24994659260841701"/>
            </patternFill>
          </fill>
        </dxf>
      </x14:dxfs>
    </ext>
    <ext xmlns:x14="http://schemas.microsoft.com/office/spreadsheetml/2009/9/main" uri="{EB79DEF2-80B8-43e5-95BD-54CBDDF9020C}">
      <x14:slicerStyles defaultSlicerStyle="SlicerStyleLight1">
        <x14:slicerStyle name="Estilo de Segmentação de Dados 1"/>
        <x14:slicerStyle name="Estilo de Segmentação de Dados 2">
          <x14:slicerStyleElements>
            <x14:slicerStyleElement type="selectedItemWithData" dxfId="3"/>
            <x14:slicerStyleElement type="selectedItemWithNoData" dxfId="2"/>
          </x14:slicerStyleElements>
        </x14:slicerStyle>
        <x14:slicerStyle name="Estilo de Segmentação de Dados 3"/>
        <x14:slicerStyle name="Estilo de Segmentação de Dados 4"/>
        <x14:slicerStyle name="Estilo de Segmentação de Dados 5"/>
        <x14:slicerStyle name="Estilo de Segmentação de Dados 6">
          <x14:slicerStyleElements>
            <x14:slicerStyleElement type="selectedItemWithData" dxfId="1"/>
          </x14:slicerStyleElements>
        </x14:slicerStyle>
        <x14:slicerStyle name="Estilo de Segmentação de Dados 6 2">
          <x14:slicerStyleElements>
            <x14:slicerStyleElement type="selectedItemWithData" dxfId="0"/>
          </x14:slicerStyleElements>
        </x14:slicerStyle>
        <x14:slicerStyle name="Estilo de Segmentação de Dados 7"/>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CAPA!A1"/></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414761</xdr:colOff>
      <xdr:row>0</xdr:row>
      <xdr:rowOff>247650</xdr:rowOff>
    </xdr:from>
    <xdr:to>
      <xdr:col>3</xdr:col>
      <xdr:colOff>1628775</xdr:colOff>
      <xdr:row>1</xdr:row>
      <xdr:rowOff>257175</xdr:rowOff>
    </xdr:to>
    <xdr:grpSp>
      <xdr:nvGrpSpPr>
        <xdr:cNvPr id="9" name="Agrupar 8">
          <a:extLst>
            <a:ext uri="{FF2B5EF4-FFF2-40B4-BE49-F238E27FC236}">
              <a16:creationId xmlns:a16="http://schemas.microsoft.com/office/drawing/2014/main" id="{2923D812-BEB2-884B-38C3-3EBF5A8C1753}"/>
            </a:ext>
          </a:extLst>
        </xdr:cNvPr>
        <xdr:cNvGrpSpPr/>
      </xdr:nvGrpSpPr>
      <xdr:grpSpPr>
        <a:xfrm>
          <a:off x="2346975" y="247650"/>
          <a:ext cx="1214014" cy="567418"/>
          <a:chOff x="10334625" y="514349"/>
          <a:chExt cx="1133475" cy="571501"/>
        </a:xfrm>
      </xdr:grpSpPr>
      <xdr:sp macro="" textlink="">
        <xdr:nvSpPr>
          <xdr:cNvPr id="12" name="Seta: para a Esquerda 11">
            <a:extLst>
              <a:ext uri="{FF2B5EF4-FFF2-40B4-BE49-F238E27FC236}">
                <a16:creationId xmlns:a16="http://schemas.microsoft.com/office/drawing/2014/main" id="{83F1775B-CFA1-9101-FFEB-6685215F80C0}"/>
              </a:ext>
            </a:extLst>
          </xdr:cNvPr>
          <xdr:cNvSpPr/>
        </xdr:nvSpPr>
        <xdr:spPr>
          <a:xfrm>
            <a:off x="1795886" y="247650"/>
            <a:ext cx="1099714" cy="495300"/>
          </a:xfrm>
          <a:prstGeom prst="leftArrow">
            <a:avLst/>
          </a:prstGeom>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 name="CaixaDeTexto 12">
            <a:hlinkClick xmlns:r="http://schemas.openxmlformats.org/officeDocument/2006/relationships" r:id="rId1"/>
            <a:extLst>
              <a:ext uri="{FF2B5EF4-FFF2-40B4-BE49-F238E27FC236}">
                <a16:creationId xmlns:a16="http://schemas.microsoft.com/office/drawing/2014/main" id="{42C6FD07-50CD-1C1E-E27D-598F30F9DEC3}"/>
              </a:ext>
            </a:extLst>
          </xdr:cNvPr>
          <xdr:cNvSpPr txBox="1"/>
        </xdr:nvSpPr>
        <xdr:spPr>
          <a:xfrm>
            <a:off x="2099312" y="330710"/>
            <a:ext cx="910588" cy="259839"/>
          </a:xfrm>
          <a:prstGeom prst="rect">
            <a:avLst/>
          </a:prstGeom>
          <a:noFill/>
          <a:ln>
            <a:noFill/>
          </a:ln>
          <a:effectLst>
            <a:glow rad="139700">
              <a:schemeClr val="accent1">
                <a:satMod val="175000"/>
                <a:alpha val="40000"/>
              </a:schemeClr>
            </a:glo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pt-BR" sz="1400" b="1">
                <a:solidFill>
                  <a:schemeClr val="accent5">
                    <a:lumMod val="50000"/>
                  </a:schemeClr>
                </a:solidFill>
                <a:latin typeface="+mn-lt"/>
                <a:ea typeface="+mn-ea"/>
                <a:cs typeface="+mn-cs"/>
              </a:rPr>
              <a:t>MENU</a:t>
            </a:r>
            <a:endParaRPr lang="pt-BR" sz="1200" b="1">
              <a:solidFill>
                <a:schemeClr val="accent5">
                  <a:lumMod val="50000"/>
                </a:schemeClr>
              </a:solidFill>
              <a:latin typeface="+mn-lt"/>
              <a:ea typeface="+mn-ea"/>
              <a:cs typeface="+mn-cs"/>
            </a:endParaRPr>
          </a:p>
        </xdr:txBody>
      </xdr:sp>
    </xdr:grpSp>
    <xdr:clientData/>
  </xdr:twoCellAnchor>
  <xdr:twoCellAnchor>
    <xdr:from>
      <xdr:col>3</xdr:col>
      <xdr:colOff>1474065</xdr:colOff>
      <xdr:row>0</xdr:row>
      <xdr:rowOff>277186</xdr:rowOff>
    </xdr:from>
    <xdr:to>
      <xdr:col>7</xdr:col>
      <xdr:colOff>281862</xdr:colOff>
      <xdr:row>1</xdr:row>
      <xdr:rowOff>152056</xdr:rowOff>
    </xdr:to>
    <xdr:sp macro="" textlink="">
      <xdr:nvSpPr>
        <xdr:cNvPr id="21" name="Retângulo 20">
          <a:extLst>
            <a:ext uri="{FF2B5EF4-FFF2-40B4-BE49-F238E27FC236}">
              <a16:creationId xmlns:a16="http://schemas.microsoft.com/office/drawing/2014/main" id="{9AF16322-DEAD-82D6-3C75-59662AC719D9}"/>
            </a:ext>
          </a:extLst>
        </xdr:cNvPr>
        <xdr:cNvSpPr/>
      </xdr:nvSpPr>
      <xdr:spPr>
        <a:xfrm>
          <a:off x="3048606" y="277186"/>
          <a:ext cx="4736623" cy="428875"/>
        </a:xfrm>
        <a:prstGeom prst="rect">
          <a:avLst/>
        </a:prstGeom>
        <a:noFill/>
      </xdr:spPr>
      <xdr:txBody>
        <a:bodyPr wrap="none" lIns="91440" tIns="45720" rIns="91440" bIns="45720">
          <a:noAutofit/>
          <a:scene3d>
            <a:camera prst="orthographicFront"/>
            <a:lightRig rig="soft" dir="t">
              <a:rot lat="0" lon="0" rev="15600000"/>
            </a:lightRig>
          </a:scene3d>
          <a:sp3d extrusionH="57150" prstMaterial="softEdge">
            <a:bevelT w="25400" h="38100"/>
          </a:sp3d>
        </a:bodyPr>
        <a:lstStyle/>
        <a:p>
          <a:pPr algn="ctr"/>
          <a:r>
            <a:rPr lang="pt-BR" sz="2400" b="1" cap="none" spc="0">
              <a:ln/>
              <a:solidFill>
                <a:schemeClr val="accent5">
                  <a:lumMod val="50000"/>
                </a:schemeClr>
              </a:solidFill>
              <a:effectLst/>
            </a:rPr>
            <a:t>MOVIMENTAÇÃO</a:t>
          </a:r>
          <a:r>
            <a:rPr lang="pt-BR" sz="2400" b="1" cap="none" spc="0" baseline="0">
              <a:ln/>
              <a:solidFill>
                <a:schemeClr val="accent5">
                  <a:lumMod val="50000"/>
                </a:schemeClr>
              </a:solidFill>
              <a:effectLst/>
            </a:rPr>
            <a:t> DE PROJETO 2025</a:t>
          </a:r>
          <a:endParaRPr lang="pt-BR" sz="2400" b="1" cap="none" spc="0">
            <a:ln/>
            <a:solidFill>
              <a:schemeClr val="accent5">
                <a:lumMod val="50000"/>
              </a:schemeClr>
            </a:solidFill>
            <a:effectLst/>
          </a:endParaRPr>
        </a:p>
      </xdr:txBody>
    </xdr:sp>
    <xdr:clientData/>
  </xdr:twoCellAnchor>
  <xdr:twoCellAnchor editAs="oneCell">
    <xdr:from>
      <xdr:col>0</xdr:col>
      <xdr:colOff>279530</xdr:colOff>
      <xdr:row>0</xdr:row>
      <xdr:rowOff>193999</xdr:rowOff>
    </xdr:from>
    <xdr:to>
      <xdr:col>3</xdr:col>
      <xdr:colOff>646923</xdr:colOff>
      <xdr:row>1</xdr:row>
      <xdr:rowOff>129024</xdr:rowOff>
    </xdr:to>
    <xdr:pic>
      <xdr:nvPicPr>
        <xdr:cNvPr id="2" name="Imagem 2">
          <a:extLst>
            <a:ext uri="{FF2B5EF4-FFF2-40B4-BE49-F238E27FC236}">
              <a16:creationId xmlns:a16="http://schemas.microsoft.com/office/drawing/2014/main" id="{A3AC607D-39BD-474D-BDEC-3884EEFB8E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9530" y="193999"/>
          <a:ext cx="2291443" cy="487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1195484</xdr:colOff>
      <xdr:row>107</xdr:row>
      <xdr:rowOff>165230</xdr:rowOff>
    </xdr:from>
    <xdr:to>
      <xdr:col>16</xdr:col>
      <xdr:colOff>1438469</xdr:colOff>
      <xdr:row>108</xdr:row>
      <xdr:rowOff>126352</xdr:rowOff>
    </xdr:to>
    <xdr:cxnSp macro="">
      <xdr:nvCxnSpPr>
        <xdr:cNvPr id="4" name="Conector de Seta Reta 3">
          <a:extLst>
            <a:ext uri="{FF2B5EF4-FFF2-40B4-BE49-F238E27FC236}">
              <a16:creationId xmlns:a16="http://schemas.microsoft.com/office/drawing/2014/main" id="{5F79DDD6-F772-BB68-0531-E71E421596C0}"/>
            </a:ext>
          </a:extLst>
        </xdr:cNvPr>
        <xdr:cNvCxnSpPr/>
      </xdr:nvCxnSpPr>
      <xdr:spPr>
        <a:xfrm>
          <a:off x="22947474" y="19370740"/>
          <a:ext cx="242985" cy="155510"/>
        </a:xfrm>
        <a:prstGeom prst="straightConnector1">
          <a:avLst/>
        </a:prstGeom>
        <a:ln>
          <a:tailEnd type="triangle"/>
        </a:ln>
      </xdr:spPr>
      <xdr:style>
        <a:lnRef idx="3">
          <a:schemeClr val="accent4"/>
        </a:lnRef>
        <a:fillRef idx="0">
          <a:schemeClr val="accent4"/>
        </a:fillRef>
        <a:effectRef idx="2">
          <a:schemeClr val="accent4"/>
        </a:effectRef>
        <a:fontRef idx="minor">
          <a:schemeClr val="tx1"/>
        </a:fontRef>
      </xdr:style>
    </xdr:cxnSp>
    <xdr:clientData/>
  </xdr:twoCellAnchor>
  <xdr:twoCellAnchor>
    <xdr:from>
      <xdr:col>16</xdr:col>
      <xdr:colOff>1195484</xdr:colOff>
      <xdr:row>108</xdr:row>
      <xdr:rowOff>165230</xdr:rowOff>
    </xdr:from>
    <xdr:to>
      <xdr:col>16</xdr:col>
      <xdr:colOff>1438469</xdr:colOff>
      <xdr:row>109</xdr:row>
      <xdr:rowOff>126352</xdr:rowOff>
    </xdr:to>
    <xdr:cxnSp macro="">
      <xdr:nvCxnSpPr>
        <xdr:cNvPr id="3" name="Conector de Seta Reta 2">
          <a:extLst>
            <a:ext uri="{FF2B5EF4-FFF2-40B4-BE49-F238E27FC236}">
              <a16:creationId xmlns:a16="http://schemas.microsoft.com/office/drawing/2014/main" id="{4482F938-5F7A-4EEF-9160-C6F034C4D9D4}"/>
            </a:ext>
          </a:extLst>
        </xdr:cNvPr>
        <xdr:cNvCxnSpPr/>
      </xdr:nvCxnSpPr>
      <xdr:spPr>
        <a:xfrm>
          <a:off x="23810555" y="19011123"/>
          <a:ext cx="242985" cy="151622"/>
        </a:xfrm>
        <a:prstGeom prst="straightConnector1">
          <a:avLst/>
        </a:prstGeom>
        <a:ln>
          <a:tailEnd type="triangle"/>
        </a:ln>
      </xdr:spPr>
      <xdr:style>
        <a:lnRef idx="3">
          <a:schemeClr val="accent4"/>
        </a:lnRef>
        <a:fillRef idx="0">
          <a:schemeClr val="accent4"/>
        </a:fillRef>
        <a:effectRef idx="2">
          <a:schemeClr val="accent4"/>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1165111</xdr:colOff>
      <xdr:row>0</xdr:row>
      <xdr:rowOff>241773</xdr:rowOff>
    </xdr:from>
    <xdr:to>
      <xdr:col>7</xdr:col>
      <xdr:colOff>2398735</xdr:colOff>
      <xdr:row>0</xdr:row>
      <xdr:rowOff>669426</xdr:rowOff>
    </xdr:to>
    <xdr:sp macro="" textlink="">
      <xdr:nvSpPr>
        <xdr:cNvPr id="8" name="Retângulo 7">
          <a:extLst>
            <a:ext uri="{FF2B5EF4-FFF2-40B4-BE49-F238E27FC236}">
              <a16:creationId xmlns:a16="http://schemas.microsoft.com/office/drawing/2014/main" id="{573CD6F5-DAC8-2B50-A9F1-8C1F36CEEB9F}"/>
            </a:ext>
          </a:extLst>
        </xdr:cNvPr>
        <xdr:cNvSpPr/>
      </xdr:nvSpPr>
      <xdr:spPr>
        <a:xfrm>
          <a:off x="6344330" y="241773"/>
          <a:ext cx="3929539" cy="427653"/>
        </a:xfrm>
        <a:prstGeom prst="rect">
          <a:avLst/>
        </a:prstGeom>
        <a:noFill/>
      </xdr:spPr>
      <xdr:txBody>
        <a:bodyPr wrap="none" lIns="91440" tIns="45720" rIns="91440" bIns="45720">
          <a:noAutofit/>
          <a:scene3d>
            <a:camera prst="orthographicFront"/>
            <a:lightRig rig="soft" dir="t">
              <a:rot lat="0" lon="0" rev="15600000"/>
            </a:lightRig>
          </a:scene3d>
          <a:sp3d extrusionH="57150" prstMaterial="softEdge">
            <a:bevelT w="25400" h="38100"/>
          </a:sp3d>
        </a:bodyPr>
        <a:lstStyle/>
        <a:p>
          <a:pPr algn="ctr"/>
          <a:r>
            <a:rPr lang="pt-BR" sz="2400" b="1" cap="none" spc="0">
              <a:ln/>
              <a:solidFill>
                <a:schemeClr val="accent5">
                  <a:lumMod val="50000"/>
                </a:schemeClr>
              </a:solidFill>
              <a:effectLst/>
            </a:rPr>
            <a:t>CADASTRO</a:t>
          </a:r>
          <a:r>
            <a:rPr lang="pt-BR" sz="2400" b="1" cap="none" spc="0" baseline="0">
              <a:ln/>
              <a:solidFill>
                <a:schemeClr val="accent5">
                  <a:lumMod val="50000"/>
                </a:schemeClr>
              </a:solidFill>
              <a:effectLst/>
            </a:rPr>
            <a:t> DE RESERVA - 2025</a:t>
          </a:r>
          <a:endParaRPr lang="pt-BR" sz="2400" b="1" cap="none" spc="0">
            <a:ln/>
            <a:solidFill>
              <a:schemeClr val="accent5">
                <a:lumMod val="50000"/>
              </a:schemeClr>
            </a:solidFill>
            <a:effectLst/>
          </a:endParaRPr>
        </a:p>
      </xdr:txBody>
    </xdr:sp>
    <xdr:clientData/>
  </xdr:twoCellAnchor>
  <xdr:twoCellAnchor editAs="oneCell">
    <xdr:from>
      <xdr:col>0</xdr:col>
      <xdr:colOff>104480</xdr:colOff>
      <xdr:row>0</xdr:row>
      <xdr:rowOff>90269</xdr:rowOff>
    </xdr:from>
    <xdr:to>
      <xdr:col>2</xdr:col>
      <xdr:colOff>351905</xdr:colOff>
      <xdr:row>0</xdr:row>
      <xdr:rowOff>534842</xdr:rowOff>
    </xdr:to>
    <xdr:pic>
      <xdr:nvPicPr>
        <xdr:cNvPr id="2" name="Imagem 2">
          <a:extLst>
            <a:ext uri="{FF2B5EF4-FFF2-40B4-BE49-F238E27FC236}">
              <a16:creationId xmlns:a16="http://schemas.microsoft.com/office/drawing/2014/main" id="{56E83478-9D03-429D-827D-ADA6B629905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480" y="90269"/>
          <a:ext cx="2089492" cy="4445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3333751</xdr:colOff>
      <xdr:row>0</xdr:row>
      <xdr:rowOff>526617</xdr:rowOff>
    </xdr:from>
    <xdr:to>
      <xdr:col>11</xdr:col>
      <xdr:colOff>0</xdr:colOff>
      <xdr:row>0</xdr:row>
      <xdr:rowOff>954270</xdr:rowOff>
    </xdr:to>
    <xdr:sp macro="" textlink="">
      <xdr:nvSpPr>
        <xdr:cNvPr id="7" name="Retângulo 6">
          <a:extLst>
            <a:ext uri="{FF2B5EF4-FFF2-40B4-BE49-F238E27FC236}">
              <a16:creationId xmlns:a16="http://schemas.microsoft.com/office/drawing/2014/main" id="{9CFD8FD8-2A93-4837-9F37-C8355F333B7E}"/>
            </a:ext>
          </a:extLst>
        </xdr:cNvPr>
        <xdr:cNvSpPr/>
      </xdr:nvSpPr>
      <xdr:spPr>
        <a:xfrm>
          <a:off x="9118024" y="526617"/>
          <a:ext cx="3939886" cy="427653"/>
        </a:xfrm>
        <a:prstGeom prst="rect">
          <a:avLst/>
        </a:prstGeom>
        <a:noFill/>
      </xdr:spPr>
      <xdr:txBody>
        <a:bodyPr wrap="none" lIns="91440" tIns="45720" rIns="91440" bIns="45720">
          <a:noAutofit/>
          <a:scene3d>
            <a:camera prst="orthographicFront"/>
            <a:lightRig rig="soft" dir="t">
              <a:rot lat="0" lon="0" rev="15600000"/>
            </a:lightRig>
          </a:scene3d>
          <a:sp3d extrusionH="57150" prstMaterial="softEdge">
            <a:bevelT w="25400" h="38100"/>
          </a:sp3d>
        </a:bodyPr>
        <a:lstStyle/>
        <a:p>
          <a:pPr algn="ctr"/>
          <a:r>
            <a:rPr lang="pt-BR" sz="2400" b="1" cap="none" spc="0">
              <a:ln/>
              <a:solidFill>
                <a:schemeClr val="accent5">
                  <a:lumMod val="50000"/>
                </a:schemeClr>
              </a:solidFill>
              <a:effectLst/>
            </a:rPr>
            <a:t>CADASTRO</a:t>
          </a:r>
          <a:r>
            <a:rPr lang="pt-BR" sz="2400" b="1" cap="none" spc="0" baseline="0">
              <a:ln/>
              <a:solidFill>
                <a:schemeClr val="accent5">
                  <a:lumMod val="50000"/>
                </a:schemeClr>
              </a:solidFill>
              <a:effectLst/>
            </a:rPr>
            <a:t> DE EMPENHO</a:t>
          </a:r>
          <a:endParaRPr lang="pt-BR" sz="2400" b="1" cap="none" spc="0">
            <a:ln/>
            <a:solidFill>
              <a:schemeClr val="accent5">
                <a:lumMod val="50000"/>
              </a:schemeClr>
            </a:solidFill>
            <a:effectLst/>
          </a:endParaRPr>
        </a:p>
      </xdr:txBody>
    </xdr:sp>
    <xdr:clientData/>
  </xdr:twoCellAnchor>
  <xdr:twoCellAnchor editAs="oneCell">
    <xdr:from>
      <xdr:col>0</xdr:col>
      <xdr:colOff>649432</xdr:colOff>
      <xdr:row>0</xdr:row>
      <xdr:rowOff>406978</xdr:rowOff>
    </xdr:from>
    <xdr:to>
      <xdr:col>3</xdr:col>
      <xdr:colOff>419418</xdr:colOff>
      <xdr:row>0</xdr:row>
      <xdr:rowOff>896008</xdr:rowOff>
    </xdr:to>
    <xdr:pic>
      <xdr:nvPicPr>
        <xdr:cNvPr id="2" name="Imagem 2">
          <a:extLst>
            <a:ext uri="{FF2B5EF4-FFF2-40B4-BE49-F238E27FC236}">
              <a16:creationId xmlns:a16="http://schemas.microsoft.com/office/drawing/2014/main" id="{31E13605-9ED4-4BB4-B3F3-C732389638D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9432" y="406978"/>
          <a:ext cx="2298441" cy="4890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701384</xdr:colOff>
      <xdr:row>0</xdr:row>
      <xdr:rowOff>86592</xdr:rowOff>
    </xdr:from>
    <xdr:to>
      <xdr:col>7</xdr:col>
      <xdr:colOff>2225386</xdr:colOff>
      <xdr:row>1</xdr:row>
      <xdr:rowOff>60613</xdr:rowOff>
    </xdr:to>
    <xdr:sp macro="" textlink="">
      <xdr:nvSpPr>
        <xdr:cNvPr id="3" name="Retângulo: Cantos Arredondados 2">
          <a:extLst>
            <a:ext uri="{FF2B5EF4-FFF2-40B4-BE49-F238E27FC236}">
              <a16:creationId xmlns:a16="http://schemas.microsoft.com/office/drawing/2014/main" id="{C02DFD02-95EB-55A3-0640-DF38B2BD8AFD}"/>
            </a:ext>
          </a:extLst>
        </xdr:cNvPr>
        <xdr:cNvSpPr/>
      </xdr:nvSpPr>
      <xdr:spPr>
        <a:xfrm>
          <a:off x="4710543" y="86592"/>
          <a:ext cx="3299116" cy="108238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100" b="1" u="sng">
              <a:solidFill>
                <a:schemeClr val="accent5">
                  <a:lumMod val="50000"/>
                </a:schemeClr>
              </a:solidFill>
            </a:rPr>
            <a:t>Código para cadastrar</a:t>
          </a:r>
          <a:r>
            <a:rPr lang="pt-BR" sz="1100" b="1" u="sng" baseline="0">
              <a:solidFill>
                <a:schemeClr val="accent5">
                  <a:lumMod val="50000"/>
                </a:schemeClr>
              </a:solidFill>
            </a:rPr>
            <a:t> (excepcionalmente) esta empresa</a:t>
          </a:r>
        </a:p>
        <a:p>
          <a:pPr algn="ctr"/>
          <a:endParaRPr lang="pt-BR" sz="1100">
            <a:solidFill>
              <a:schemeClr val="accent5">
                <a:lumMod val="50000"/>
              </a:schemeClr>
            </a:solidFill>
          </a:endParaRPr>
        </a:p>
        <a:p>
          <a:pPr algn="l"/>
          <a:r>
            <a:rPr lang="pt-BR" sz="1100" b="1" u="sng">
              <a:solidFill>
                <a:schemeClr val="accent5">
                  <a:lumMod val="50000"/>
                </a:schemeClr>
              </a:solidFill>
            </a:rPr>
            <a:t>111528-1</a:t>
          </a:r>
          <a:r>
            <a:rPr lang="pt-BR" sz="1100">
              <a:solidFill>
                <a:schemeClr val="accent5">
                  <a:lumMod val="50000"/>
                </a:schemeClr>
              </a:solidFill>
            </a:rPr>
            <a:t>  LOOPINVEST VILA RIO      </a:t>
          </a:r>
        </a:p>
        <a:p>
          <a:pPr algn="l"/>
          <a:r>
            <a:rPr lang="pt-BR" sz="1100" b="1" u="sng">
              <a:solidFill>
                <a:schemeClr val="accent5">
                  <a:lumMod val="50000"/>
                </a:schemeClr>
              </a:solidFill>
            </a:rPr>
            <a:t>111528-0</a:t>
          </a:r>
          <a:r>
            <a:rPr lang="pt-BR" sz="1100">
              <a:solidFill>
                <a:schemeClr val="accent5">
                  <a:lumMod val="50000"/>
                </a:schemeClr>
              </a:solidFill>
            </a:rPr>
            <a:t>  LOOPINVEST BONSUCESSO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566109</xdr:colOff>
      <xdr:row>0</xdr:row>
      <xdr:rowOff>995962</xdr:rowOff>
    </xdr:from>
    <xdr:to>
      <xdr:col>3</xdr:col>
      <xdr:colOff>1</xdr:colOff>
      <xdr:row>2</xdr:row>
      <xdr:rowOff>165413</xdr:rowOff>
    </xdr:to>
    <xdr:grpSp>
      <xdr:nvGrpSpPr>
        <xdr:cNvPr id="30" name="Agrupar 29">
          <a:extLst>
            <a:ext uri="{FF2B5EF4-FFF2-40B4-BE49-F238E27FC236}">
              <a16:creationId xmlns:a16="http://schemas.microsoft.com/office/drawing/2014/main" id="{566CE7CE-D7D6-45D0-95F7-C1C16A841585}"/>
            </a:ext>
          </a:extLst>
        </xdr:cNvPr>
        <xdr:cNvGrpSpPr/>
      </xdr:nvGrpSpPr>
      <xdr:grpSpPr>
        <a:xfrm>
          <a:off x="1551836" y="995962"/>
          <a:ext cx="4606188" cy="542823"/>
          <a:chOff x="-2241912" y="447092"/>
          <a:chExt cx="24834775" cy="544286"/>
        </a:xfrm>
      </xdr:grpSpPr>
      <xdr:sp macro="" textlink="">
        <xdr:nvSpPr>
          <xdr:cNvPr id="31" name="Retângulo: Cantos Arredondados 30">
            <a:extLst>
              <a:ext uri="{FF2B5EF4-FFF2-40B4-BE49-F238E27FC236}">
                <a16:creationId xmlns:a16="http://schemas.microsoft.com/office/drawing/2014/main" id="{C72237AB-E1F2-C387-C88E-FCF8A0DF4511}"/>
              </a:ext>
            </a:extLst>
          </xdr:cNvPr>
          <xdr:cNvSpPr/>
        </xdr:nvSpPr>
        <xdr:spPr>
          <a:xfrm>
            <a:off x="-2241912" y="447092"/>
            <a:ext cx="24834775" cy="544286"/>
          </a:xfrm>
          <a:prstGeom prst="roundRect">
            <a:avLst/>
          </a:prstGeom>
          <a:ln>
            <a:noFill/>
          </a:ln>
          <a:effectLst>
            <a:glow rad="139700">
              <a:schemeClr val="accent1">
                <a:satMod val="175000"/>
                <a:alpha val="40000"/>
              </a:schemeClr>
            </a:glo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2" name="Retângulo 31">
            <a:extLst>
              <a:ext uri="{FF2B5EF4-FFF2-40B4-BE49-F238E27FC236}">
                <a16:creationId xmlns:a16="http://schemas.microsoft.com/office/drawing/2014/main" id="{5200881D-9A80-B7A4-5623-4E72945BDB22}"/>
              </a:ext>
            </a:extLst>
          </xdr:cNvPr>
          <xdr:cNvSpPr/>
        </xdr:nvSpPr>
        <xdr:spPr>
          <a:xfrm>
            <a:off x="192872" y="466530"/>
            <a:ext cx="18199991" cy="427653"/>
          </a:xfrm>
          <a:prstGeom prst="rect">
            <a:avLst/>
          </a:prstGeom>
          <a:noFill/>
        </xdr:spPr>
        <xdr:txBody>
          <a:bodyPr wrap="none" lIns="91440" tIns="45720" rIns="91440" bIns="45720">
            <a:noAutofit/>
            <a:scene3d>
              <a:camera prst="orthographicFront"/>
              <a:lightRig rig="soft" dir="t">
                <a:rot lat="0" lon="0" rev="15600000"/>
              </a:lightRig>
            </a:scene3d>
            <a:sp3d extrusionH="57150" prstMaterial="softEdge">
              <a:bevelT w="25400" h="38100"/>
            </a:sp3d>
          </a:bodyPr>
          <a:lstStyle/>
          <a:p>
            <a:pPr algn="ctr"/>
            <a:r>
              <a:rPr lang="pt-BR" sz="2400" b="1" cap="none" spc="0">
                <a:ln/>
                <a:solidFill>
                  <a:schemeClr val="accent5">
                    <a:lumMod val="50000"/>
                  </a:schemeClr>
                </a:solidFill>
                <a:effectLst/>
              </a:rPr>
              <a:t>LIQUIDAÇÃO 2025</a:t>
            </a:r>
          </a:p>
        </xdr:txBody>
      </xdr:sp>
    </xdr:grpSp>
    <xdr:clientData/>
  </xdr:twoCellAnchor>
  <xdr:twoCellAnchor>
    <xdr:from>
      <xdr:col>6</xdr:col>
      <xdr:colOff>1338035</xdr:colOff>
      <xdr:row>0</xdr:row>
      <xdr:rowOff>134458</xdr:rowOff>
    </xdr:from>
    <xdr:to>
      <xdr:col>21</xdr:col>
      <xdr:colOff>41470</xdr:colOff>
      <xdr:row>0</xdr:row>
      <xdr:rowOff>1046454</xdr:rowOff>
    </xdr:to>
    <xdr:grpSp>
      <xdr:nvGrpSpPr>
        <xdr:cNvPr id="21" name="Agrupar 20">
          <a:extLst>
            <a:ext uri="{FF2B5EF4-FFF2-40B4-BE49-F238E27FC236}">
              <a16:creationId xmlns:a16="http://schemas.microsoft.com/office/drawing/2014/main" id="{E431166D-0C14-A657-D9C6-D6BE799E46B0}"/>
            </a:ext>
          </a:extLst>
        </xdr:cNvPr>
        <xdr:cNvGrpSpPr/>
      </xdr:nvGrpSpPr>
      <xdr:grpSpPr>
        <a:xfrm>
          <a:off x="12103500" y="134458"/>
          <a:ext cx="15338958" cy="911996"/>
          <a:chOff x="8041520" y="69663"/>
          <a:chExt cx="14213939" cy="911996"/>
        </a:xfrm>
      </xdr:grpSpPr>
      <xdr:sp macro="" textlink="">
        <xdr:nvSpPr>
          <xdr:cNvPr id="11" name="Retângulo: Cantos Arredondados 4">
            <a:extLst>
              <a:ext uri="{FF2B5EF4-FFF2-40B4-BE49-F238E27FC236}">
                <a16:creationId xmlns:a16="http://schemas.microsoft.com/office/drawing/2014/main" id="{D412171B-F78E-120F-FC9D-907B8ECE7811}"/>
              </a:ext>
            </a:extLst>
          </xdr:cNvPr>
          <xdr:cNvSpPr/>
        </xdr:nvSpPr>
        <xdr:spPr>
          <a:xfrm>
            <a:off x="8041520" y="82625"/>
            <a:ext cx="2245247" cy="617119"/>
          </a:xfrm>
          <a:prstGeom prst="roundRect">
            <a:avLst/>
          </a:prstGeom>
          <a:solidFill>
            <a:srgbClr val="5B9BD5">
              <a:lumMod val="40000"/>
              <a:lumOff val="60000"/>
            </a:srgbClr>
          </a:solidFill>
          <a:ln w="12700" cap="flat" cmpd="sng" algn="ctr">
            <a:solidFill>
              <a:srgbClr val="5B9BD5">
                <a:shade val="50000"/>
              </a:srgbClr>
            </a:solidFill>
            <a:prstDash val="solid"/>
            <a:miter lim="800000"/>
          </a:ln>
          <a:effectLst/>
          <a:scene3d>
            <a:camera prst="orthographicFront"/>
            <a:lightRig rig="threePt" dir="t"/>
          </a:scene3d>
          <a:sp3d>
            <a:bevelT/>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chemeClr val="accent5">
                  <a:lumMod val="50000"/>
                </a:schemeClr>
              </a:solidFill>
              <a:effectLst/>
              <a:uLnTx/>
              <a:uFillTx/>
              <a:latin typeface="+mn-lt"/>
              <a:ea typeface="+mn-ea"/>
            </a:endParaRPr>
          </a:p>
        </xdr:txBody>
      </xdr:sp>
      <xdr:sp macro="" textlink="">
        <xdr:nvSpPr>
          <xdr:cNvPr id="12" name="Retângulo: Cantos Arredondados 5">
            <a:extLst>
              <a:ext uri="{FF2B5EF4-FFF2-40B4-BE49-F238E27FC236}">
                <a16:creationId xmlns:a16="http://schemas.microsoft.com/office/drawing/2014/main" id="{094FFC9C-BDE4-7E86-0302-3A5226CE7A1E}"/>
              </a:ext>
            </a:extLst>
          </xdr:cNvPr>
          <xdr:cNvSpPr/>
        </xdr:nvSpPr>
        <xdr:spPr>
          <a:xfrm>
            <a:off x="10400657" y="82625"/>
            <a:ext cx="2245247" cy="617119"/>
          </a:xfrm>
          <a:prstGeom prst="roundRect">
            <a:avLst/>
          </a:prstGeom>
          <a:solidFill>
            <a:srgbClr val="5B9BD5">
              <a:lumMod val="40000"/>
              <a:lumOff val="60000"/>
            </a:srgbClr>
          </a:solidFill>
          <a:ln w="12700" cap="flat" cmpd="sng" algn="ctr">
            <a:solidFill>
              <a:srgbClr val="5B9BD5">
                <a:shade val="50000"/>
              </a:srgbClr>
            </a:solidFill>
            <a:prstDash val="solid"/>
            <a:miter lim="800000"/>
          </a:ln>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0" cap="none" spc="0" normalizeH="0" baseline="0" noProof="0">
                <a:ln>
                  <a:noFill/>
                </a:ln>
                <a:solidFill>
                  <a:schemeClr val="accent5">
                    <a:lumMod val="50000"/>
                  </a:schemeClr>
                </a:solidFill>
                <a:effectLst/>
                <a:uLnTx/>
                <a:uFillTx/>
                <a:latin typeface="+mn-lt"/>
                <a:ea typeface="+mn-ea"/>
              </a:rPr>
              <a:t>  </a:t>
            </a:r>
          </a:p>
        </xdr:txBody>
      </xdr:sp>
      <xdr:sp macro="" textlink="">
        <xdr:nvSpPr>
          <xdr:cNvPr id="13" name="Retângulo: Cantos Arredondados 6">
            <a:extLst>
              <a:ext uri="{FF2B5EF4-FFF2-40B4-BE49-F238E27FC236}">
                <a16:creationId xmlns:a16="http://schemas.microsoft.com/office/drawing/2014/main" id="{F156EBA4-087E-29CC-546A-78F18FEF655F}"/>
              </a:ext>
            </a:extLst>
          </xdr:cNvPr>
          <xdr:cNvSpPr/>
        </xdr:nvSpPr>
        <xdr:spPr>
          <a:xfrm>
            <a:off x="12759792" y="82625"/>
            <a:ext cx="2245247" cy="617119"/>
          </a:xfrm>
          <a:prstGeom prst="roundRect">
            <a:avLst/>
          </a:prstGeom>
          <a:solidFill>
            <a:srgbClr val="5B9BD5">
              <a:lumMod val="40000"/>
              <a:lumOff val="60000"/>
            </a:srgbClr>
          </a:solidFill>
          <a:ln w="12700" cap="flat" cmpd="sng" algn="ctr">
            <a:solidFill>
              <a:srgbClr val="5B9BD5">
                <a:shade val="50000"/>
              </a:srgbClr>
            </a:solidFill>
            <a:prstDash val="solid"/>
            <a:miter lim="800000"/>
          </a:ln>
          <a:effectLst/>
          <a:scene3d>
            <a:camera prst="orthographicFront"/>
            <a:lightRig rig="threePt" dir="t"/>
          </a:scene3d>
          <a:sp3d>
            <a:bevelT/>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3600" b="1" i="0" u="none" strike="noStrike" kern="0" cap="none" spc="0" normalizeH="0" baseline="0" noProof="0">
              <a:ln>
                <a:noFill/>
              </a:ln>
              <a:solidFill>
                <a:schemeClr val="accent5">
                  <a:lumMod val="50000"/>
                </a:schemeClr>
              </a:solidFill>
              <a:effectLst/>
              <a:uLnTx/>
              <a:uFillTx/>
              <a:latin typeface="+mn-lt"/>
              <a:ea typeface="+mn-ea"/>
            </a:endParaRPr>
          </a:p>
        </xdr:txBody>
      </xdr:sp>
      <xdr:sp macro="" textlink="">
        <xdr:nvSpPr>
          <xdr:cNvPr id="14" name="Retângulo: Cantos Arredondados 7">
            <a:extLst>
              <a:ext uri="{FF2B5EF4-FFF2-40B4-BE49-F238E27FC236}">
                <a16:creationId xmlns:a16="http://schemas.microsoft.com/office/drawing/2014/main" id="{E87AD205-6040-9E59-A1CB-B9320DF5C504}"/>
              </a:ext>
            </a:extLst>
          </xdr:cNvPr>
          <xdr:cNvSpPr/>
        </xdr:nvSpPr>
        <xdr:spPr>
          <a:xfrm>
            <a:off x="15132204" y="102063"/>
            <a:ext cx="2245246" cy="617119"/>
          </a:xfrm>
          <a:prstGeom prst="roundRect">
            <a:avLst/>
          </a:prstGeom>
          <a:solidFill>
            <a:srgbClr val="5B9BD5">
              <a:lumMod val="40000"/>
              <a:lumOff val="60000"/>
            </a:srgbClr>
          </a:solidFill>
          <a:ln w="12700" cap="flat" cmpd="sng" algn="ctr">
            <a:solidFill>
              <a:srgbClr val="5B9BD5">
                <a:shade val="50000"/>
              </a:srgbClr>
            </a:solidFill>
            <a:prstDash val="solid"/>
            <a:miter lim="800000"/>
          </a:ln>
          <a:effectLst/>
          <a:scene3d>
            <a:camera prst="orthographicFront"/>
            <a:lightRig rig="threePt" dir="t"/>
          </a:scene3d>
          <a:sp3d>
            <a:bevelT/>
          </a:sp3d>
        </xdr:spPr>
        <xdr:txBody>
          <a:bodyPr vertOverflow="clip" horzOverflow="clip" rtlCol="0" anchor="t"/>
          <a:lstStyle/>
          <a:p>
            <a:endParaRPr lang="en-US" sz="1100" b="1">
              <a:solidFill>
                <a:schemeClr val="accent5">
                  <a:lumMod val="50000"/>
                </a:schemeClr>
              </a:solidFill>
              <a:latin typeface="+mn-lt"/>
            </a:endParaRPr>
          </a:p>
        </xdr:txBody>
      </xdr:sp>
      <xdr:sp macro="" textlink="">
        <xdr:nvSpPr>
          <xdr:cNvPr id="15" name="Retângulo: Cantos Arredondados 8">
            <a:extLst>
              <a:ext uri="{FF2B5EF4-FFF2-40B4-BE49-F238E27FC236}">
                <a16:creationId xmlns:a16="http://schemas.microsoft.com/office/drawing/2014/main" id="{BEBD1D19-EFFD-D530-DC51-2B6FA81177C5}"/>
              </a:ext>
            </a:extLst>
          </xdr:cNvPr>
          <xdr:cNvSpPr/>
        </xdr:nvSpPr>
        <xdr:spPr>
          <a:xfrm>
            <a:off x="17478064" y="82625"/>
            <a:ext cx="2139903" cy="603424"/>
          </a:xfrm>
          <a:prstGeom prst="roundRect">
            <a:avLst/>
          </a:prstGeom>
          <a:solidFill>
            <a:srgbClr val="5B9BD5">
              <a:lumMod val="40000"/>
              <a:lumOff val="60000"/>
            </a:srgbClr>
          </a:solidFill>
          <a:ln w="12700" cap="flat" cmpd="sng" algn="ctr">
            <a:solidFill>
              <a:srgbClr val="5B9BD5">
                <a:shade val="50000"/>
              </a:srgbClr>
            </a:solidFill>
            <a:prstDash val="solid"/>
            <a:miter lim="800000"/>
          </a:ln>
          <a:effectLst/>
          <a:scene3d>
            <a:camera prst="orthographicFront"/>
            <a:lightRig rig="threePt" dir="t"/>
          </a:scene3d>
          <a:sp3d>
            <a:bevelT/>
          </a:sp3d>
        </xdr:spPr>
        <xdr:txBody>
          <a:bodyPr vertOverflow="clip" horzOverflow="clip" rtlCol="0" anchor="t"/>
          <a:lstStyle/>
          <a:p>
            <a:endParaRPr lang="en-US" sz="1100" b="1">
              <a:solidFill>
                <a:schemeClr val="accent5">
                  <a:lumMod val="50000"/>
                </a:schemeClr>
              </a:solidFill>
              <a:latin typeface="+mn-lt"/>
            </a:endParaRPr>
          </a:p>
        </xdr:txBody>
      </xdr:sp>
      <xdr:sp macro="" textlink="">
        <xdr:nvSpPr>
          <xdr:cNvPr id="16" name="Retângulo: Cantos Arredondados 9">
            <a:extLst>
              <a:ext uri="{FF2B5EF4-FFF2-40B4-BE49-F238E27FC236}">
                <a16:creationId xmlns:a16="http://schemas.microsoft.com/office/drawing/2014/main" id="{0C65E181-E10B-7667-D0B6-8CE5AD17A402}"/>
              </a:ext>
            </a:extLst>
          </xdr:cNvPr>
          <xdr:cNvSpPr/>
        </xdr:nvSpPr>
        <xdr:spPr>
          <a:xfrm>
            <a:off x="8216621" y="557406"/>
            <a:ext cx="1940130" cy="402934"/>
          </a:xfrm>
          <a:prstGeom prst="roundRect">
            <a:avLst/>
          </a:prstGeom>
          <a:solidFill>
            <a:srgbClr val="5B9BD5"/>
          </a:solidFill>
          <a:ln w="12700" cap="flat" cmpd="sng" algn="ctr">
            <a:solidFill>
              <a:srgbClr val="5B9BD5">
                <a:shade val="50000"/>
              </a:srgbClr>
            </a:solidFill>
            <a:prstDash val="solid"/>
            <a:miter lim="800000"/>
          </a:ln>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chemeClr val="accent5">
                    <a:lumMod val="50000"/>
                  </a:schemeClr>
                </a:solidFill>
                <a:effectLst/>
                <a:uLnTx/>
                <a:uFillTx/>
                <a:latin typeface="+mn-lt"/>
                <a:ea typeface="+mn-ea"/>
                <a:cs typeface="+mn-cs"/>
              </a:rPr>
              <a:t>TOTAL BRUTO</a:t>
            </a:r>
          </a:p>
        </xdr:txBody>
      </xdr:sp>
      <xdr:sp macro="" textlink="">
        <xdr:nvSpPr>
          <xdr:cNvPr id="17" name="Retângulo: Cantos Arredondados 10">
            <a:extLst>
              <a:ext uri="{FF2B5EF4-FFF2-40B4-BE49-F238E27FC236}">
                <a16:creationId xmlns:a16="http://schemas.microsoft.com/office/drawing/2014/main" id="{34279479-56BA-47E4-0EB7-DEE08E3512EB}"/>
              </a:ext>
            </a:extLst>
          </xdr:cNvPr>
          <xdr:cNvSpPr/>
        </xdr:nvSpPr>
        <xdr:spPr>
          <a:xfrm>
            <a:off x="10550679" y="557406"/>
            <a:ext cx="1982489" cy="402934"/>
          </a:xfrm>
          <a:prstGeom prst="roundRect">
            <a:avLst/>
          </a:prstGeom>
          <a:solidFill>
            <a:srgbClr val="5B9BD5"/>
          </a:solidFill>
          <a:ln w="12700" cap="flat" cmpd="sng" algn="ctr">
            <a:solidFill>
              <a:srgbClr val="5B9BD5">
                <a:shade val="50000"/>
              </a:srgbClr>
            </a:solidFill>
            <a:prstDash val="solid"/>
            <a:miter lim="800000"/>
          </a:ln>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chemeClr val="accent5">
                    <a:lumMod val="50000"/>
                  </a:schemeClr>
                </a:solidFill>
                <a:effectLst/>
                <a:uLnTx/>
                <a:uFillTx/>
                <a:latin typeface="+mn-lt"/>
                <a:ea typeface="+mn-ea"/>
                <a:cs typeface="+mn-cs"/>
              </a:rPr>
              <a:t>TOTAL RETENÇÃO</a:t>
            </a:r>
          </a:p>
        </xdr:txBody>
      </xdr:sp>
      <xdr:sp macro="" textlink="">
        <xdr:nvSpPr>
          <xdr:cNvPr id="18" name="Retângulo: Cantos Arredondados 11">
            <a:extLst>
              <a:ext uri="{FF2B5EF4-FFF2-40B4-BE49-F238E27FC236}">
                <a16:creationId xmlns:a16="http://schemas.microsoft.com/office/drawing/2014/main" id="{AA997CC3-EBBB-07C1-07C0-E6DB05C5FD63}"/>
              </a:ext>
            </a:extLst>
          </xdr:cNvPr>
          <xdr:cNvSpPr/>
        </xdr:nvSpPr>
        <xdr:spPr>
          <a:xfrm>
            <a:off x="12847491" y="557406"/>
            <a:ext cx="2019128" cy="402934"/>
          </a:xfrm>
          <a:prstGeom prst="roundRect">
            <a:avLst/>
          </a:prstGeom>
          <a:solidFill>
            <a:srgbClr val="5B9BD5"/>
          </a:solidFill>
          <a:ln w="12700" cap="flat" cmpd="sng" algn="ctr">
            <a:solidFill>
              <a:srgbClr val="5B9BD5">
                <a:shade val="50000"/>
              </a:srgbClr>
            </a:solidFill>
            <a:prstDash val="solid"/>
            <a:miter lim="800000"/>
          </a:ln>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chemeClr val="accent5">
                    <a:lumMod val="50000"/>
                  </a:schemeClr>
                </a:solidFill>
                <a:effectLst/>
                <a:uLnTx/>
                <a:uFillTx/>
                <a:latin typeface="+mn-lt"/>
                <a:ea typeface="+mn-ea"/>
                <a:cs typeface="+mn-cs"/>
              </a:rPr>
              <a:t>TOTAL LIQUIDO</a:t>
            </a:r>
          </a:p>
        </xdr:txBody>
      </xdr:sp>
      <xdr:sp macro="" textlink="">
        <xdr:nvSpPr>
          <xdr:cNvPr id="19" name="Retângulo: Cantos Arredondados 12">
            <a:extLst>
              <a:ext uri="{FF2B5EF4-FFF2-40B4-BE49-F238E27FC236}">
                <a16:creationId xmlns:a16="http://schemas.microsoft.com/office/drawing/2014/main" id="{DC020E75-1E4C-F702-B0BB-E4CEA836D0E5}"/>
              </a:ext>
            </a:extLst>
          </xdr:cNvPr>
          <xdr:cNvSpPr/>
        </xdr:nvSpPr>
        <xdr:spPr>
          <a:xfrm>
            <a:off x="15268455" y="568109"/>
            <a:ext cx="1993349" cy="402934"/>
          </a:xfrm>
          <a:prstGeom prst="roundRect">
            <a:avLst/>
          </a:prstGeom>
          <a:solidFill>
            <a:srgbClr val="70AD47">
              <a:lumMod val="60000"/>
              <a:lumOff val="40000"/>
            </a:srgbClr>
          </a:solidFill>
          <a:ln w="12700" cap="flat" cmpd="sng" algn="ctr">
            <a:solidFill>
              <a:srgbClr val="5B9BD5">
                <a:shade val="50000"/>
              </a:srgbClr>
            </a:solidFill>
            <a:prstDash val="solid"/>
            <a:miter lim="800000"/>
          </a:ln>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chemeClr val="accent5">
                    <a:lumMod val="50000"/>
                  </a:schemeClr>
                </a:solidFill>
                <a:effectLst/>
                <a:uLnTx/>
                <a:uFillTx/>
                <a:latin typeface="+mn-lt"/>
                <a:ea typeface="+mn-ea"/>
                <a:cs typeface="+mn-cs"/>
              </a:rPr>
              <a:t>TOTAL  PAGO </a:t>
            </a:r>
          </a:p>
        </xdr:txBody>
      </xdr:sp>
      <xdr:sp macro="" textlink="">
        <xdr:nvSpPr>
          <xdr:cNvPr id="20" name="Retângulo: Cantos Arredondados 13">
            <a:extLst>
              <a:ext uri="{FF2B5EF4-FFF2-40B4-BE49-F238E27FC236}">
                <a16:creationId xmlns:a16="http://schemas.microsoft.com/office/drawing/2014/main" id="{783A7707-E03A-01A5-F34C-BBCFB6C3AF39}"/>
              </a:ext>
            </a:extLst>
          </xdr:cNvPr>
          <xdr:cNvSpPr/>
        </xdr:nvSpPr>
        <xdr:spPr>
          <a:xfrm>
            <a:off x="17621450" y="563726"/>
            <a:ext cx="1849808" cy="417933"/>
          </a:xfrm>
          <a:prstGeom prst="roundRect">
            <a:avLst/>
          </a:prstGeom>
          <a:solidFill>
            <a:srgbClr val="FF0000"/>
          </a:solidFill>
          <a:ln w="12700" cap="flat" cmpd="sng" algn="ctr">
            <a:solidFill>
              <a:srgbClr val="5B9BD5">
                <a:shade val="50000"/>
              </a:srgbClr>
            </a:solidFill>
            <a:prstDash val="solid"/>
            <a:miter lim="800000"/>
          </a:ln>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chemeClr val="bg1"/>
                </a:solidFill>
                <a:effectLst/>
                <a:uLnTx/>
                <a:uFillTx/>
                <a:latin typeface="+mn-lt"/>
                <a:ea typeface="+mn-ea"/>
                <a:cs typeface="+mn-cs"/>
              </a:rPr>
              <a:t>EM ATRASO</a:t>
            </a:r>
            <a:endParaRPr kumimoji="0" lang="pt-BR" sz="1400" b="1" i="0" u="none" strike="noStrike" kern="0" cap="none" spc="0" normalizeH="0" baseline="0" noProof="0">
              <a:ln>
                <a:noFill/>
              </a:ln>
              <a:solidFill>
                <a:schemeClr val="bg1"/>
              </a:solidFill>
              <a:effectLst/>
              <a:uLnTx/>
              <a:uFillTx/>
              <a:latin typeface="+mn-lt"/>
              <a:ea typeface="+mn-ea"/>
              <a:cs typeface="+mn-cs"/>
            </a:endParaRPr>
          </a:p>
        </xdr:txBody>
      </xdr:sp>
      <xdr:sp macro="" textlink="VALIDAÇÕES!$D$38">
        <xdr:nvSpPr>
          <xdr:cNvPr id="22" name="CaixaDeTexto 21">
            <a:extLst>
              <a:ext uri="{FF2B5EF4-FFF2-40B4-BE49-F238E27FC236}">
                <a16:creationId xmlns:a16="http://schemas.microsoft.com/office/drawing/2014/main" id="{D2696BAE-D89D-BE57-C419-30D6F251A6F3}"/>
              </a:ext>
            </a:extLst>
          </xdr:cNvPr>
          <xdr:cNvSpPr txBox="1"/>
        </xdr:nvSpPr>
        <xdr:spPr>
          <a:xfrm>
            <a:off x="17661375" y="77753"/>
            <a:ext cx="2454931" cy="408215"/>
          </a:xfrm>
          <a:prstGeom prst="rect">
            <a:avLst/>
          </a:prstGeom>
          <a:noFill/>
          <a:ln w="9525" cmpd="sng">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wrap="square" rtlCol="0" anchor="t"/>
          <a:lstStyle/>
          <a:p>
            <a:fld id="{147BEF45-6249-4ACE-8CE1-230928BB5F1B}" type="TxLink">
              <a:rPr lang="en-US" sz="2000" b="1" i="0" u="none" strike="noStrike">
                <a:solidFill>
                  <a:schemeClr val="accent5">
                    <a:lumMod val="50000"/>
                  </a:schemeClr>
                </a:solidFill>
                <a:latin typeface="+mn-lt"/>
                <a:cs typeface="Arial"/>
              </a:rPr>
              <a:pPr/>
              <a:t> 9.225.116,85 </a:t>
            </a:fld>
            <a:endParaRPr lang="pt-BR" sz="2000" b="1">
              <a:solidFill>
                <a:schemeClr val="accent5">
                  <a:lumMod val="50000"/>
                </a:schemeClr>
              </a:solidFill>
              <a:latin typeface="+mn-lt"/>
            </a:endParaRPr>
          </a:p>
        </xdr:txBody>
      </xdr:sp>
      <xdr:sp macro="" textlink="VALIDAÇÕES!$F$34">
        <xdr:nvSpPr>
          <xdr:cNvPr id="23" name="CaixaDeTexto 22">
            <a:extLst>
              <a:ext uri="{FF2B5EF4-FFF2-40B4-BE49-F238E27FC236}">
                <a16:creationId xmlns:a16="http://schemas.microsoft.com/office/drawing/2014/main" id="{64874E51-C222-CE06-B6E3-AC395D37FCB4}"/>
              </a:ext>
            </a:extLst>
          </xdr:cNvPr>
          <xdr:cNvSpPr txBox="1"/>
        </xdr:nvSpPr>
        <xdr:spPr>
          <a:xfrm>
            <a:off x="12963898" y="89100"/>
            <a:ext cx="2484676" cy="419100"/>
          </a:xfrm>
          <a:prstGeom prst="rect">
            <a:avLst/>
          </a:prstGeom>
          <a:noFill/>
          <a:ln w="9525" cmpd="sng">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DA0046A-1CF7-4FE7-B3BA-0B8E6676F7B4}" type="TxLink">
              <a:rPr lang="en-US" sz="2000" b="1" i="0" u="none" strike="noStrike">
                <a:solidFill>
                  <a:schemeClr val="accent5">
                    <a:lumMod val="50000"/>
                  </a:schemeClr>
                </a:solidFill>
                <a:latin typeface="+mn-lt"/>
                <a:ea typeface="Calibri"/>
                <a:cs typeface="Calibri"/>
              </a:rPr>
              <a:pPr/>
              <a:t> 146.517.372,60 </a:t>
            </a:fld>
            <a:endParaRPr lang="pt-BR" sz="2000" b="1">
              <a:solidFill>
                <a:schemeClr val="accent5">
                  <a:lumMod val="50000"/>
                </a:schemeClr>
              </a:solidFill>
              <a:latin typeface="+mn-lt"/>
            </a:endParaRPr>
          </a:p>
        </xdr:txBody>
      </xdr:sp>
      <xdr:sp macro="" textlink="VALIDAÇÕES!$E$34">
        <xdr:nvSpPr>
          <xdr:cNvPr id="24" name="CaixaDeTexto 23">
            <a:extLst>
              <a:ext uri="{FF2B5EF4-FFF2-40B4-BE49-F238E27FC236}">
                <a16:creationId xmlns:a16="http://schemas.microsoft.com/office/drawing/2014/main" id="{4DB74810-892C-F234-BC68-8AD527095AA1}"/>
              </a:ext>
            </a:extLst>
          </xdr:cNvPr>
          <xdr:cNvSpPr txBox="1"/>
        </xdr:nvSpPr>
        <xdr:spPr>
          <a:xfrm>
            <a:off x="10637631" y="69663"/>
            <a:ext cx="2599995" cy="419100"/>
          </a:xfrm>
          <a:prstGeom prst="rect">
            <a:avLst/>
          </a:prstGeom>
          <a:noFill/>
          <a:ln w="9525" cmpd="sng">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0B1C591-DE58-4543-B2CC-9B160004148B}" type="TxLink">
              <a:rPr lang="en-US" sz="2000" b="1" i="0" u="none" strike="noStrike">
                <a:solidFill>
                  <a:schemeClr val="accent5">
                    <a:lumMod val="50000"/>
                  </a:schemeClr>
                </a:solidFill>
                <a:latin typeface="+mn-lt"/>
                <a:ea typeface="Calibri"/>
                <a:cs typeface="Calibri"/>
              </a:rPr>
              <a:pPr/>
              <a:t> 27.669.080,75 </a:t>
            </a:fld>
            <a:endParaRPr lang="en-US" sz="2000" b="1" i="0" u="none" strike="noStrike">
              <a:solidFill>
                <a:schemeClr val="accent5">
                  <a:lumMod val="50000"/>
                </a:schemeClr>
              </a:solidFill>
              <a:latin typeface="+mn-lt"/>
            </a:endParaRPr>
          </a:p>
        </xdr:txBody>
      </xdr:sp>
      <xdr:sp macro="" textlink="VALIDAÇÕES!$D$34">
        <xdr:nvSpPr>
          <xdr:cNvPr id="25" name="CaixaDeTexto 24">
            <a:extLst>
              <a:ext uri="{FF2B5EF4-FFF2-40B4-BE49-F238E27FC236}">
                <a16:creationId xmlns:a16="http://schemas.microsoft.com/office/drawing/2014/main" id="{42A2EA21-A4DE-E7AF-2167-D7A78144E7B3}"/>
              </a:ext>
            </a:extLst>
          </xdr:cNvPr>
          <xdr:cNvSpPr txBox="1"/>
        </xdr:nvSpPr>
        <xdr:spPr>
          <a:xfrm>
            <a:off x="8218130" y="89098"/>
            <a:ext cx="2752635" cy="419100"/>
          </a:xfrm>
          <a:prstGeom prst="rect">
            <a:avLst/>
          </a:prstGeom>
          <a:noFill/>
          <a:ln w="9525" cmpd="sng">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6215799-B418-4ED7-B728-2F0ECDA50A39}" type="TxLink">
              <a:rPr lang="en-US" sz="2000" b="1" i="0" u="none" strike="noStrike">
                <a:solidFill>
                  <a:schemeClr val="accent5">
                    <a:lumMod val="50000"/>
                  </a:schemeClr>
                </a:solidFill>
                <a:latin typeface="+mn-lt"/>
                <a:ea typeface="Calibri"/>
                <a:cs typeface="Calibri"/>
              </a:rPr>
              <a:pPr/>
              <a:t> 175.282.169,93 </a:t>
            </a:fld>
            <a:endParaRPr lang="en-US" sz="2000" b="1" i="0" u="none" strike="noStrike">
              <a:solidFill>
                <a:schemeClr val="accent5">
                  <a:lumMod val="50000"/>
                </a:schemeClr>
              </a:solidFill>
              <a:latin typeface="+mn-lt"/>
            </a:endParaRPr>
          </a:p>
        </xdr:txBody>
      </xdr:sp>
      <xdr:sp macro="" textlink="">
        <xdr:nvSpPr>
          <xdr:cNvPr id="2" name="Retângulo: Cantos Arredondados 8">
            <a:extLst>
              <a:ext uri="{FF2B5EF4-FFF2-40B4-BE49-F238E27FC236}">
                <a16:creationId xmlns:a16="http://schemas.microsoft.com/office/drawing/2014/main" id="{3509C76D-7EDA-4D89-BED6-87CD9ADA4E24}"/>
              </a:ext>
            </a:extLst>
          </xdr:cNvPr>
          <xdr:cNvSpPr/>
        </xdr:nvSpPr>
        <xdr:spPr>
          <a:xfrm>
            <a:off x="19762621" y="72906"/>
            <a:ext cx="2337906" cy="603424"/>
          </a:xfrm>
          <a:prstGeom prst="roundRect">
            <a:avLst/>
          </a:prstGeom>
          <a:solidFill>
            <a:srgbClr val="5B9BD5">
              <a:lumMod val="40000"/>
              <a:lumOff val="60000"/>
            </a:srgbClr>
          </a:solidFill>
          <a:ln w="12700" cap="flat" cmpd="sng" algn="ctr">
            <a:solidFill>
              <a:srgbClr val="5B9BD5">
                <a:shade val="50000"/>
              </a:srgbClr>
            </a:solidFill>
            <a:prstDash val="solid"/>
            <a:miter lim="800000"/>
          </a:ln>
          <a:effectLst/>
          <a:scene3d>
            <a:camera prst="orthographicFront"/>
            <a:lightRig rig="threePt" dir="t"/>
          </a:scene3d>
          <a:sp3d>
            <a:bevelT/>
          </a:sp3d>
        </xdr:spPr>
        <xdr:txBody>
          <a:bodyPr vertOverflow="clip" horzOverflow="clip" rtlCol="0" anchor="t"/>
          <a:lstStyle/>
          <a:p>
            <a:endParaRPr lang="en-US" sz="1100" b="1">
              <a:solidFill>
                <a:schemeClr val="accent5">
                  <a:lumMod val="50000"/>
                </a:schemeClr>
              </a:solidFill>
              <a:latin typeface="+mn-lt"/>
            </a:endParaRPr>
          </a:p>
        </xdr:txBody>
      </xdr:sp>
      <xdr:sp macro="" textlink="">
        <xdr:nvSpPr>
          <xdr:cNvPr id="3" name="Retângulo: Cantos Arredondados 13">
            <a:extLst>
              <a:ext uri="{FF2B5EF4-FFF2-40B4-BE49-F238E27FC236}">
                <a16:creationId xmlns:a16="http://schemas.microsoft.com/office/drawing/2014/main" id="{BB94DB0C-768F-4213-87C8-C6D764346400}"/>
              </a:ext>
            </a:extLst>
          </xdr:cNvPr>
          <xdr:cNvSpPr/>
        </xdr:nvSpPr>
        <xdr:spPr>
          <a:xfrm>
            <a:off x="19830377" y="583164"/>
            <a:ext cx="2177220" cy="398495"/>
          </a:xfrm>
          <a:prstGeom prst="roundRect">
            <a:avLst/>
          </a:prstGeom>
          <a:solidFill>
            <a:schemeClr val="accent6">
              <a:lumMod val="60000"/>
              <a:lumOff val="40000"/>
            </a:schemeClr>
          </a:solidFill>
          <a:ln w="12700" cap="flat" cmpd="sng" algn="ctr">
            <a:solidFill>
              <a:srgbClr val="5B9BD5">
                <a:shade val="50000"/>
              </a:srgbClr>
            </a:solidFill>
            <a:prstDash val="solid"/>
            <a:miter lim="800000"/>
          </a:ln>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chemeClr val="accent5">
                    <a:lumMod val="50000"/>
                  </a:schemeClr>
                </a:solidFill>
                <a:effectLst/>
                <a:uLnTx/>
                <a:uFillTx/>
                <a:latin typeface="+mn-lt"/>
                <a:ea typeface="+mn-ea"/>
                <a:cs typeface="+mn-cs"/>
              </a:rPr>
              <a:t> A PAGAR / NO PRAZO</a:t>
            </a:r>
          </a:p>
        </xdr:txBody>
      </xdr:sp>
      <xdr:sp macro="" textlink="VALIDAÇÕES!$F$38">
        <xdr:nvSpPr>
          <xdr:cNvPr id="4" name="CaixaDeTexto 3">
            <a:extLst>
              <a:ext uri="{FF2B5EF4-FFF2-40B4-BE49-F238E27FC236}">
                <a16:creationId xmlns:a16="http://schemas.microsoft.com/office/drawing/2014/main" id="{AE953708-1F7E-4146-A32B-AF7BDB400A92}"/>
              </a:ext>
            </a:extLst>
          </xdr:cNvPr>
          <xdr:cNvSpPr txBox="1"/>
        </xdr:nvSpPr>
        <xdr:spPr>
          <a:xfrm>
            <a:off x="20004785" y="97193"/>
            <a:ext cx="2250674" cy="408215"/>
          </a:xfrm>
          <a:prstGeom prst="rect">
            <a:avLst/>
          </a:prstGeom>
          <a:noFill/>
          <a:ln w="9525" cmpd="sng">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wrap="square" rtlCol="0" anchor="t"/>
          <a:lstStyle/>
          <a:p>
            <a:pPr marL="0" indent="0"/>
            <a:fld id="{7B5E5A57-404E-408B-A13A-FC7DEB2E1D36}" type="TxLink">
              <a:rPr lang="en-US" sz="2000" b="1" i="0" u="none" strike="noStrike">
                <a:solidFill>
                  <a:schemeClr val="accent5">
                    <a:lumMod val="50000"/>
                  </a:schemeClr>
                </a:solidFill>
                <a:latin typeface="+mn-lt"/>
                <a:ea typeface="+mn-ea"/>
                <a:cs typeface="Arial"/>
              </a:rPr>
              <a:pPr marL="0" indent="0"/>
              <a:t> 1.219.499,30 </a:t>
            </a:fld>
            <a:endParaRPr lang="pt-BR" sz="2000" b="1" i="0" u="none" strike="noStrike">
              <a:solidFill>
                <a:schemeClr val="accent5">
                  <a:lumMod val="50000"/>
                </a:schemeClr>
              </a:solidFill>
              <a:latin typeface="+mn-lt"/>
              <a:ea typeface="+mn-ea"/>
              <a:cs typeface="Arial"/>
            </a:endParaRPr>
          </a:p>
        </xdr:txBody>
      </xdr:sp>
      <xdr:sp macro="" textlink="VALIDAÇÕES!$E$38">
        <xdr:nvSpPr>
          <xdr:cNvPr id="7" name="CaixaDeTexto 6">
            <a:extLst>
              <a:ext uri="{FF2B5EF4-FFF2-40B4-BE49-F238E27FC236}">
                <a16:creationId xmlns:a16="http://schemas.microsoft.com/office/drawing/2014/main" id="{794A9D57-83A1-D236-ABBE-D7E223F6B88C}"/>
              </a:ext>
            </a:extLst>
          </xdr:cNvPr>
          <xdr:cNvSpPr txBox="1"/>
        </xdr:nvSpPr>
        <xdr:spPr>
          <a:xfrm>
            <a:off x="15337189" y="88114"/>
            <a:ext cx="1924441" cy="428090"/>
          </a:xfrm>
          <a:prstGeom prst="rect">
            <a:avLst/>
          </a:prstGeom>
          <a:noFill/>
          <a:ln w="9525" cmpd="sng">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4795412-7653-4F19-9346-DE583E9B8F7B}" type="TxLink">
              <a:rPr lang="en-US" sz="2000" b="1" i="0" u="none" strike="noStrike">
                <a:solidFill>
                  <a:schemeClr val="accent5">
                    <a:lumMod val="50000"/>
                  </a:schemeClr>
                </a:solidFill>
                <a:latin typeface="+mn-lt"/>
                <a:ea typeface="+mn-ea"/>
                <a:cs typeface="Arial"/>
              </a:rPr>
              <a:pPr marL="0" indent="0"/>
              <a:t> 135.703.496,14 </a:t>
            </a:fld>
            <a:endParaRPr lang="pt-BR" sz="2000" b="1" i="0" u="none" strike="noStrike">
              <a:solidFill>
                <a:schemeClr val="accent5">
                  <a:lumMod val="50000"/>
                </a:schemeClr>
              </a:solidFill>
              <a:latin typeface="+mn-lt"/>
              <a:ea typeface="+mn-ea"/>
              <a:cs typeface="Calibri"/>
            </a:endParaRPr>
          </a:p>
        </xdr:txBody>
      </xdr:sp>
    </xdr:grpSp>
    <xdr:clientData/>
  </xdr:twoCellAnchor>
  <xdr:twoCellAnchor editAs="oneCell">
    <xdr:from>
      <xdr:col>0</xdr:col>
      <xdr:colOff>0</xdr:colOff>
      <xdr:row>0</xdr:row>
      <xdr:rowOff>44379</xdr:rowOff>
    </xdr:from>
    <xdr:to>
      <xdr:col>1</xdr:col>
      <xdr:colOff>766701</xdr:colOff>
      <xdr:row>0</xdr:row>
      <xdr:rowOff>440307</xdr:rowOff>
    </xdr:to>
    <xdr:pic>
      <xdr:nvPicPr>
        <xdr:cNvPr id="5" name="Imagem 2">
          <a:extLst>
            <a:ext uri="{FF2B5EF4-FFF2-40B4-BE49-F238E27FC236}">
              <a16:creationId xmlns:a16="http://schemas.microsoft.com/office/drawing/2014/main" id="{85EEECDB-6EBE-4C27-98BB-5B4160C9FDD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44379"/>
          <a:ext cx="1753303" cy="395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726447</xdr:colOff>
      <xdr:row>0</xdr:row>
      <xdr:rowOff>334692</xdr:rowOff>
    </xdr:from>
    <xdr:to>
      <xdr:col>7</xdr:col>
      <xdr:colOff>46089</xdr:colOff>
      <xdr:row>2</xdr:row>
      <xdr:rowOff>99128</xdr:rowOff>
    </xdr:to>
    <xdr:sp macro="" textlink="">
      <xdr:nvSpPr>
        <xdr:cNvPr id="8" name="Retângulo: Cantos Arredondados 7">
          <a:extLst>
            <a:ext uri="{FF2B5EF4-FFF2-40B4-BE49-F238E27FC236}">
              <a16:creationId xmlns:a16="http://schemas.microsoft.com/office/drawing/2014/main" id="{7D102FDA-7898-4E0F-98D3-D7C29683717E}"/>
            </a:ext>
          </a:extLst>
        </xdr:cNvPr>
        <xdr:cNvSpPr/>
      </xdr:nvSpPr>
      <xdr:spPr>
        <a:xfrm>
          <a:off x="7461983" y="334692"/>
          <a:ext cx="4263570" cy="113649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100" b="1" u="sng">
              <a:solidFill>
                <a:srgbClr val="002060"/>
              </a:solidFill>
            </a:rPr>
            <a:t>Código para cadastrar</a:t>
          </a:r>
          <a:r>
            <a:rPr lang="pt-BR" sz="1100" b="1" u="sng" baseline="0">
              <a:solidFill>
                <a:srgbClr val="002060"/>
              </a:solidFill>
            </a:rPr>
            <a:t> (excepcionalmente) esta empresa</a:t>
          </a:r>
          <a:endParaRPr lang="pt-BR" sz="1100" b="1" u="sng">
            <a:solidFill>
              <a:srgbClr val="002060"/>
            </a:solidFill>
          </a:endParaRPr>
        </a:p>
        <a:p>
          <a:pPr algn="l"/>
          <a:endParaRPr lang="pt-BR" sz="1100">
            <a:solidFill>
              <a:srgbClr val="002060"/>
            </a:solidFill>
          </a:endParaRPr>
        </a:p>
        <a:p>
          <a:pPr algn="l"/>
          <a:r>
            <a:rPr lang="pt-BR" sz="1100" b="1" u="sng">
              <a:solidFill>
                <a:srgbClr val="002060"/>
              </a:solidFill>
            </a:rPr>
            <a:t>111528-1</a:t>
          </a:r>
          <a:r>
            <a:rPr lang="pt-BR" sz="1100">
              <a:solidFill>
                <a:srgbClr val="002060"/>
              </a:solidFill>
            </a:rPr>
            <a:t>  LOOPINVEST VILA RIO      </a:t>
          </a:r>
        </a:p>
        <a:p>
          <a:pPr algn="l"/>
          <a:r>
            <a:rPr lang="pt-BR" sz="1100" b="1" u="sng">
              <a:solidFill>
                <a:srgbClr val="002060"/>
              </a:solidFill>
            </a:rPr>
            <a:t>111528-0</a:t>
          </a:r>
          <a:r>
            <a:rPr lang="pt-BR" sz="1100">
              <a:solidFill>
                <a:srgbClr val="002060"/>
              </a:solidFill>
            </a:rPr>
            <a:t>  LOOPINVEST BONSUCESSO </a:t>
          </a:r>
        </a:p>
      </xdr:txBody>
    </xdr:sp>
    <xdr:clientData/>
  </xdr:twoCellAnchor>
  <xdr:oneCellAnchor>
    <xdr:from>
      <xdr:col>5</xdr:col>
      <xdr:colOff>548136</xdr:colOff>
      <xdr:row>0</xdr:row>
      <xdr:rowOff>386392</xdr:rowOff>
    </xdr:from>
    <xdr:ext cx="184731" cy="264560"/>
    <xdr:sp macro="" textlink="">
      <xdr:nvSpPr>
        <xdr:cNvPr id="6" name="CaixaDeTexto 5">
          <a:extLst>
            <a:ext uri="{FF2B5EF4-FFF2-40B4-BE49-F238E27FC236}">
              <a16:creationId xmlns:a16="http://schemas.microsoft.com/office/drawing/2014/main" id="{38E7BFF2-5A32-AED7-977C-C12B2B74259A}"/>
            </a:ext>
          </a:extLst>
        </xdr:cNvPr>
        <xdr:cNvSpPr txBox="1"/>
      </xdr:nvSpPr>
      <xdr:spPr>
        <a:xfrm>
          <a:off x="7233608" y="38639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9721</xdr:colOff>
      <xdr:row>0</xdr:row>
      <xdr:rowOff>272144</xdr:rowOff>
    </xdr:from>
    <xdr:to>
      <xdr:col>3</xdr:col>
      <xdr:colOff>364284</xdr:colOff>
      <xdr:row>0</xdr:row>
      <xdr:rowOff>761174</xdr:rowOff>
    </xdr:to>
    <xdr:pic>
      <xdr:nvPicPr>
        <xdr:cNvPr id="2" name="Imagem 2">
          <a:extLst>
            <a:ext uri="{FF2B5EF4-FFF2-40B4-BE49-F238E27FC236}">
              <a16:creationId xmlns:a16="http://schemas.microsoft.com/office/drawing/2014/main" id="{93B8D19B-212B-4DFE-B0CA-03FB5FD8952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2042" y="272144"/>
          <a:ext cx="2298441" cy="4890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3294871</xdr:colOff>
      <xdr:row>0</xdr:row>
      <xdr:rowOff>278753</xdr:rowOff>
    </xdr:from>
    <xdr:to>
      <xdr:col>8</xdr:col>
      <xdr:colOff>5889948</xdr:colOff>
      <xdr:row>0</xdr:row>
      <xdr:rowOff>1049694</xdr:rowOff>
    </xdr:to>
    <xdr:grpSp>
      <xdr:nvGrpSpPr>
        <xdr:cNvPr id="7" name="Agrupar 6">
          <a:extLst>
            <a:ext uri="{FF2B5EF4-FFF2-40B4-BE49-F238E27FC236}">
              <a16:creationId xmlns:a16="http://schemas.microsoft.com/office/drawing/2014/main" id="{A92FEFA6-604E-18C6-7A8A-500309E50C1C}"/>
            </a:ext>
          </a:extLst>
        </xdr:cNvPr>
        <xdr:cNvGrpSpPr/>
      </xdr:nvGrpSpPr>
      <xdr:grpSpPr>
        <a:xfrm>
          <a:off x="11031504" y="278753"/>
          <a:ext cx="2595077" cy="770941"/>
          <a:chOff x="10380306" y="366227"/>
          <a:chExt cx="2444871" cy="770941"/>
        </a:xfrm>
      </xdr:grpSpPr>
      <xdr:sp macro="" textlink="">
        <xdr:nvSpPr>
          <xdr:cNvPr id="3" name="Retângulo: Cantos Arredondados 4">
            <a:extLst>
              <a:ext uri="{FF2B5EF4-FFF2-40B4-BE49-F238E27FC236}">
                <a16:creationId xmlns:a16="http://schemas.microsoft.com/office/drawing/2014/main" id="{1DD1D159-C856-4C91-A6D4-5AEEBBB7B57E}"/>
              </a:ext>
            </a:extLst>
          </xdr:cNvPr>
          <xdr:cNvSpPr/>
        </xdr:nvSpPr>
        <xdr:spPr>
          <a:xfrm>
            <a:off x="10380306" y="369337"/>
            <a:ext cx="2444871" cy="767831"/>
          </a:xfrm>
          <a:prstGeom prst="roundRect">
            <a:avLst/>
          </a:prstGeom>
          <a:solidFill>
            <a:srgbClr val="5B9BD5">
              <a:lumMod val="40000"/>
              <a:lumOff val="60000"/>
            </a:srgbClr>
          </a:solidFill>
          <a:ln w="12700" cap="flat" cmpd="sng" algn="ctr">
            <a:solidFill>
              <a:srgbClr val="5B9BD5">
                <a:shade val="50000"/>
              </a:srgbClr>
            </a:solidFill>
            <a:prstDash val="solid"/>
            <a:miter lim="800000"/>
          </a:ln>
          <a:effectLst/>
          <a:scene3d>
            <a:camera prst="orthographicFront"/>
            <a:lightRig rig="threePt" dir="t"/>
          </a:scene3d>
          <a:sp3d>
            <a:bevelT/>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chemeClr val="accent5">
                  <a:lumMod val="50000"/>
                </a:schemeClr>
              </a:solidFill>
              <a:effectLst/>
              <a:uLnTx/>
              <a:uFillTx/>
              <a:latin typeface="+mn-lt"/>
              <a:ea typeface="+mn-ea"/>
            </a:endParaRPr>
          </a:p>
        </xdr:txBody>
      </xdr:sp>
      <xdr:sp macro="" textlink="VALIDAÇÕES!F27">
        <xdr:nvSpPr>
          <xdr:cNvPr id="5" name="CaixaDeTexto 4">
            <a:extLst>
              <a:ext uri="{FF2B5EF4-FFF2-40B4-BE49-F238E27FC236}">
                <a16:creationId xmlns:a16="http://schemas.microsoft.com/office/drawing/2014/main" id="{97883DA4-5E8A-71FF-AD52-153CD69A07A4}"/>
              </a:ext>
            </a:extLst>
          </xdr:cNvPr>
          <xdr:cNvSpPr txBox="1"/>
        </xdr:nvSpPr>
        <xdr:spPr>
          <a:xfrm>
            <a:off x="10506658" y="660919"/>
            <a:ext cx="2284057" cy="388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663110-E596-4396-BD39-AE5376F0E8D0}" type="TxLink">
              <a:rPr lang="en-US" sz="2000" b="1" i="0" u="none" strike="noStrike">
                <a:ln>
                  <a:noFill/>
                </a:ln>
                <a:solidFill>
                  <a:srgbClr val="002060"/>
                </a:solidFill>
                <a:latin typeface="Calibri"/>
                <a:ea typeface="Calibri"/>
                <a:cs typeface="Calibri"/>
              </a:rPr>
              <a:pPr algn="ctr"/>
              <a:t>R$ 1.514.842,40</a:t>
            </a:fld>
            <a:endParaRPr lang="pt-BR" sz="2000" b="1">
              <a:ln>
                <a:noFill/>
              </a:ln>
              <a:solidFill>
                <a:srgbClr val="002060"/>
              </a:solidFill>
            </a:endParaRPr>
          </a:p>
        </xdr:txBody>
      </xdr:sp>
      <xdr:sp macro="" textlink="">
        <xdr:nvSpPr>
          <xdr:cNvPr id="6" name="CaixaDeTexto 5">
            <a:extLst>
              <a:ext uri="{FF2B5EF4-FFF2-40B4-BE49-F238E27FC236}">
                <a16:creationId xmlns:a16="http://schemas.microsoft.com/office/drawing/2014/main" id="{1C6CFE3F-B12C-4F27-AB29-24D2D1A9E718}"/>
              </a:ext>
            </a:extLst>
          </xdr:cNvPr>
          <xdr:cNvSpPr txBox="1"/>
        </xdr:nvSpPr>
        <xdr:spPr>
          <a:xfrm>
            <a:off x="11193627" y="366227"/>
            <a:ext cx="907012" cy="31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ln>
                  <a:noFill/>
                </a:ln>
                <a:solidFill>
                  <a:srgbClr val="002060"/>
                </a:solidFill>
                <a:latin typeface="Calibri"/>
                <a:ea typeface="Calibri"/>
                <a:cs typeface="Calibri"/>
              </a:rPr>
              <a:t>TOTAL</a:t>
            </a:r>
            <a:endParaRPr lang="en-US" sz="1600" b="1" i="0" u="none" strike="noStrike">
              <a:ln>
                <a:noFill/>
              </a:ln>
              <a:solidFill>
                <a:srgbClr val="002060"/>
              </a:solidFill>
              <a:latin typeface="Calibri"/>
              <a:ea typeface="Calibri"/>
              <a:cs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250999</xdr:colOff>
      <xdr:row>0</xdr:row>
      <xdr:rowOff>824346</xdr:rowOff>
    </xdr:from>
    <xdr:to>
      <xdr:col>12</xdr:col>
      <xdr:colOff>49609</xdr:colOff>
      <xdr:row>1</xdr:row>
      <xdr:rowOff>0</xdr:rowOff>
    </xdr:to>
    <xdr:sp macro="" textlink="">
      <xdr:nvSpPr>
        <xdr:cNvPr id="66" name="Retângulo: Cantos Arredondados 65">
          <a:extLst>
            <a:ext uri="{FF2B5EF4-FFF2-40B4-BE49-F238E27FC236}">
              <a16:creationId xmlns:a16="http://schemas.microsoft.com/office/drawing/2014/main" id="{242098FF-179B-032A-B49B-316B4DD5866D}"/>
            </a:ext>
          </a:extLst>
        </xdr:cNvPr>
        <xdr:cNvSpPr/>
      </xdr:nvSpPr>
      <xdr:spPr>
        <a:xfrm>
          <a:off x="250999" y="824346"/>
          <a:ext cx="12062048" cy="862373"/>
        </a:xfrm>
        <a:prstGeom prst="roundRect">
          <a:avLst>
            <a:gd name="adj" fmla="val 0"/>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148830</xdr:colOff>
      <xdr:row>0</xdr:row>
      <xdr:rowOff>912815</xdr:rowOff>
    </xdr:from>
    <xdr:to>
      <xdr:col>2</xdr:col>
      <xdr:colOff>212330</xdr:colOff>
      <xdr:row>0</xdr:row>
      <xdr:rowOff>1240810</xdr:rowOff>
    </xdr:to>
    <xdr:sp macro="[0]!TERRAPLANAGEM" textlink="">
      <xdr:nvSpPr>
        <xdr:cNvPr id="45" name="Retângulo 44">
          <a:extLst>
            <a:ext uri="{FF2B5EF4-FFF2-40B4-BE49-F238E27FC236}">
              <a16:creationId xmlns:a16="http://schemas.microsoft.com/office/drawing/2014/main" id="{E507B0D0-1D1B-5789-06F3-79169AAF5B3D}"/>
            </a:ext>
          </a:extLst>
        </xdr:cNvPr>
        <xdr:cNvSpPr/>
      </xdr:nvSpPr>
      <xdr:spPr>
        <a:xfrm>
          <a:off x="1240236" y="912815"/>
          <a:ext cx="1135063" cy="32799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200" b="1">
              <a:solidFill>
                <a:srgbClr val="002060"/>
              </a:solidFill>
              <a:latin typeface="+mn-lt"/>
              <a:ea typeface="+mn-ea"/>
              <a:cs typeface="+mn-cs"/>
            </a:rPr>
            <a:t>A3 </a:t>
          </a:r>
        </a:p>
      </xdr:txBody>
    </xdr:sp>
    <xdr:clientData/>
  </xdr:twoCellAnchor>
  <xdr:twoCellAnchor>
    <xdr:from>
      <xdr:col>1</xdr:col>
      <xdr:colOff>148830</xdr:colOff>
      <xdr:row>0</xdr:row>
      <xdr:rowOff>1309114</xdr:rowOff>
    </xdr:from>
    <xdr:to>
      <xdr:col>2</xdr:col>
      <xdr:colOff>168673</xdr:colOff>
      <xdr:row>0</xdr:row>
      <xdr:rowOff>1637109</xdr:rowOff>
    </xdr:to>
    <xdr:sp macro="[0]!ALVORADA" textlink="">
      <xdr:nvSpPr>
        <xdr:cNvPr id="46" name="Retângulo 45">
          <a:extLst>
            <a:ext uri="{FF2B5EF4-FFF2-40B4-BE49-F238E27FC236}">
              <a16:creationId xmlns:a16="http://schemas.microsoft.com/office/drawing/2014/main" id="{F04C5270-8512-6179-ABF5-0B5B4D6D74CC}"/>
            </a:ext>
          </a:extLst>
        </xdr:cNvPr>
        <xdr:cNvSpPr/>
      </xdr:nvSpPr>
      <xdr:spPr>
        <a:xfrm>
          <a:off x="1240236" y="1309114"/>
          <a:ext cx="1091406" cy="32799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ALVORADA</a:t>
          </a:r>
        </a:p>
      </xdr:txBody>
    </xdr:sp>
    <xdr:clientData/>
  </xdr:twoCellAnchor>
  <xdr:twoCellAnchor>
    <xdr:from>
      <xdr:col>2</xdr:col>
      <xdr:colOff>238128</xdr:colOff>
      <xdr:row>0</xdr:row>
      <xdr:rowOff>901083</xdr:rowOff>
    </xdr:from>
    <xdr:to>
      <xdr:col>3</xdr:col>
      <xdr:colOff>208362</xdr:colOff>
      <xdr:row>0</xdr:row>
      <xdr:rowOff>1261878</xdr:rowOff>
    </xdr:to>
    <xdr:sp macro="" textlink="">
      <xdr:nvSpPr>
        <xdr:cNvPr id="64" name="Retângulo 63">
          <a:extLst>
            <a:ext uri="{FF2B5EF4-FFF2-40B4-BE49-F238E27FC236}">
              <a16:creationId xmlns:a16="http://schemas.microsoft.com/office/drawing/2014/main" id="{F0D38922-506F-471F-9A82-A1423309399E}"/>
            </a:ext>
          </a:extLst>
        </xdr:cNvPr>
        <xdr:cNvSpPr/>
      </xdr:nvSpPr>
      <xdr:spPr>
        <a:xfrm>
          <a:off x="2401097" y="901083"/>
          <a:ext cx="1041796" cy="36079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ATTEND</a:t>
          </a:r>
        </a:p>
      </xdr:txBody>
    </xdr:sp>
    <xdr:clientData/>
  </xdr:twoCellAnchor>
  <xdr:twoCellAnchor editAs="oneCell">
    <xdr:from>
      <xdr:col>0</xdr:col>
      <xdr:colOff>0</xdr:colOff>
      <xdr:row>0</xdr:row>
      <xdr:rowOff>69454</xdr:rowOff>
    </xdr:from>
    <xdr:to>
      <xdr:col>1</xdr:col>
      <xdr:colOff>833438</xdr:colOff>
      <xdr:row>0</xdr:row>
      <xdr:rowOff>558484</xdr:rowOff>
    </xdr:to>
    <xdr:pic>
      <xdr:nvPicPr>
        <xdr:cNvPr id="4" name="Imagem 2">
          <a:extLst>
            <a:ext uri="{FF2B5EF4-FFF2-40B4-BE49-F238E27FC236}">
              <a16:creationId xmlns:a16="http://schemas.microsoft.com/office/drawing/2014/main" id="{A7A6F8F3-BFC4-4280-B5DB-3205DA97C5C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69454"/>
          <a:ext cx="1924844" cy="4890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283663</xdr:colOff>
      <xdr:row>0</xdr:row>
      <xdr:rowOff>349229</xdr:rowOff>
    </xdr:from>
    <xdr:to>
      <xdr:col>16</xdr:col>
      <xdr:colOff>44406</xdr:colOff>
      <xdr:row>0</xdr:row>
      <xdr:rowOff>744504</xdr:rowOff>
    </xdr:to>
    <xdr:sp macro="" textlink="VALIDAÇÕES!$E$27">
      <xdr:nvSpPr>
        <xdr:cNvPr id="6" name="CaixaDeTexto 5">
          <a:extLst>
            <a:ext uri="{FF2B5EF4-FFF2-40B4-BE49-F238E27FC236}">
              <a16:creationId xmlns:a16="http://schemas.microsoft.com/office/drawing/2014/main" id="{0910B0D3-3E06-6059-1923-0D0E32484879}"/>
            </a:ext>
          </a:extLst>
        </xdr:cNvPr>
        <xdr:cNvSpPr txBox="1"/>
      </xdr:nvSpPr>
      <xdr:spPr>
        <a:xfrm>
          <a:off x="11664054" y="349229"/>
          <a:ext cx="2975430" cy="3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918260-4F58-42F3-8356-CF64108E6477}" type="TxLink">
            <a:rPr lang="en-US" sz="2400" b="1" i="0" u="none" strike="noStrike">
              <a:ln>
                <a:noFill/>
              </a:ln>
              <a:solidFill>
                <a:srgbClr val="002060"/>
              </a:solidFill>
              <a:latin typeface="Calibri"/>
              <a:ea typeface="Calibri"/>
              <a:cs typeface="Calibri"/>
            </a:rPr>
            <a:pPr algn="ctr"/>
            <a:t>R$ 19.911.745,51</a:t>
          </a:fld>
          <a:endParaRPr lang="en-US" sz="8000" b="1" i="0" u="none" strike="noStrike">
            <a:ln>
              <a:noFill/>
            </a:ln>
            <a:solidFill>
              <a:srgbClr val="002060"/>
            </a:solidFill>
            <a:latin typeface="Calibri"/>
            <a:ea typeface="Calibri"/>
            <a:cs typeface="Calibri"/>
          </a:endParaRPr>
        </a:p>
      </xdr:txBody>
    </xdr:sp>
    <xdr:clientData/>
  </xdr:twoCellAnchor>
  <xdr:twoCellAnchor>
    <xdr:from>
      <xdr:col>11</xdr:col>
      <xdr:colOff>154450</xdr:colOff>
      <xdr:row>0</xdr:row>
      <xdr:rowOff>49611</xdr:rowOff>
    </xdr:from>
    <xdr:to>
      <xdr:col>16</xdr:col>
      <xdr:colOff>89296</xdr:colOff>
      <xdr:row>0</xdr:row>
      <xdr:rowOff>365830</xdr:rowOff>
    </xdr:to>
    <xdr:sp macro="" textlink="">
      <xdr:nvSpPr>
        <xdr:cNvPr id="7" name="CaixaDeTexto 6">
          <a:extLst>
            <a:ext uri="{FF2B5EF4-FFF2-40B4-BE49-F238E27FC236}">
              <a16:creationId xmlns:a16="http://schemas.microsoft.com/office/drawing/2014/main" id="{160BF450-B4BE-731B-71C8-DEEB0B50CA65}"/>
            </a:ext>
          </a:extLst>
        </xdr:cNvPr>
        <xdr:cNvSpPr txBox="1"/>
      </xdr:nvSpPr>
      <xdr:spPr>
        <a:xfrm>
          <a:off x="11534841" y="49611"/>
          <a:ext cx="3149533" cy="316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u="none" strike="noStrike">
              <a:ln>
                <a:noFill/>
              </a:ln>
              <a:solidFill>
                <a:srgbClr val="002060"/>
              </a:solidFill>
              <a:latin typeface="Calibri"/>
              <a:ea typeface="Calibri"/>
              <a:cs typeface="Calibri"/>
            </a:rPr>
            <a:t>Saldo</a:t>
          </a:r>
          <a:r>
            <a:rPr lang="en-US" sz="2000" b="1" i="0" u="none" strike="noStrike" baseline="0">
              <a:ln>
                <a:noFill/>
              </a:ln>
              <a:solidFill>
                <a:srgbClr val="002060"/>
              </a:solidFill>
              <a:latin typeface="Calibri"/>
              <a:ea typeface="Calibri"/>
              <a:cs typeface="Calibri"/>
            </a:rPr>
            <a:t> Total Desembolso</a:t>
          </a:r>
          <a:endParaRPr lang="en-US" sz="1600" b="1" i="0" u="none" strike="noStrike">
            <a:ln>
              <a:noFill/>
            </a:ln>
            <a:solidFill>
              <a:srgbClr val="002060"/>
            </a:solidFill>
            <a:latin typeface="Calibri"/>
            <a:ea typeface="Calibri"/>
            <a:cs typeface="Calibri"/>
          </a:endParaRPr>
        </a:p>
      </xdr:txBody>
    </xdr:sp>
    <xdr:clientData/>
  </xdr:twoCellAnchor>
  <xdr:twoCellAnchor>
    <xdr:from>
      <xdr:col>2</xdr:col>
      <xdr:colOff>931354</xdr:colOff>
      <xdr:row>0</xdr:row>
      <xdr:rowOff>919853</xdr:rowOff>
    </xdr:from>
    <xdr:to>
      <xdr:col>2</xdr:col>
      <xdr:colOff>931354</xdr:colOff>
      <xdr:row>0</xdr:row>
      <xdr:rowOff>1247848</xdr:rowOff>
    </xdr:to>
    <xdr:sp macro="" textlink="">
      <xdr:nvSpPr>
        <xdr:cNvPr id="47" name="Retângulo 46">
          <a:extLst>
            <a:ext uri="{FF2B5EF4-FFF2-40B4-BE49-F238E27FC236}">
              <a16:creationId xmlns:a16="http://schemas.microsoft.com/office/drawing/2014/main" id="{188E8418-0370-CA64-F877-02CB62DF7C5F}"/>
            </a:ext>
          </a:extLst>
        </xdr:cNvPr>
        <xdr:cNvSpPr/>
      </xdr:nvSpPr>
      <xdr:spPr>
        <a:xfrm>
          <a:off x="3094323" y="919853"/>
          <a:ext cx="0" cy="32799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ATTEND</a:t>
          </a:r>
        </a:p>
      </xdr:txBody>
    </xdr:sp>
    <xdr:clientData/>
  </xdr:twoCellAnchor>
  <xdr:twoCellAnchor>
    <xdr:from>
      <xdr:col>3</xdr:col>
      <xdr:colOff>257972</xdr:colOff>
      <xdr:row>0</xdr:row>
      <xdr:rowOff>846045</xdr:rowOff>
    </xdr:from>
    <xdr:to>
      <xdr:col>4</xdr:col>
      <xdr:colOff>297658</xdr:colOff>
      <xdr:row>0</xdr:row>
      <xdr:rowOff>1326264</xdr:rowOff>
    </xdr:to>
    <xdr:sp macro="[0]!NOVE" textlink="">
      <xdr:nvSpPr>
        <xdr:cNvPr id="12" name="Retângulo 11">
          <a:extLst>
            <a:ext uri="{FF2B5EF4-FFF2-40B4-BE49-F238E27FC236}">
              <a16:creationId xmlns:a16="http://schemas.microsoft.com/office/drawing/2014/main" id="{2EE452B3-CFB6-4E49-8898-82936DA99726}"/>
            </a:ext>
          </a:extLst>
        </xdr:cNvPr>
        <xdr:cNvSpPr/>
      </xdr:nvSpPr>
      <xdr:spPr>
        <a:xfrm>
          <a:off x="3492503" y="846045"/>
          <a:ext cx="1041796" cy="480219"/>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CONSÓRCIO</a:t>
          </a:r>
          <a:r>
            <a:rPr lang="pt-BR" sz="1200" b="1" baseline="0">
              <a:solidFill>
                <a:srgbClr val="002060"/>
              </a:solidFill>
            </a:rPr>
            <a:t> NOVE</a:t>
          </a:r>
          <a:endParaRPr lang="pt-BR" sz="1200" b="1">
            <a:solidFill>
              <a:srgbClr val="002060"/>
            </a:solidFill>
          </a:endParaRPr>
        </a:p>
      </xdr:txBody>
    </xdr:sp>
    <xdr:clientData/>
  </xdr:twoCellAnchor>
  <xdr:twoCellAnchor>
    <xdr:from>
      <xdr:col>2</xdr:col>
      <xdr:colOff>238128</xdr:colOff>
      <xdr:row>0</xdr:row>
      <xdr:rowOff>1309114</xdr:rowOff>
    </xdr:from>
    <xdr:to>
      <xdr:col>3</xdr:col>
      <xdr:colOff>208362</xdr:colOff>
      <xdr:row>0</xdr:row>
      <xdr:rowOff>1637109</xdr:rowOff>
    </xdr:to>
    <xdr:sp macro="" textlink="">
      <xdr:nvSpPr>
        <xdr:cNvPr id="48" name="Retângulo 47">
          <a:extLst>
            <a:ext uri="{FF2B5EF4-FFF2-40B4-BE49-F238E27FC236}">
              <a16:creationId xmlns:a16="http://schemas.microsoft.com/office/drawing/2014/main" id="{A8D58CEC-13FD-B16A-33BF-061760145E1A}"/>
            </a:ext>
          </a:extLst>
        </xdr:cNvPr>
        <xdr:cNvSpPr/>
      </xdr:nvSpPr>
      <xdr:spPr>
        <a:xfrm>
          <a:off x="2401097" y="1309114"/>
          <a:ext cx="1041796" cy="32799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CORREIOS</a:t>
          </a:r>
        </a:p>
      </xdr:txBody>
    </xdr:sp>
    <xdr:clientData/>
  </xdr:twoCellAnchor>
  <xdr:twoCellAnchor>
    <xdr:from>
      <xdr:col>4</xdr:col>
      <xdr:colOff>347267</xdr:colOff>
      <xdr:row>0</xdr:row>
      <xdr:rowOff>927404</xdr:rowOff>
    </xdr:from>
    <xdr:to>
      <xdr:col>5</xdr:col>
      <xdr:colOff>317501</xdr:colOff>
      <xdr:row>0</xdr:row>
      <xdr:rowOff>1255399</xdr:rowOff>
    </xdr:to>
    <xdr:sp macro="[0]!CDR" textlink="">
      <xdr:nvSpPr>
        <xdr:cNvPr id="44" name="Retângulo 43">
          <a:extLst>
            <a:ext uri="{FF2B5EF4-FFF2-40B4-BE49-F238E27FC236}">
              <a16:creationId xmlns:a16="http://schemas.microsoft.com/office/drawing/2014/main" id="{81E753C1-3B2C-63A8-EDDC-398914F3E25E}"/>
            </a:ext>
          </a:extLst>
        </xdr:cNvPr>
        <xdr:cNvSpPr/>
      </xdr:nvSpPr>
      <xdr:spPr>
        <a:xfrm>
          <a:off x="4583908" y="927404"/>
          <a:ext cx="1041796" cy="32799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CDR</a:t>
          </a:r>
        </a:p>
      </xdr:txBody>
    </xdr:sp>
    <xdr:clientData/>
  </xdr:twoCellAnchor>
  <xdr:twoCellAnchor>
    <xdr:from>
      <xdr:col>5</xdr:col>
      <xdr:colOff>367114</xdr:colOff>
      <xdr:row>0</xdr:row>
      <xdr:rowOff>927407</xdr:rowOff>
    </xdr:from>
    <xdr:to>
      <xdr:col>6</xdr:col>
      <xdr:colOff>406800</xdr:colOff>
      <xdr:row>0</xdr:row>
      <xdr:rowOff>1255402</xdr:rowOff>
    </xdr:to>
    <xdr:sp macro="[0]!EPAL" textlink="">
      <xdr:nvSpPr>
        <xdr:cNvPr id="41" name="Retângulo 40">
          <a:extLst>
            <a:ext uri="{FF2B5EF4-FFF2-40B4-BE49-F238E27FC236}">
              <a16:creationId xmlns:a16="http://schemas.microsoft.com/office/drawing/2014/main" id="{ABAF944F-87B2-E1C0-2EB6-C96AE51131B3}"/>
            </a:ext>
          </a:extLst>
        </xdr:cNvPr>
        <xdr:cNvSpPr/>
      </xdr:nvSpPr>
      <xdr:spPr>
        <a:xfrm>
          <a:off x="5675317" y="927407"/>
          <a:ext cx="1041796" cy="32799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EPAL</a:t>
          </a:r>
        </a:p>
      </xdr:txBody>
    </xdr:sp>
    <xdr:clientData/>
  </xdr:twoCellAnchor>
  <xdr:twoCellAnchor>
    <xdr:from>
      <xdr:col>4</xdr:col>
      <xdr:colOff>347268</xdr:colOff>
      <xdr:row>0</xdr:row>
      <xdr:rowOff>1309114</xdr:rowOff>
    </xdr:from>
    <xdr:to>
      <xdr:col>5</xdr:col>
      <xdr:colOff>317502</xdr:colOff>
      <xdr:row>0</xdr:row>
      <xdr:rowOff>1637109</xdr:rowOff>
    </xdr:to>
    <xdr:sp macro="[0]!EXECUTAR" textlink="">
      <xdr:nvSpPr>
        <xdr:cNvPr id="40" name="Retângulo 39">
          <a:extLst>
            <a:ext uri="{FF2B5EF4-FFF2-40B4-BE49-F238E27FC236}">
              <a16:creationId xmlns:a16="http://schemas.microsoft.com/office/drawing/2014/main" id="{EB57C662-EA23-5B12-2A33-CD6EBFCA3E63}"/>
            </a:ext>
          </a:extLst>
        </xdr:cNvPr>
        <xdr:cNvSpPr/>
      </xdr:nvSpPr>
      <xdr:spPr>
        <a:xfrm>
          <a:off x="4583909" y="1309114"/>
          <a:ext cx="1041796" cy="32799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EXECUTAR</a:t>
          </a:r>
        </a:p>
      </xdr:txBody>
    </xdr:sp>
    <xdr:clientData/>
  </xdr:twoCellAnchor>
  <xdr:twoCellAnchor>
    <xdr:from>
      <xdr:col>6</xdr:col>
      <xdr:colOff>446485</xdr:colOff>
      <xdr:row>0</xdr:row>
      <xdr:rowOff>851299</xdr:rowOff>
    </xdr:from>
    <xdr:to>
      <xdr:col>7</xdr:col>
      <xdr:colOff>486172</xdr:colOff>
      <xdr:row>0</xdr:row>
      <xdr:rowOff>1331518</xdr:rowOff>
    </xdr:to>
    <xdr:sp macro="[0]!LAVANDERIA" textlink="">
      <xdr:nvSpPr>
        <xdr:cNvPr id="42" name="Retângulo 41">
          <a:extLst>
            <a:ext uri="{FF2B5EF4-FFF2-40B4-BE49-F238E27FC236}">
              <a16:creationId xmlns:a16="http://schemas.microsoft.com/office/drawing/2014/main" id="{5B28D673-C4C8-2AC8-FDF1-E72D91531471}"/>
            </a:ext>
          </a:extLst>
        </xdr:cNvPr>
        <xdr:cNvSpPr/>
      </xdr:nvSpPr>
      <xdr:spPr>
        <a:xfrm>
          <a:off x="6756798" y="851299"/>
          <a:ext cx="1041796" cy="480219"/>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LAVANDERIA</a:t>
          </a:r>
          <a:r>
            <a:rPr lang="pt-BR" sz="1200" b="1" baseline="0">
              <a:solidFill>
                <a:srgbClr val="002060"/>
              </a:solidFill>
            </a:rPr>
            <a:t> PAULISTA</a:t>
          </a:r>
          <a:endParaRPr lang="pt-BR" sz="1200" b="1">
            <a:solidFill>
              <a:srgbClr val="002060"/>
            </a:solidFill>
          </a:endParaRPr>
        </a:p>
      </xdr:txBody>
    </xdr:sp>
    <xdr:clientData/>
  </xdr:twoCellAnchor>
  <xdr:twoCellAnchor>
    <xdr:from>
      <xdr:col>6</xdr:col>
      <xdr:colOff>347264</xdr:colOff>
      <xdr:row>0</xdr:row>
      <xdr:rowOff>1300455</xdr:rowOff>
    </xdr:from>
    <xdr:to>
      <xdr:col>8</xdr:col>
      <xdr:colOff>271859</xdr:colOff>
      <xdr:row>0</xdr:row>
      <xdr:rowOff>1637108</xdr:rowOff>
    </xdr:to>
    <xdr:sp macro="[0]!BONSUCESSO" textlink="">
      <xdr:nvSpPr>
        <xdr:cNvPr id="36" name="Retângulo 35">
          <a:extLst>
            <a:ext uri="{FF2B5EF4-FFF2-40B4-BE49-F238E27FC236}">
              <a16:creationId xmlns:a16="http://schemas.microsoft.com/office/drawing/2014/main" id="{36C9733B-511C-DD58-456A-916A05344C27}"/>
            </a:ext>
          </a:extLst>
        </xdr:cNvPr>
        <xdr:cNvSpPr/>
      </xdr:nvSpPr>
      <xdr:spPr>
        <a:xfrm>
          <a:off x="6657577" y="1300455"/>
          <a:ext cx="1928813" cy="336653"/>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LOOPINVEST BONSUCESSO</a:t>
          </a:r>
        </a:p>
      </xdr:txBody>
    </xdr:sp>
    <xdr:clientData/>
  </xdr:twoCellAnchor>
  <xdr:twoCellAnchor>
    <xdr:from>
      <xdr:col>8</xdr:col>
      <xdr:colOff>337348</xdr:colOff>
      <xdr:row>0</xdr:row>
      <xdr:rowOff>1314361</xdr:rowOff>
    </xdr:from>
    <xdr:to>
      <xdr:col>9</xdr:col>
      <xdr:colOff>503636</xdr:colOff>
      <xdr:row>0</xdr:row>
      <xdr:rowOff>1642356</xdr:rowOff>
    </xdr:to>
    <xdr:sp macro="[0]!VILA_RIO" textlink="">
      <xdr:nvSpPr>
        <xdr:cNvPr id="35" name="Retângulo 34">
          <a:extLst>
            <a:ext uri="{FF2B5EF4-FFF2-40B4-BE49-F238E27FC236}">
              <a16:creationId xmlns:a16="http://schemas.microsoft.com/office/drawing/2014/main" id="{FBDC9A56-C7F1-3E17-9B6F-EB87F77AD543}"/>
            </a:ext>
          </a:extLst>
        </xdr:cNvPr>
        <xdr:cNvSpPr/>
      </xdr:nvSpPr>
      <xdr:spPr>
        <a:xfrm>
          <a:off x="8651879" y="1314361"/>
          <a:ext cx="1227929" cy="32799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LOOPINVEST VR</a:t>
          </a:r>
        </a:p>
      </xdr:txBody>
    </xdr:sp>
    <xdr:clientData/>
  </xdr:twoCellAnchor>
  <xdr:twoCellAnchor>
    <xdr:from>
      <xdr:col>7</xdr:col>
      <xdr:colOff>525861</xdr:colOff>
      <xdr:row>0</xdr:row>
      <xdr:rowOff>932659</xdr:rowOff>
    </xdr:from>
    <xdr:to>
      <xdr:col>8</xdr:col>
      <xdr:colOff>565548</xdr:colOff>
      <xdr:row>0</xdr:row>
      <xdr:rowOff>1260654</xdr:rowOff>
    </xdr:to>
    <xdr:sp macro="[0]!NOA" textlink="">
      <xdr:nvSpPr>
        <xdr:cNvPr id="14" name="Retângulo 13">
          <a:extLst>
            <a:ext uri="{FF2B5EF4-FFF2-40B4-BE49-F238E27FC236}">
              <a16:creationId xmlns:a16="http://schemas.microsoft.com/office/drawing/2014/main" id="{43E5FA9A-554A-4B03-B167-501DE4C41ACF}"/>
            </a:ext>
          </a:extLst>
        </xdr:cNvPr>
        <xdr:cNvSpPr/>
      </xdr:nvSpPr>
      <xdr:spPr>
        <a:xfrm>
          <a:off x="7838283" y="932659"/>
          <a:ext cx="1041796" cy="32799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NOA</a:t>
          </a:r>
        </a:p>
      </xdr:txBody>
    </xdr:sp>
    <xdr:clientData/>
  </xdr:twoCellAnchor>
  <xdr:twoCellAnchor>
    <xdr:from>
      <xdr:col>9</xdr:col>
      <xdr:colOff>684614</xdr:colOff>
      <xdr:row>0</xdr:row>
      <xdr:rowOff>1304440</xdr:rowOff>
    </xdr:from>
    <xdr:to>
      <xdr:col>10</xdr:col>
      <xdr:colOff>724301</xdr:colOff>
      <xdr:row>0</xdr:row>
      <xdr:rowOff>1632435</xdr:rowOff>
    </xdr:to>
    <xdr:sp macro="[0]!SILCON" textlink="">
      <xdr:nvSpPr>
        <xdr:cNvPr id="15" name="Retângulo 14">
          <a:extLst>
            <a:ext uri="{FF2B5EF4-FFF2-40B4-BE49-F238E27FC236}">
              <a16:creationId xmlns:a16="http://schemas.microsoft.com/office/drawing/2014/main" id="{CBB66B3A-8DA8-4E72-A7F3-EBAC8CF6118D}"/>
            </a:ext>
          </a:extLst>
        </xdr:cNvPr>
        <xdr:cNvSpPr/>
      </xdr:nvSpPr>
      <xdr:spPr>
        <a:xfrm>
          <a:off x="10060786" y="1304440"/>
          <a:ext cx="1041796" cy="32799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SILCON</a:t>
          </a:r>
        </a:p>
      </xdr:txBody>
    </xdr:sp>
    <xdr:clientData/>
  </xdr:twoCellAnchor>
  <xdr:twoCellAnchor>
    <xdr:from>
      <xdr:col>8</xdr:col>
      <xdr:colOff>605228</xdr:colOff>
      <xdr:row>0</xdr:row>
      <xdr:rowOff>922737</xdr:rowOff>
    </xdr:from>
    <xdr:to>
      <xdr:col>9</xdr:col>
      <xdr:colOff>585383</xdr:colOff>
      <xdr:row>0</xdr:row>
      <xdr:rowOff>1250732</xdr:rowOff>
    </xdr:to>
    <xdr:sp macro="[0]!TIM" textlink="">
      <xdr:nvSpPr>
        <xdr:cNvPr id="53" name="Retângulo 52">
          <a:extLst>
            <a:ext uri="{FF2B5EF4-FFF2-40B4-BE49-F238E27FC236}">
              <a16:creationId xmlns:a16="http://schemas.microsoft.com/office/drawing/2014/main" id="{B2EBD3D7-F8E5-3828-DFFD-D8DD8F7703C6}"/>
            </a:ext>
          </a:extLst>
        </xdr:cNvPr>
        <xdr:cNvSpPr/>
      </xdr:nvSpPr>
      <xdr:spPr>
        <a:xfrm>
          <a:off x="8919759" y="922737"/>
          <a:ext cx="1041796" cy="32799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TIM</a:t>
          </a:r>
        </a:p>
      </xdr:txBody>
    </xdr:sp>
    <xdr:clientData/>
  </xdr:twoCellAnchor>
  <xdr:twoCellAnchor>
    <xdr:from>
      <xdr:col>9</xdr:col>
      <xdr:colOff>625073</xdr:colOff>
      <xdr:row>0</xdr:row>
      <xdr:rowOff>911005</xdr:rowOff>
    </xdr:from>
    <xdr:to>
      <xdr:col>10</xdr:col>
      <xdr:colOff>664760</xdr:colOff>
      <xdr:row>0</xdr:row>
      <xdr:rowOff>1271800</xdr:rowOff>
    </xdr:to>
    <xdr:sp macro="[0]!VB" textlink="">
      <xdr:nvSpPr>
        <xdr:cNvPr id="55" name="Retângulo 54">
          <a:extLst>
            <a:ext uri="{FF2B5EF4-FFF2-40B4-BE49-F238E27FC236}">
              <a16:creationId xmlns:a16="http://schemas.microsoft.com/office/drawing/2014/main" id="{3A5FEFCB-7C38-E899-1F68-FE158BED4D8E}"/>
            </a:ext>
          </a:extLst>
        </xdr:cNvPr>
        <xdr:cNvSpPr/>
      </xdr:nvSpPr>
      <xdr:spPr>
        <a:xfrm>
          <a:off x="10001245" y="911005"/>
          <a:ext cx="1041796" cy="36079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VB</a:t>
          </a:r>
        </a:p>
      </xdr:txBody>
    </xdr:sp>
    <xdr:clientData/>
  </xdr:twoCellAnchor>
  <xdr:twoCellAnchor>
    <xdr:from>
      <xdr:col>3</xdr:col>
      <xdr:colOff>257972</xdr:colOff>
      <xdr:row>0</xdr:row>
      <xdr:rowOff>1309114</xdr:rowOff>
    </xdr:from>
    <xdr:to>
      <xdr:col>4</xdr:col>
      <xdr:colOff>297658</xdr:colOff>
      <xdr:row>0</xdr:row>
      <xdr:rowOff>1637109</xdr:rowOff>
    </xdr:to>
    <xdr:sp macro="" textlink="">
      <xdr:nvSpPr>
        <xdr:cNvPr id="65" name="Retângulo 64">
          <a:extLst>
            <a:ext uri="{FF2B5EF4-FFF2-40B4-BE49-F238E27FC236}">
              <a16:creationId xmlns:a16="http://schemas.microsoft.com/office/drawing/2014/main" id="{B624FD75-7C4B-4AC4-AF07-025BAC238C1B}"/>
            </a:ext>
          </a:extLst>
        </xdr:cNvPr>
        <xdr:cNvSpPr/>
      </xdr:nvSpPr>
      <xdr:spPr>
        <a:xfrm>
          <a:off x="3492503" y="1309114"/>
          <a:ext cx="1041796" cy="32799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CL</a:t>
          </a:r>
          <a:r>
            <a:rPr lang="pt-BR" sz="1200" b="1" baseline="0">
              <a:solidFill>
                <a:srgbClr val="002060"/>
              </a:solidFill>
            </a:rPr>
            <a:t> GRU</a:t>
          </a:r>
          <a:endParaRPr lang="pt-BR" sz="1200" b="1">
            <a:solidFill>
              <a:srgbClr val="002060"/>
            </a:solidFill>
          </a:endParaRPr>
        </a:p>
      </xdr:txBody>
    </xdr:sp>
    <xdr:clientData/>
  </xdr:twoCellAnchor>
  <xdr:twoCellAnchor>
    <xdr:from>
      <xdr:col>2</xdr:col>
      <xdr:colOff>238128</xdr:colOff>
      <xdr:row>0</xdr:row>
      <xdr:rowOff>917483</xdr:rowOff>
    </xdr:from>
    <xdr:to>
      <xdr:col>3</xdr:col>
      <xdr:colOff>208362</xdr:colOff>
      <xdr:row>0</xdr:row>
      <xdr:rowOff>1245478</xdr:rowOff>
    </xdr:to>
    <xdr:sp macro="[0]!ATTEND" textlink="">
      <xdr:nvSpPr>
        <xdr:cNvPr id="67" name="Retângulo 66">
          <a:extLst>
            <a:ext uri="{FF2B5EF4-FFF2-40B4-BE49-F238E27FC236}">
              <a16:creationId xmlns:a16="http://schemas.microsoft.com/office/drawing/2014/main" id="{22C5021E-A4C2-475E-B687-3181341E19C9}"/>
            </a:ext>
          </a:extLst>
        </xdr:cNvPr>
        <xdr:cNvSpPr/>
      </xdr:nvSpPr>
      <xdr:spPr>
        <a:xfrm>
          <a:off x="2401097" y="917483"/>
          <a:ext cx="1041796" cy="32799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ATTEND</a:t>
          </a:r>
        </a:p>
      </xdr:txBody>
    </xdr:sp>
    <xdr:clientData/>
  </xdr:twoCellAnchor>
  <xdr:twoCellAnchor>
    <xdr:from>
      <xdr:col>2</xdr:col>
      <xdr:colOff>238128</xdr:colOff>
      <xdr:row>0</xdr:row>
      <xdr:rowOff>1309114</xdr:rowOff>
    </xdr:from>
    <xdr:to>
      <xdr:col>3</xdr:col>
      <xdr:colOff>208362</xdr:colOff>
      <xdr:row>0</xdr:row>
      <xdr:rowOff>1637109</xdr:rowOff>
    </xdr:to>
    <xdr:sp macro="[0]!CORREIOS" textlink="">
      <xdr:nvSpPr>
        <xdr:cNvPr id="69" name="Retângulo 68">
          <a:extLst>
            <a:ext uri="{FF2B5EF4-FFF2-40B4-BE49-F238E27FC236}">
              <a16:creationId xmlns:a16="http://schemas.microsoft.com/office/drawing/2014/main" id="{F38ACABB-0D30-4F71-9D24-659A22495AFD}"/>
            </a:ext>
          </a:extLst>
        </xdr:cNvPr>
        <xdr:cNvSpPr/>
      </xdr:nvSpPr>
      <xdr:spPr>
        <a:xfrm>
          <a:off x="2401097" y="1309114"/>
          <a:ext cx="1041796" cy="32799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CORREIOS</a:t>
          </a:r>
        </a:p>
      </xdr:txBody>
    </xdr:sp>
    <xdr:clientData/>
  </xdr:twoCellAnchor>
  <xdr:twoCellAnchor>
    <xdr:from>
      <xdr:col>3</xdr:col>
      <xdr:colOff>257972</xdr:colOff>
      <xdr:row>0</xdr:row>
      <xdr:rowOff>1309114</xdr:rowOff>
    </xdr:from>
    <xdr:to>
      <xdr:col>4</xdr:col>
      <xdr:colOff>297658</xdr:colOff>
      <xdr:row>0</xdr:row>
      <xdr:rowOff>1637109</xdr:rowOff>
    </xdr:to>
    <xdr:sp macro="[0]!CL_GRU" textlink="">
      <xdr:nvSpPr>
        <xdr:cNvPr id="70" name="Retângulo 69">
          <a:extLst>
            <a:ext uri="{FF2B5EF4-FFF2-40B4-BE49-F238E27FC236}">
              <a16:creationId xmlns:a16="http://schemas.microsoft.com/office/drawing/2014/main" id="{A2FBD8D9-81C5-40F3-8386-0D30EB103ADD}"/>
            </a:ext>
          </a:extLst>
        </xdr:cNvPr>
        <xdr:cNvSpPr/>
      </xdr:nvSpPr>
      <xdr:spPr>
        <a:xfrm>
          <a:off x="3492503" y="1309114"/>
          <a:ext cx="1041796" cy="32799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002060"/>
              </a:solidFill>
            </a:rPr>
            <a:t>CL</a:t>
          </a:r>
          <a:r>
            <a:rPr lang="pt-BR" sz="1200" b="1" baseline="0">
              <a:solidFill>
                <a:srgbClr val="002060"/>
              </a:solidFill>
            </a:rPr>
            <a:t> GRU</a:t>
          </a:r>
          <a:endParaRPr lang="pt-BR" sz="1200" b="1">
            <a:solidFill>
              <a:srgbClr val="002060"/>
            </a:solidFill>
          </a:endParaRPr>
        </a:p>
      </xdr:txBody>
    </xdr:sp>
    <xdr:clientData/>
  </xdr:twoCellAnchor>
  <xdr:twoCellAnchor>
    <xdr:from>
      <xdr:col>12</xdr:col>
      <xdr:colOff>618919</xdr:colOff>
      <xdr:row>0</xdr:row>
      <xdr:rowOff>1039848</xdr:rowOff>
    </xdr:from>
    <xdr:to>
      <xdr:col>13</xdr:col>
      <xdr:colOff>551862</xdr:colOff>
      <xdr:row>0</xdr:row>
      <xdr:rowOff>1391009</xdr:rowOff>
    </xdr:to>
    <xdr:sp macro="[0]!VOLTAR2" textlink="">
      <xdr:nvSpPr>
        <xdr:cNvPr id="76" name="Seta: para a Esquerda 75">
          <a:extLst>
            <a:ext uri="{FF2B5EF4-FFF2-40B4-BE49-F238E27FC236}">
              <a16:creationId xmlns:a16="http://schemas.microsoft.com/office/drawing/2014/main" id="{754E22F3-132E-4949-8AF5-86903DFA5E5C}"/>
            </a:ext>
          </a:extLst>
        </xdr:cNvPr>
        <xdr:cNvSpPr/>
      </xdr:nvSpPr>
      <xdr:spPr>
        <a:xfrm>
          <a:off x="12882357" y="1039848"/>
          <a:ext cx="974739" cy="351161"/>
        </a:xfrm>
        <a:prstGeom prst="leftArrow">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002060"/>
              </a:solidFill>
            </a:rPr>
            <a:t>VOLTAR</a:t>
          </a:r>
        </a:p>
      </xdr:txBody>
    </xdr:sp>
    <xdr:clientData/>
  </xdr:twoCellAnchor>
  <xdr:twoCellAnchor>
    <xdr:from>
      <xdr:col>5</xdr:col>
      <xdr:colOff>545704</xdr:colOff>
      <xdr:row>0</xdr:row>
      <xdr:rowOff>1359297</xdr:rowOff>
    </xdr:from>
    <xdr:to>
      <xdr:col>6</xdr:col>
      <xdr:colOff>198438</xdr:colOff>
      <xdr:row>0</xdr:row>
      <xdr:rowOff>1656953</xdr:rowOff>
    </xdr:to>
    <xdr:sp macro="[0]!DIMEP" textlink="">
      <xdr:nvSpPr>
        <xdr:cNvPr id="3" name="Retângulo 2">
          <a:extLst>
            <a:ext uri="{FF2B5EF4-FFF2-40B4-BE49-F238E27FC236}">
              <a16:creationId xmlns:a16="http://schemas.microsoft.com/office/drawing/2014/main" id="{4DB9AB1F-F9E8-E071-8F4B-3C189CB5DCB4}"/>
            </a:ext>
          </a:extLst>
        </xdr:cNvPr>
        <xdr:cNvSpPr/>
      </xdr:nvSpPr>
      <xdr:spPr>
        <a:xfrm>
          <a:off x="5853907" y="1359297"/>
          <a:ext cx="654844" cy="29765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100" b="1">
              <a:solidFill>
                <a:srgbClr val="002060"/>
              </a:solidFill>
            </a:rPr>
            <a:t>DIMEP</a:t>
          </a:r>
        </a:p>
      </xdr:txBody>
    </xdr:sp>
    <xdr:clientData/>
  </xdr:twoCellAnchor>
  <xdr:twoCellAnchor>
    <xdr:from>
      <xdr:col>10</xdr:col>
      <xdr:colOff>595313</xdr:colOff>
      <xdr:row>0</xdr:row>
      <xdr:rowOff>972346</xdr:rowOff>
    </xdr:from>
    <xdr:to>
      <xdr:col>11</xdr:col>
      <xdr:colOff>654843</xdr:colOff>
      <xdr:row>0</xdr:row>
      <xdr:rowOff>1309690</xdr:rowOff>
    </xdr:to>
    <xdr:sp macro="[0]!LOPES_SAAB" textlink="">
      <xdr:nvSpPr>
        <xdr:cNvPr id="5" name="CaixaDeTexto 4">
          <a:extLst>
            <a:ext uri="{FF2B5EF4-FFF2-40B4-BE49-F238E27FC236}">
              <a16:creationId xmlns:a16="http://schemas.microsoft.com/office/drawing/2014/main" id="{05244954-9F27-0C50-DB2B-827AE822D159}"/>
            </a:ext>
          </a:extLst>
        </xdr:cNvPr>
        <xdr:cNvSpPr txBox="1"/>
      </xdr:nvSpPr>
      <xdr:spPr>
        <a:xfrm>
          <a:off x="10973594" y="972346"/>
          <a:ext cx="1061640" cy="337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solidFill>
                <a:schemeClr val="accent5">
                  <a:lumMod val="50000"/>
                </a:schemeClr>
              </a:solidFill>
            </a:rPr>
            <a:t>LOPES SAAB</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123825</xdr:colOff>
      <xdr:row>0</xdr:row>
      <xdr:rowOff>95250</xdr:rowOff>
    </xdr:from>
    <xdr:to>
      <xdr:col>0</xdr:col>
      <xdr:colOff>371475</xdr:colOff>
      <xdr:row>0</xdr:row>
      <xdr:rowOff>504825</xdr:rowOff>
    </xdr:to>
    <xdr:sp macro="" textlink="">
      <xdr:nvSpPr>
        <xdr:cNvPr id="10" name="Seta: para Baixo 9">
          <a:extLst>
            <a:ext uri="{FF2B5EF4-FFF2-40B4-BE49-F238E27FC236}">
              <a16:creationId xmlns:a16="http://schemas.microsoft.com/office/drawing/2014/main" id="{FF7DBBD9-F11E-4E83-95B2-C4B0FC357139}"/>
            </a:ext>
          </a:extLst>
        </xdr:cNvPr>
        <xdr:cNvSpPr/>
      </xdr:nvSpPr>
      <xdr:spPr>
        <a:xfrm>
          <a:off x="123825" y="95250"/>
          <a:ext cx="247650" cy="409575"/>
        </a:xfrm>
        <a:prstGeom prst="downArrow">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809625</xdr:colOff>
      <xdr:row>0</xdr:row>
      <xdr:rowOff>85725</xdr:rowOff>
    </xdr:from>
    <xdr:to>
      <xdr:col>8</xdr:col>
      <xdr:colOff>1057275</xdr:colOff>
      <xdr:row>0</xdr:row>
      <xdr:rowOff>495300</xdr:rowOff>
    </xdr:to>
    <xdr:sp macro="" textlink="">
      <xdr:nvSpPr>
        <xdr:cNvPr id="11" name="Seta: para Baixo 10">
          <a:extLst>
            <a:ext uri="{FF2B5EF4-FFF2-40B4-BE49-F238E27FC236}">
              <a16:creationId xmlns:a16="http://schemas.microsoft.com/office/drawing/2014/main" id="{79267B89-91EE-46DC-A0D0-921903AD3DD6}"/>
            </a:ext>
          </a:extLst>
        </xdr:cNvPr>
        <xdr:cNvSpPr/>
      </xdr:nvSpPr>
      <xdr:spPr>
        <a:xfrm>
          <a:off x="14773275" y="85725"/>
          <a:ext cx="247650" cy="409575"/>
        </a:xfrm>
        <a:prstGeom prst="downArrow">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xdr:col>
      <xdr:colOff>371474</xdr:colOff>
      <xdr:row>23</xdr:row>
      <xdr:rowOff>19050</xdr:rowOff>
    </xdr:from>
    <xdr:to>
      <xdr:col>2</xdr:col>
      <xdr:colOff>571499</xdr:colOff>
      <xdr:row>24</xdr:row>
      <xdr:rowOff>0</xdr:rowOff>
    </xdr:to>
    <xdr:sp macro="" textlink="">
      <xdr:nvSpPr>
        <xdr:cNvPr id="2" name="Seta: para Baixo 1">
          <a:extLst>
            <a:ext uri="{FF2B5EF4-FFF2-40B4-BE49-F238E27FC236}">
              <a16:creationId xmlns:a16="http://schemas.microsoft.com/office/drawing/2014/main" id="{906DC896-BB49-4A67-A4E3-05DCC0E2D66E}"/>
            </a:ext>
          </a:extLst>
        </xdr:cNvPr>
        <xdr:cNvSpPr/>
      </xdr:nvSpPr>
      <xdr:spPr>
        <a:xfrm>
          <a:off x="4638674" y="4752975"/>
          <a:ext cx="200025" cy="381000"/>
        </a:xfrm>
        <a:prstGeom prst="downArrow">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6</xdr:col>
      <xdr:colOff>1171574</xdr:colOff>
      <xdr:row>23</xdr:row>
      <xdr:rowOff>28575</xdr:rowOff>
    </xdr:from>
    <xdr:to>
      <xdr:col>6</xdr:col>
      <xdr:colOff>1371599</xdr:colOff>
      <xdr:row>24</xdr:row>
      <xdr:rowOff>9525</xdr:rowOff>
    </xdr:to>
    <xdr:sp macro="" textlink="">
      <xdr:nvSpPr>
        <xdr:cNvPr id="3" name="Seta: para Baixo 2">
          <a:extLst>
            <a:ext uri="{FF2B5EF4-FFF2-40B4-BE49-F238E27FC236}">
              <a16:creationId xmlns:a16="http://schemas.microsoft.com/office/drawing/2014/main" id="{884AB5A3-7D3E-43B5-B804-7D76F3813C87}"/>
            </a:ext>
          </a:extLst>
        </xdr:cNvPr>
        <xdr:cNvSpPr/>
      </xdr:nvSpPr>
      <xdr:spPr>
        <a:xfrm>
          <a:off x="10944224" y="5143500"/>
          <a:ext cx="200025" cy="276225"/>
        </a:xfrm>
        <a:prstGeom prst="downArrow">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47625</xdr:colOff>
      <xdr:row>25</xdr:row>
      <xdr:rowOff>28575</xdr:rowOff>
    </xdr:from>
    <xdr:to>
      <xdr:col>4</xdr:col>
      <xdr:colOff>171449</xdr:colOff>
      <xdr:row>25</xdr:row>
      <xdr:rowOff>190500</xdr:rowOff>
    </xdr:to>
    <xdr:sp macro="" textlink="">
      <xdr:nvSpPr>
        <xdr:cNvPr id="4" name="Seta: para Baixo 3">
          <a:extLst>
            <a:ext uri="{FF2B5EF4-FFF2-40B4-BE49-F238E27FC236}">
              <a16:creationId xmlns:a16="http://schemas.microsoft.com/office/drawing/2014/main" id="{80C4D716-F3E2-4E42-8482-81B30E04FCD8}"/>
            </a:ext>
          </a:extLst>
        </xdr:cNvPr>
        <xdr:cNvSpPr/>
      </xdr:nvSpPr>
      <xdr:spPr>
        <a:xfrm>
          <a:off x="6543675" y="5629275"/>
          <a:ext cx="123824" cy="161925"/>
        </a:xfrm>
        <a:prstGeom prst="downArrow">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5</xdr:col>
      <xdr:colOff>9525</xdr:colOff>
      <xdr:row>25</xdr:row>
      <xdr:rowOff>47625</xdr:rowOff>
    </xdr:from>
    <xdr:to>
      <xdr:col>5</xdr:col>
      <xdr:colOff>133349</xdr:colOff>
      <xdr:row>25</xdr:row>
      <xdr:rowOff>209550</xdr:rowOff>
    </xdr:to>
    <xdr:sp macro="" textlink="">
      <xdr:nvSpPr>
        <xdr:cNvPr id="5" name="Seta: para Baixo 4">
          <a:extLst>
            <a:ext uri="{FF2B5EF4-FFF2-40B4-BE49-F238E27FC236}">
              <a16:creationId xmlns:a16="http://schemas.microsoft.com/office/drawing/2014/main" id="{06C0043E-7312-4596-A1AD-13B52B64AB2C}"/>
            </a:ext>
          </a:extLst>
        </xdr:cNvPr>
        <xdr:cNvSpPr/>
      </xdr:nvSpPr>
      <xdr:spPr>
        <a:xfrm>
          <a:off x="8248650" y="5648325"/>
          <a:ext cx="123824" cy="161925"/>
        </a:xfrm>
        <a:prstGeom prst="downArrow">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5</xdr:col>
      <xdr:colOff>714375</xdr:colOff>
      <xdr:row>31</xdr:row>
      <xdr:rowOff>19050</xdr:rowOff>
    </xdr:from>
    <xdr:to>
      <xdr:col>5</xdr:col>
      <xdr:colOff>838199</xdr:colOff>
      <xdr:row>31</xdr:row>
      <xdr:rowOff>180975</xdr:rowOff>
    </xdr:to>
    <xdr:sp macro="" textlink="">
      <xdr:nvSpPr>
        <xdr:cNvPr id="6" name="Seta: para Baixo 5">
          <a:extLst>
            <a:ext uri="{FF2B5EF4-FFF2-40B4-BE49-F238E27FC236}">
              <a16:creationId xmlns:a16="http://schemas.microsoft.com/office/drawing/2014/main" id="{4282CF9D-9E2F-41B4-997F-6D9AA60BDB2E}"/>
            </a:ext>
          </a:extLst>
        </xdr:cNvPr>
        <xdr:cNvSpPr/>
      </xdr:nvSpPr>
      <xdr:spPr>
        <a:xfrm>
          <a:off x="8953500" y="6981825"/>
          <a:ext cx="123824" cy="161925"/>
        </a:xfrm>
        <a:prstGeom prst="downArrow">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514350</xdr:colOff>
      <xdr:row>31</xdr:row>
      <xdr:rowOff>28575</xdr:rowOff>
    </xdr:from>
    <xdr:to>
      <xdr:col>3</xdr:col>
      <xdr:colOff>638174</xdr:colOff>
      <xdr:row>31</xdr:row>
      <xdr:rowOff>190500</xdr:rowOff>
    </xdr:to>
    <xdr:sp macro="" textlink="">
      <xdr:nvSpPr>
        <xdr:cNvPr id="7" name="Seta: para Baixo 6">
          <a:extLst>
            <a:ext uri="{FF2B5EF4-FFF2-40B4-BE49-F238E27FC236}">
              <a16:creationId xmlns:a16="http://schemas.microsoft.com/office/drawing/2014/main" id="{86B0E59A-C636-43F3-B047-703213A1D167}"/>
            </a:ext>
          </a:extLst>
        </xdr:cNvPr>
        <xdr:cNvSpPr/>
      </xdr:nvSpPr>
      <xdr:spPr>
        <a:xfrm>
          <a:off x="5810250" y="6991350"/>
          <a:ext cx="123824" cy="161925"/>
        </a:xfrm>
        <a:prstGeom prst="downArrow">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47625</xdr:colOff>
      <xdr:row>25</xdr:row>
      <xdr:rowOff>28575</xdr:rowOff>
    </xdr:from>
    <xdr:to>
      <xdr:col>4</xdr:col>
      <xdr:colOff>171449</xdr:colOff>
      <xdr:row>25</xdr:row>
      <xdr:rowOff>190500</xdr:rowOff>
    </xdr:to>
    <xdr:sp macro="" textlink="">
      <xdr:nvSpPr>
        <xdr:cNvPr id="8" name="Seta: para Baixo 7">
          <a:extLst>
            <a:ext uri="{FF2B5EF4-FFF2-40B4-BE49-F238E27FC236}">
              <a16:creationId xmlns:a16="http://schemas.microsoft.com/office/drawing/2014/main" id="{8B94A926-B4B8-4503-901C-3A93B094B3B6}"/>
            </a:ext>
          </a:extLst>
        </xdr:cNvPr>
        <xdr:cNvSpPr/>
      </xdr:nvSpPr>
      <xdr:spPr>
        <a:xfrm>
          <a:off x="6543675" y="5629275"/>
          <a:ext cx="123824" cy="161925"/>
        </a:xfrm>
        <a:prstGeom prst="downArrow">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57150</xdr:colOff>
      <xdr:row>23</xdr:row>
      <xdr:rowOff>47625</xdr:rowOff>
    </xdr:from>
    <xdr:to>
      <xdr:col>0</xdr:col>
      <xdr:colOff>266700</xdr:colOff>
      <xdr:row>23</xdr:row>
      <xdr:rowOff>323850</xdr:rowOff>
    </xdr:to>
    <xdr:sp macro="" textlink="">
      <xdr:nvSpPr>
        <xdr:cNvPr id="12" name="Seta: para Baixo 11">
          <a:extLst>
            <a:ext uri="{FF2B5EF4-FFF2-40B4-BE49-F238E27FC236}">
              <a16:creationId xmlns:a16="http://schemas.microsoft.com/office/drawing/2014/main" id="{08A94B9B-A432-42C2-BC20-568643614B9C}"/>
            </a:ext>
          </a:extLst>
        </xdr:cNvPr>
        <xdr:cNvSpPr/>
      </xdr:nvSpPr>
      <xdr:spPr>
        <a:xfrm>
          <a:off x="57150" y="5162550"/>
          <a:ext cx="209550" cy="276225"/>
        </a:xfrm>
        <a:prstGeom prst="downArrow">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ela6" displayName="Tabela6" ref="A3:R109" totalsRowShown="0" headerRowDxfId="433" tableBorderDxfId="432">
  <autoFilter ref="A3:R109" xr:uid="{00000000-0009-0000-0100-000006000000}"/>
  <sortState xmlns:xlrd2="http://schemas.microsoft.com/office/spreadsheetml/2017/richdata2" ref="A4:Q109">
    <sortCondition ref="C3:C109"/>
  </sortState>
  <tableColumns count="18">
    <tableColumn id="1" xr3:uid="{00000000-0010-0000-0000-000001000000}" name="DEPTO" dataDxfId="431" totalsRowDxfId="430"/>
    <tableColumn id="2" xr3:uid="{00000000-0010-0000-0000-000002000000}" name="PROG." dataDxfId="429" totalsRowDxfId="428"/>
    <tableColumn id="3" xr3:uid="{00000000-0010-0000-0000-000003000000}" name="PROJETO" dataDxfId="427" totalsRowDxfId="426"/>
    <tableColumn id="4" xr3:uid="{00000000-0010-0000-0000-000004000000}" name="DESCRIÇÃO PJ" dataDxfId="425" totalsRowDxfId="424"/>
    <tableColumn id="5" xr3:uid="{00000000-0010-0000-0000-000005000000}" name="FICHA" dataDxfId="423" totalsRowDxfId="422"/>
    <tableColumn id="6" xr3:uid="{00000000-0010-0000-0000-000006000000}" name="DOTAÇÃO" dataDxfId="421" totalsRowDxfId="420"/>
    <tableColumn id="7" xr3:uid="{00000000-0010-0000-0000-000007000000}" name="AÇÃO" dataDxfId="419" totalsRowDxfId="418"/>
    <tableColumn id="8" xr3:uid="{00000000-0010-0000-0000-000008000000}" name="DESCRIÇÃO DA AÇÃO" dataDxfId="417" totalsRowDxfId="416"/>
    <tableColumn id="9" xr3:uid="{00000000-0010-0000-0000-000009000000}" name="ORÇADO " dataDxfId="415" totalsRowDxfId="414" dataCellStyle="Vírgula"/>
    <tableColumn id="10" xr3:uid="{00000000-0010-0000-0000-00000A000000}" name="CONT." dataDxfId="413" totalsRowDxfId="412" dataCellStyle="Vírgula"/>
    <tableColumn id="17" xr3:uid="{00000000-0010-0000-0000-000011000000}" name="DESCONTING." dataDxfId="411" dataCellStyle="Vírgula"/>
    <tableColumn id="11" xr3:uid="{00000000-0010-0000-0000-00000B000000}" name="SALDO INICIAL _x000a_COM CONTING." dataDxfId="410" totalsRowDxfId="409" dataCellStyle="Vírgula">
      <calculatedColumnFormula>Tabela6[[#This Row],[ORÇADO ]]-Tabela6[[#This Row],[CONT.]]</calculatedColumnFormula>
    </tableColumn>
    <tableColumn id="12" xr3:uid="{00000000-0010-0000-0000-00000C000000}" name="SUPLEMENTADO/_x000a_RECEBIDO" dataDxfId="408" dataCellStyle="Vírgula">
      <calculatedColumnFormula>SUMIFS('ALT. ORÇ. E PROJ.'!H:H,'ALT. ORÇ. E PROJ.'!E:E,Tabela6[[#This Row],[PROG.]],'ALT. ORÇ. E PROJ.'!F:F,Tabela6[[#This Row],[PROJETO]],'ALT. ORÇ. E PROJ.'!G:G,Tabela6[[#This Row],[FICHA]])</calculatedColumnFormula>
    </tableColumn>
    <tableColumn id="13" xr3:uid="{00000000-0010-0000-0000-00000D000000}" name="ANULADO/_x000a_CEDIDO" dataDxfId="407" totalsRowDxfId="406" dataCellStyle="Vírgula">
      <calculatedColumnFormula>SUMIFS('ALT. ORÇ. E PROJ.'!H:H,'ALT. ORÇ. E PROJ.'!B:B,Tabela6[[#This Row],[PROG.]],'ALT. ORÇ. E PROJ.'!C:C,Tabela6[[#This Row],[PROJETO]],'ALT. ORÇ. E PROJ.'!D:D,Tabela6[[#This Row],[FICHA]])</calculatedColumnFormula>
    </tableColumn>
    <tableColumn id="14" xr3:uid="{00000000-0010-0000-0000-00000E000000}" name="RESERVADO" dataDxfId="405" totalsRowDxfId="404" dataCellStyle="Vírgula">
      <calculatedColumnFormula>SUMIFS(RESERVA!$M:$M,RESERVA!C:C,Tabela6[[#This Row],[PROG.]],RESERVA!D:D,Tabela6[[#This Row],[FICHA]],RESERVA!E:E,Tabela6[[#This Row],[AÇÃO]],RESERVA!F:F,Tabela6[[#This Row],[PROJETO]])</calculatedColumnFormula>
    </tableColumn>
    <tableColumn id="15" xr3:uid="{00000000-0010-0000-0000-00000F000000}" name="EMPENHADO" dataDxfId="403" totalsRowDxfId="402" dataCellStyle="Vírgula">
      <calculatedColumnFormula>SUMIFS('EMPENHO '!L:$L,'EMPENHO '!B:B,Tabela6[[#This Row],[PROG.]],'EMPENHO '!C:C,Tabela6[[#This Row],[FICHA]],'EMPENHO '!D:D,Tabela6[[#This Row],[AÇÃO]],'EMPENHO '!E:E,Tabela6[[#This Row],[PROJETO]])</calculatedColumnFormula>
    </tableColumn>
    <tableColumn id="16" xr3:uid="{00000000-0010-0000-0000-000010000000}" name="SALDO_x000a_PROJETO" dataDxfId="401" dataCellStyle="Vírgula">
      <calculatedColumnFormula>Tabela6[[#This Row],[SALDO INICIAL 
COM CONTING.]]-Tabela6[[#This Row],[ANULADO/
CEDIDO]]-Tabela6[[#This Row],[RESERVADO]]-Tabela6[[#This Row],[EMPENHADO]]+Tabela6[[#This Row],[SUPLEMENTADO/
RECEBIDO]]</calculatedColumnFormula>
    </tableColumn>
    <tableColumn id="18" xr3:uid="{4E6C012B-0464-42F1-96BF-07AFA7F24916}" name="Coluna1"/>
  </tableColumns>
  <tableStyleInfo name="Estilo de Tabela 1 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ela96" displayName="Tabela96" ref="A2:N213" totalsRowShown="0" headerRowDxfId="400" dataDxfId="398" headerRowBorderDxfId="399" tableBorderDxfId="397" totalsRowBorderDxfId="396" headerRowCellStyle="Total">
  <autoFilter ref="A2:N213" xr:uid="{00000000-0009-0000-0100-000005000000}">
    <filterColumn colId="5">
      <filters>
        <filter val="681"/>
      </filters>
    </filterColumn>
  </autoFilter>
  <sortState xmlns:xlrd2="http://schemas.microsoft.com/office/spreadsheetml/2017/richdata2" ref="A3:N211">
    <sortCondition ref="A2:A211"/>
  </sortState>
  <tableColumns count="14">
    <tableColumn id="1" xr3:uid="{00000000-0010-0000-0100-000001000000}" name="DATA" dataDxfId="395"/>
    <tableColumn id="12" xr3:uid="{00000000-0010-0000-0100-00000C000000}" name="RESERVA" dataDxfId="394"/>
    <tableColumn id="7" xr3:uid="{00000000-0010-0000-0100-000007000000}" name="PROGRAMA" dataDxfId="393"/>
    <tableColumn id="2" xr3:uid="{00000000-0010-0000-0100-000002000000}" name="FICHA" dataDxfId="392"/>
    <tableColumn id="10" xr3:uid="{00000000-0010-0000-0100-00000A000000}" name="AÇÃO" dataDxfId="391"/>
    <tableColumn id="14" xr3:uid="{00000000-0010-0000-0100-00000E000000}" name="PROJETO" dataDxfId="390"/>
    <tableColumn id="3" xr3:uid="{00000000-0010-0000-0100-000003000000}" name="DOTAÇÃO" dataDxfId="389"/>
    <tableColumn id="4" xr3:uid="{00000000-0010-0000-0100-000004000000}" name="HISTÓRICO" dataDxfId="388"/>
    <tableColumn id="5" xr3:uid="{00000000-0010-0000-0100-000005000000}" name="VALOR" dataDxfId="387" dataCellStyle="Vírgula"/>
    <tableColumn id="11" xr3:uid="{00000000-0010-0000-0100-00000B000000}" name="COMPLEMENTO" dataDxfId="386" dataCellStyle="Vírgula"/>
    <tableColumn id="9" xr3:uid="{00000000-0010-0000-0100-000009000000}" name="DESBLOQUEIO" dataDxfId="385" dataCellStyle="Vírgula"/>
    <tableColumn id="16385" xr3:uid="{00000000-0010-0000-0100-000001400000}" name="VALOR_x000a_ EMPENHO" dataDxfId="384" dataCellStyle="Vírgula">
      <calculatedColumnFormula>SUMIFS('EMPENHO '!J:J,'EMPENHO '!B:B,Tabela96[[#This Row],[PROGRAMA]],'EMPENHO '!C:C,Tabela96[[#This Row],[FICHA]],'EMPENHO '!D:D,Tabela96[[#This Row],[AÇÃO]],'EMPENHO '!E:E,Tabela96[[#This Row],[PROJETO]],'EMPENHO '!F:F,Tabela96[[#This Row],[RESERVA]])</calculatedColumnFormula>
    </tableColumn>
    <tableColumn id="8" xr3:uid="{00000000-0010-0000-0100-000008000000}" name="SALDO RESERVA" dataDxfId="383" dataCellStyle="Vírgula">
      <calculatedColumnFormula>Tabela96[[#This Row],[VALOR]]+Tabela96[[#This Row],[COMPLEMENTO]]-Tabela96[[#This Row],[DESBLOQUEIO]]-Tabela96[[#This Row],[VALOR
 EMPENHO]]-Tabela96[[#This Row],[SALDO 
CANCELADO]]</calculatedColumnFormula>
    </tableColumn>
    <tableColumn id="6" xr3:uid="{00000000-0010-0000-0100-000006000000}" name="SALDO _x000a_CANCELADO" dataDxfId="382" dataCellStyle="Vírgula"/>
  </tableColumns>
  <tableStyleInfo name="Estilo de Tabela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ela3" displayName="Tabela3" ref="A3:N328" totalsRowShown="0" headerRowDxfId="378" dataDxfId="376" headerRowBorderDxfId="377" tableBorderDxfId="375" totalsRowBorderDxfId="374" headerRowCellStyle="Total">
  <autoFilter ref="A3:N328" xr:uid="{00000000-000C-0000-FFFF-FFFF02000000}"/>
  <sortState xmlns:xlrd2="http://schemas.microsoft.com/office/spreadsheetml/2017/richdata2" ref="A4:N322">
    <sortCondition ref="A3:A322"/>
  </sortState>
  <tableColumns count="14">
    <tableColumn id="1" xr3:uid="{00000000-0010-0000-0200-000001000000}" name="DATA" dataDxfId="373"/>
    <tableColumn id="20" xr3:uid="{00000000-0010-0000-0200-000014000000}" name="PROGRAMA " dataDxfId="372">
      <calculatedColumnFormula>IFERROR(VLOOKUP(Tabela3[[#This Row],[RESERVA]],Tabela96[[RESERVA]:[PROJETO]],2,FALSE),"")</calculatedColumnFormula>
    </tableColumn>
    <tableColumn id="17" xr3:uid="{00000000-0010-0000-0200-000011000000}" name="FICHA" dataDxfId="371">
      <calculatedColumnFormula>IFERROR(VLOOKUP(Tabela3[[#This Row],[RESERVA]],Tabela96[[RESERVA]:[PROJETO]],3,FALSE),"")</calculatedColumnFormula>
    </tableColumn>
    <tableColumn id="2" xr3:uid="{00000000-0010-0000-0200-000002000000}" name="AÇÃO" dataDxfId="370">
      <calculatedColumnFormula>IFERROR(VLOOKUP(Tabela3[[#This Row],[RESERVA]],Tabela96[[RESERVA]:[PROJETO]],4,FALSE),"")</calculatedColumnFormula>
    </tableColumn>
    <tableColumn id="3" xr3:uid="{00000000-0010-0000-0200-000003000000}" name="PROJETO" dataDxfId="369">
      <calculatedColumnFormula>IFERROR(VLOOKUP(Tabela3[[#This Row],[RESERVA]],Tabela96[[RESERVA]:[PROJETO]],5,FALSE),"")</calculatedColumnFormula>
    </tableColumn>
    <tableColumn id="13" xr3:uid="{00000000-0010-0000-0200-00000D000000}" name="RESERVA" dataDxfId="368"/>
    <tableColumn id="4" xr3:uid="{00000000-0010-0000-0200-000004000000}" name="CÓDIGO_x000a_ EMPRESA " dataDxfId="367"/>
    <tableColumn id="5" xr3:uid="{00000000-0010-0000-0200-000005000000}" name="EMPRESA" dataDxfId="366"/>
    <tableColumn id="6" xr3:uid="{00000000-0010-0000-0200-000006000000}" name="EMPENHO" dataDxfId="365"/>
    <tableColumn id="8" xr3:uid="{00000000-0010-0000-0200-000008000000}" name="VALOR_x000a_ EMPENHO" dataDxfId="364" dataCellStyle="Vírgula"/>
    <tableColumn id="9" xr3:uid="{00000000-0010-0000-0200-000009000000}" name="ESTORNO" dataDxfId="363" dataCellStyle="Vírgula"/>
    <tableColumn id="7" xr3:uid="{CB7076E2-CC28-4828-813A-DFFDC3A985D3}" name="SALDO EMPENHO_x000a_JÁ COM ESTORNO" dataDxfId="362" dataCellStyle="Vírgula">
      <calculatedColumnFormula>Tabela3[[#This Row],[VALOR
 EMPENHO]]-Tabela3[[#This Row],[ESTORNO]]</calculatedColumnFormula>
    </tableColumn>
    <tableColumn id="22" xr3:uid="{00000000-0010-0000-0200-000016000000}" name="LIQUIDADO" dataDxfId="361" dataCellStyle="Vírgula">
      <calculatedColumnFormula>SUMIFS('LIQUIDAÇÃO 2025'!K:K,'LIQUIDAÇÃO 2025'!B:B,Tabela3[[#This Row],[CÓDIGO
 EMPRESA ]],'LIQUIDAÇÃO 2025'!C:C,Tabela3[[#This Row],[EMPRESA]],'LIQUIDAÇÃO 2025'!F:F,Tabela3[[#This Row],[EMPENHO]])</calculatedColumnFormula>
    </tableColumn>
    <tableColumn id="12" xr3:uid="{00000000-0010-0000-0200-00000C000000}" name="SALDO" dataDxfId="360" dataCellStyle="Vírgula">
      <calculatedColumnFormula>L4-M4</calculatedColumnFormula>
    </tableColumn>
  </tableColumns>
  <tableStyleInfo name="Estilo de Tabela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ela13" displayName="Tabela13" ref="A5:U636" totalsRowShown="0" headerRowDxfId="350" dataDxfId="348" headerRowBorderDxfId="349">
  <autoFilter ref="A5:U636" xr:uid="{00000000-000C-0000-FFFF-FFFF03000000}"/>
  <sortState xmlns:xlrd2="http://schemas.microsoft.com/office/spreadsheetml/2017/richdata2" ref="A6:U635">
    <sortCondition ref="A5:A635"/>
  </sortState>
  <tableColumns count="21">
    <tableColumn id="1" xr3:uid="{00000000-0010-0000-0300-000001000000}" name="DATA LIQUID." dataDxfId="347" totalsRowDxfId="346"/>
    <tableColumn id="18" xr3:uid="{00000000-0010-0000-0300-000012000000}" name="CÓD. EMPRESA" dataDxfId="345" totalsRowDxfId="344"/>
    <tableColumn id="2" xr3:uid="{00000000-0010-0000-0300-000002000000}" name="EMPRESA" dataDxfId="343" totalsRowDxfId="342">
      <calculatedColumnFormula>IFERROR(VLOOKUP(Tabela13[[#This Row],[CÓD. EMPRESA]],Tabela3[[CÓDIGO
 EMPRESA ]:[EMPRESA]],2,FALSE),"")</calculatedColumnFormula>
    </tableColumn>
    <tableColumn id="3" xr3:uid="{00000000-0010-0000-0300-000003000000}" name="PROCESSO" dataDxfId="341" totalsRowDxfId="340"/>
    <tableColumn id="4" xr3:uid="{00000000-0010-0000-0300-000004000000}" name="CONTRATO_x000a_ ARP - AF" dataDxfId="339" totalsRowDxfId="338"/>
    <tableColumn id="5" xr3:uid="{00000000-0010-0000-0300-000005000000}" name="EMPENHO" dataDxfId="337" totalsRowDxfId="336"/>
    <tableColumn id="6" xr3:uid="{00000000-0010-0000-0300-000006000000}" name="NF" dataDxfId="335" totalsRowDxfId="334"/>
    <tableColumn id="21" xr3:uid="{00000000-0010-0000-0300-000015000000}" name="MÊS DESEMBOLSO NF" dataDxfId="333" totalsRowDxfId="332"/>
    <tableColumn id="7" xr3:uid="{00000000-0010-0000-0300-000007000000}" name=" PERÍODO _x000a_EXECUÇÃO_x000a_INICIAL" dataDxfId="331" totalsRowDxfId="330"/>
    <tableColumn id="17" xr3:uid="{00000000-0010-0000-0300-000011000000}" name=" PERÍODO EXECUÇÃO_x000a_FINAL" dataDxfId="329" totalsRowDxfId="328"/>
    <tableColumn id="8" xr3:uid="{00000000-0010-0000-0300-000008000000}" name="VALOR_x000a_ BRUTO " dataDxfId="327" totalsRowDxfId="326" dataCellStyle="Vírgula"/>
    <tableColumn id="9" xr3:uid="{00000000-0010-0000-0300-000009000000}" name="VALOR DA_x000a_RETENÇÃO" dataDxfId="325" totalsRowDxfId="324" dataCellStyle="Moeda">
      <calculatedColumnFormula>Tabela13[[#This Row],[VALOR
 BRUTO ]]-Tabela13[[#This Row],[VALOR 
LIQUIDO ]]</calculatedColumnFormula>
    </tableColumn>
    <tableColumn id="10" xr3:uid="{00000000-0010-0000-0300-00000A000000}" name="VALOR _x000a_LIQUIDO " dataDxfId="323" totalsRowDxfId="322" dataCellStyle="Vírgula">
      <calculatedColumnFormula>Tabela13[[#This Row],[VALORES PAGOS 
(FORMA PAGTO)]]</calculatedColumnFormula>
    </tableColumn>
    <tableColumn id="11" xr3:uid="{00000000-0010-0000-0300-00000B000000}" name="VENCIMENTO" dataDxfId="321" totalsRowDxfId="320"/>
    <tableColumn id="12" xr3:uid="{00000000-0010-0000-0300-00000C000000}" name="VALORES PAGOS _x000a_(FORMA PAGTO)" dataDxfId="319" totalsRowDxfId="318" dataCellStyle="Vírgula"/>
    <tableColumn id="13" xr3:uid="{00000000-0010-0000-0300-00000D000000}" name="PAGTO" dataDxfId="317" totalsRowDxfId="316"/>
    <tableColumn id="14" xr3:uid="{00000000-0010-0000-0300-00000E000000}" name="STATUS" dataDxfId="315" totalsRowDxfId="314">
      <calculatedColumnFormula array="1">IF($P6&lt;&gt;"","PAGO",IF($N6&lt;TODAY(),"ATRASADO",IF($N6&gt;TODAY(),"NO PRAZO",IF($N6=TODAY(),"NO PRAZO",SE))))</calculatedColumnFormula>
    </tableColumn>
    <tableColumn id="23" xr3:uid="{00000000-0010-0000-0300-000017000000}" name="DIAS EM _x000a_ATRASO / A VENCER" dataDxfId="313" totalsRowDxfId="312">
      <calculatedColumnFormula>IF(Q6="ATRASADO",N6-TODAY(),IF(Q6="NO PRAZO",N6-TODAY(),IF(Q6="PAGO","")))</calculatedColumnFormula>
    </tableColumn>
    <tableColumn id="15" xr3:uid="{00000000-0010-0000-0300-00000F000000}" name="PREVISÃO DE _x000a_PAGTO ATUAL" dataDxfId="311" totalsRowDxfId="310"/>
    <tableColumn id="19" xr3:uid="{00000000-0010-0000-0300-000013000000}" name="                                                                                                                                                                                                                                                               " dataDxfId="309" totalsRowDxfId="308"/>
    <tableColumn id="16" xr3:uid="{00000000-0010-0000-0300-000010000000}" name="Coluna1" dataDxfId="307" totalsRowDxfId="306">
      <calculatedColumnFormula>SUBTOTAL(3,Tabela13[[#This Row],[STATUS]])</calculatedColumnFormula>
    </tableColumn>
  </tableColumns>
  <tableStyleInfo name="Estilo de Tabela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Tabela7" displayName="Tabela7" ref="B5:I160" totalsRowShown="0" headerRowDxfId="305" dataDxfId="303" headerRowBorderDxfId="304" tableBorderDxfId="302" totalsRowBorderDxfId="301" totalsRowCellStyle="Total">
  <autoFilter ref="B5:I160" xr:uid="{00000000-0009-0000-0100-000007000000}">
    <filterColumn colId="1">
      <filters>
        <filter val="681"/>
      </filters>
    </filterColumn>
  </autoFilter>
  <sortState xmlns:xlrd2="http://schemas.microsoft.com/office/spreadsheetml/2017/richdata2" ref="B6:I31">
    <sortCondition ref="H5:H31"/>
  </sortState>
  <tableColumns count="8">
    <tableColumn id="1" xr3:uid="{00000000-0010-0000-0400-000001000000}" name="PROGRAMA" dataDxfId="300" totalsRowDxfId="299"/>
    <tableColumn id="9" xr3:uid="{87E0F15F-D86D-4272-9A5C-A719F0BA0E2F}" name="PROJETO" dataDxfId="298" totalsRowDxfId="297"/>
    <tableColumn id="2" xr3:uid="{00000000-0010-0000-0400-000002000000}" name="FICHA" dataDxfId="296" totalsRowDxfId="295"/>
    <tableColumn id="8" xr3:uid="{FFBC499B-1961-45DC-B432-5368168BE6DC}" name="PROGRAMA " dataDxfId="294" totalsRowDxfId="293"/>
    <tableColumn id="3" xr3:uid="{00000000-0010-0000-0400-000003000000}" name="PROJETO " dataDxfId="292" totalsRowDxfId="291"/>
    <tableColumn id="4" xr3:uid="{00000000-0010-0000-0400-000004000000}" name="FICHA " dataDxfId="290" totalsRowDxfId="289"/>
    <tableColumn id="5" xr3:uid="{00000000-0010-0000-0400-000005000000}" name="VALOR" dataDxfId="288" totalsRowDxfId="287" dataCellStyle="Vírgula" totalsRowCellStyle="Vírgula"/>
    <tableColumn id="6" xr3:uid="{00000000-0010-0000-0400-000006000000}" name="JUSTIFICATIVA" dataDxfId="286" totalsRowDxfId="285"/>
  </tableColumns>
  <tableStyleInfo name="TableStyleLight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ela4" displayName="Tabela4" ref="A5:I22" totalsRowShown="0" headerRowDxfId="8" headerRowBorderDxfId="7" tableBorderDxfId="6">
  <tableColumns count="9">
    <tableColumn id="1" xr3:uid="{00000000-0010-0000-0500-000001000000}" name="CÓDIGO EMPRESA" dataDxfId="5"/>
    <tableColumn id="2" xr3:uid="{00000000-0010-0000-0500-000002000000}" name="EMPRESA"/>
    <tableColumn id="3" xr3:uid="{00000000-0010-0000-0500-000003000000}" name="P.A"/>
    <tableColumn id="4" xr3:uid="{00000000-0010-0000-0500-000004000000}" name="CONTRATO"/>
    <tableColumn id="5" xr3:uid="{00000000-0010-0000-0500-000005000000}" name="VIGENCIA CONTRATO_x000a_INÍCIO" dataDxfId="4"/>
    <tableColumn id="6" xr3:uid="{00000000-0010-0000-0500-000006000000}" name="VIGÊNCIA CONTATO _x000a_TÉRMINO" dataDxfId="3"/>
    <tableColumn id="7" xr3:uid="{00000000-0010-0000-0500-000007000000}" name="VALOR DO CONTRATO" dataDxfId="2"/>
    <tableColumn id="8" xr3:uid="{00000000-0010-0000-0500-000008000000}" name="ESTIMADO 2025" dataDxfId="1" dataCellStyle="Vírgula"/>
    <tableColumn id="9" xr3:uid="{CD660F59-6D66-48C3-9D26-7387259AD7DC}" name="ESTIMADO 2026" dataDxfId="0"/>
  </tableColumns>
  <tableStyleInfo name="Estilo de Tabela 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2">
    <tabColor theme="8" tint="-0.499984740745262"/>
    <pageSetUpPr fitToPage="1"/>
  </sheetPr>
  <dimension ref="A1:T119"/>
  <sheetViews>
    <sheetView showGridLines="0" zoomScale="70" zoomScaleNormal="70" workbookViewId="0">
      <pane ySplit="3" topLeftCell="A83" activePane="bottomLeft" state="frozen"/>
      <selection activeCell="P4" sqref="P4"/>
      <selection pane="bottomLeft" activeCell="F83" sqref="F83"/>
    </sheetView>
  </sheetViews>
  <sheetFormatPr defaultColWidth="9.140625" defaultRowHeight="15"/>
  <cols>
    <col min="1" max="1" width="9" style="14" customWidth="1"/>
    <col min="2" max="2" width="10.140625" style="14" customWidth="1"/>
    <col min="3" max="3" width="9.7109375" style="14" bestFit="1" customWidth="1"/>
    <col min="4" max="4" width="41.42578125" style="13" customWidth="1"/>
    <col min="5" max="5" width="9.5703125" style="81" customWidth="1"/>
    <col min="6" max="6" width="51.42578125" style="82" customWidth="1"/>
    <col min="7" max="7" width="12.28515625" style="81" customWidth="1"/>
    <col min="8" max="8" width="61.7109375" style="82" hidden="1" customWidth="1"/>
    <col min="9" max="9" width="22.42578125" style="21" bestFit="1" customWidth="1"/>
    <col min="10" max="10" width="23.28515625" style="21" customWidth="1"/>
    <col min="11" max="11" width="20.5703125" style="21" customWidth="1"/>
    <col min="12" max="12" width="22.85546875" style="21" customWidth="1"/>
    <col min="13" max="13" width="26.140625" style="38" customWidth="1"/>
    <col min="14" max="14" width="20.5703125" style="38" bestFit="1" customWidth="1"/>
    <col min="15" max="15" width="23" style="21" customWidth="1"/>
    <col min="16" max="16" width="21.5703125" style="21" bestFit="1" customWidth="1"/>
    <col min="17" max="17" width="28.7109375" style="21" customWidth="1"/>
    <col min="18" max="18" width="18.28515625" customWidth="1"/>
    <col min="19" max="19" width="17.140625" bestFit="1" customWidth="1"/>
    <col min="20" max="20" width="18.85546875" bestFit="1" customWidth="1"/>
    <col min="21" max="164" width="35.28515625" bestFit="1" customWidth="1"/>
    <col min="165" max="165" width="34.7109375" bestFit="1" customWidth="1"/>
    <col min="166" max="166" width="40.28515625" bestFit="1" customWidth="1"/>
    <col min="167" max="167" width="32.28515625" bestFit="1" customWidth="1"/>
  </cols>
  <sheetData>
    <row r="1" spans="1:19" ht="44.1" customHeight="1">
      <c r="O1" s="49"/>
      <c r="P1" s="49"/>
      <c r="R1" s="18"/>
    </row>
    <row r="2" spans="1:19" ht="42.95" customHeight="1">
      <c r="J2" s="1053" t="s">
        <v>103</v>
      </c>
      <c r="K2" s="1054"/>
      <c r="L2" s="1055"/>
      <c r="M2" s="1051" t="s">
        <v>69</v>
      </c>
      <c r="N2" s="1052"/>
      <c r="O2" s="334" t="s">
        <v>147</v>
      </c>
      <c r="P2" s="335">
        <f ca="1">TODAY()</f>
        <v>46063</v>
      </c>
    </row>
    <row r="3" spans="1:19" ht="31.5">
      <c r="A3" s="125" t="s">
        <v>150</v>
      </c>
      <c r="B3" s="125" t="s">
        <v>149</v>
      </c>
      <c r="C3" s="125" t="s">
        <v>18</v>
      </c>
      <c r="D3" s="125" t="s">
        <v>148</v>
      </c>
      <c r="E3" s="126" t="s">
        <v>14</v>
      </c>
      <c r="F3" s="126" t="s">
        <v>15</v>
      </c>
      <c r="G3" s="126" t="s">
        <v>16</v>
      </c>
      <c r="H3" s="126" t="s">
        <v>17</v>
      </c>
      <c r="I3" s="127" t="s">
        <v>94</v>
      </c>
      <c r="J3" s="128" t="s">
        <v>65</v>
      </c>
      <c r="K3" s="128" t="s">
        <v>130</v>
      </c>
      <c r="L3" s="129" t="s">
        <v>104</v>
      </c>
      <c r="M3" s="130" t="s">
        <v>75</v>
      </c>
      <c r="N3" s="130" t="s">
        <v>74</v>
      </c>
      <c r="O3" s="127" t="s">
        <v>73</v>
      </c>
      <c r="P3" s="127" t="s">
        <v>68</v>
      </c>
      <c r="Q3" s="80" t="s">
        <v>66</v>
      </c>
      <c r="R3" s="80" t="s">
        <v>72</v>
      </c>
    </row>
    <row r="4" spans="1:19">
      <c r="A4" s="177" t="s">
        <v>166</v>
      </c>
      <c r="B4" s="177">
        <v>30</v>
      </c>
      <c r="C4" s="178">
        <v>25</v>
      </c>
      <c r="D4" s="179" t="s">
        <v>167</v>
      </c>
      <c r="E4" s="178">
        <v>2253</v>
      </c>
      <c r="F4" s="180" t="s">
        <v>169</v>
      </c>
      <c r="G4" s="178">
        <v>2124</v>
      </c>
      <c r="H4" s="180" t="s">
        <v>168</v>
      </c>
      <c r="I4" s="181">
        <v>156550000</v>
      </c>
      <c r="J4" s="181"/>
      <c r="K4" s="181"/>
      <c r="L4" s="181">
        <f>Tabela6[[#This Row],[ORÇADO ]]-Tabela6[[#This Row],[CONT.]]</f>
        <v>156550000</v>
      </c>
      <c r="M4" s="182">
        <f>SUMIFS('ALT. ORÇ. E PROJ.'!H:H,'ALT. ORÇ. E PROJ.'!E:E,Tabela6[[#This Row],[PROG.]],'ALT. ORÇ. E PROJ.'!F:F,Tabela6[[#This Row],[PROJETO]],'ALT. ORÇ. E PROJ.'!G:G,Tabela6[[#This Row],[FICHA]])</f>
        <v>23385748.609999999</v>
      </c>
      <c r="N4" s="182">
        <f>SUMIFS('ALT. ORÇ. E PROJ.'!H:H,'ALT. ORÇ. E PROJ.'!B:B,Tabela6[[#This Row],[PROG.]],'ALT. ORÇ. E PROJ.'!C:C,Tabela6[[#This Row],[PROJETO]],'ALT. ORÇ. E PROJ.'!D:D,Tabela6[[#This Row],[FICHA]])</f>
        <v>11137136.210000001</v>
      </c>
      <c r="O4" s="996">
        <f>SUMIFS(RESERVA!$M:$M,RESERVA!C:C,Tabela6[[#This Row],[PROG.]],RESERVA!D:D,Tabela6[[#This Row],[FICHA]],RESERVA!E:E,Tabela6[[#This Row],[AÇÃO]],RESERVA!F:F,Tabela6[[#This Row],[PROJETO]])</f>
        <v>1000</v>
      </c>
      <c r="P4" s="183">
        <f>SUMIFS('EMPENHO '!L:$L,'EMPENHO '!B:B,Tabela6[[#This Row],[PROG.]],'EMPENHO '!C:C,Tabela6[[#This Row],[FICHA]],'EMPENHO '!D:D,Tabela6[[#This Row],[AÇÃO]],'EMPENHO '!E:E,Tabela6[[#This Row],[PROJETO]])</f>
        <v>168797612.40000001</v>
      </c>
      <c r="Q4" s="333">
        <f>Tabela6[[#This Row],[SALDO INICIAL 
COM CONTING.]]-Tabela6[[#This Row],[ANULADO/
CEDIDO]]-Tabela6[[#This Row],[RESERVADO]]-Tabela6[[#This Row],[EMPENHADO]]+Tabela6[[#This Row],[SUPLEMENTADO/
RECEBIDO]]</f>
        <v>0</v>
      </c>
      <c r="R4" t="s">
        <v>775</v>
      </c>
      <c r="S4" s="10"/>
    </row>
    <row r="5" spans="1:19">
      <c r="A5" s="781" t="s">
        <v>166</v>
      </c>
      <c r="B5" s="781">
        <v>30</v>
      </c>
      <c r="C5" s="779">
        <v>25</v>
      </c>
      <c r="D5" s="782" t="s">
        <v>167</v>
      </c>
      <c r="E5" s="779">
        <v>2899</v>
      </c>
      <c r="F5" s="783" t="s">
        <v>170</v>
      </c>
      <c r="G5" s="779">
        <v>2124</v>
      </c>
      <c r="H5" s="783" t="s">
        <v>168</v>
      </c>
      <c r="I5" s="784">
        <v>1000</v>
      </c>
      <c r="J5" s="784"/>
      <c r="K5" s="785"/>
      <c r="L5" s="785">
        <f>Tabela6[[#This Row],[ORÇADO ]]-Tabela6[[#This Row],[CONT.]]</f>
        <v>1000</v>
      </c>
      <c r="M5" s="182">
        <f>SUMIFS('ALT. ORÇ. E PROJ.'!H:H,'ALT. ORÇ. E PROJ.'!E:E,Tabela6[[#This Row],[PROG.]],'ALT. ORÇ. E PROJ.'!F:F,Tabela6[[#This Row],[PROJETO]],'ALT. ORÇ. E PROJ.'!G:G,Tabela6[[#This Row],[FICHA]])</f>
        <v>219000</v>
      </c>
      <c r="N5" s="182">
        <f>SUMIFS('ALT. ORÇ. E PROJ.'!H:H,'ALT. ORÇ. E PROJ.'!B:B,Tabela6[[#This Row],[PROG.]],'ALT. ORÇ. E PROJ.'!C:C,Tabela6[[#This Row],[PROJETO]],'ALT. ORÇ. E PROJ.'!D:D,Tabela6[[#This Row],[FICHA]])</f>
        <v>220000</v>
      </c>
      <c r="O5" s="183">
        <f>SUMIFS(RESERVA!$M:$M,RESERVA!C:C,Tabela6[[#This Row],[PROG.]],RESERVA!D:D,Tabela6[[#This Row],[FICHA]],RESERVA!E:E,Tabela6[[#This Row],[AÇÃO]],RESERVA!F:F,Tabela6[[#This Row],[PROJETO]])</f>
        <v>0</v>
      </c>
      <c r="P5" s="183">
        <f>SUMIFS('EMPENHO '!L:$L,'EMPENHO '!B:B,Tabela6[[#This Row],[PROG.]],'EMPENHO '!C:C,Tabela6[[#This Row],[FICHA]],'EMPENHO '!D:D,Tabela6[[#This Row],[AÇÃO]],'EMPENHO '!E:E,Tabela6[[#This Row],[PROJETO]])</f>
        <v>0</v>
      </c>
      <c r="Q5" s="333">
        <f>Tabela6[[#This Row],[SALDO INICIAL 
COM CONTING.]]-Tabela6[[#This Row],[ANULADO/
CEDIDO]]-Tabela6[[#This Row],[RESERVADO]]-Tabela6[[#This Row],[EMPENHADO]]+Tabela6[[#This Row],[SUPLEMENTADO/
RECEBIDO]]</f>
        <v>0</v>
      </c>
      <c r="R5" s="10"/>
      <c r="S5" s="10"/>
    </row>
    <row r="6" spans="1:19">
      <c r="A6" s="177" t="s">
        <v>166</v>
      </c>
      <c r="B6" s="177">
        <v>30</v>
      </c>
      <c r="C6" s="178">
        <v>25</v>
      </c>
      <c r="D6" s="179" t="s">
        <v>167</v>
      </c>
      <c r="E6" s="178">
        <v>3487</v>
      </c>
      <c r="F6" t="s">
        <v>390</v>
      </c>
      <c r="G6" s="178">
        <v>2124</v>
      </c>
      <c r="H6" s="180"/>
      <c r="I6" s="775"/>
      <c r="J6" s="775"/>
      <c r="K6" s="775"/>
      <c r="L6" s="775">
        <f>Tabela6[[#This Row],[ORÇADO ]]-Tabela6[[#This Row],[CONT.]]</f>
        <v>0</v>
      </c>
      <c r="M6" s="776">
        <f>SUMIFS('ALT. ORÇ. E PROJ.'!H:H,'ALT. ORÇ. E PROJ.'!E:E,Tabela6[[#This Row],[PROG.]],'ALT. ORÇ. E PROJ.'!F:F,Tabela6[[#This Row],[PROJETO]],'ALT. ORÇ. E PROJ.'!G:G,Tabela6[[#This Row],[FICHA]])</f>
        <v>608563.99</v>
      </c>
      <c r="N6" s="776">
        <f>SUMIFS('ALT. ORÇ. E PROJ.'!H:H,'ALT. ORÇ. E PROJ.'!B:B,Tabela6[[#This Row],[PROG.]],'ALT. ORÇ. E PROJ.'!C:C,Tabela6[[#This Row],[PROJETO]],'ALT. ORÇ. E PROJ.'!D:D,Tabela6[[#This Row],[FICHA]])</f>
        <v>37826.370000000003</v>
      </c>
      <c r="O6" s="777">
        <f>SUMIFS(RESERVA!$M:$M,RESERVA!C:C,Tabela6[[#This Row],[PROG.]],RESERVA!D:D,Tabela6[[#This Row],[FICHA]],RESERVA!E:E,Tabela6[[#This Row],[AÇÃO]],RESERVA!F:F,Tabela6[[#This Row],[PROJETO]])</f>
        <v>0</v>
      </c>
      <c r="P6" s="777">
        <f>SUMIFS('EMPENHO '!L:$L,'EMPENHO '!B:B,Tabela6[[#This Row],[PROG.]],'EMPENHO '!C:C,Tabela6[[#This Row],[FICHA]],'EMPENHO '!D:D,Tabela6[[#This Row],[AÇÃO]],'EMPENHO '!E:E,Tabela6[[#This Row],[PROJETO]])</f>
        <v>570737.62</v>
      </c>
      <c r="Q6" s="333">
        <f>Tabela6[[#This Row],[SALDO INICIAL 
COM CONTING.]]-Tabela6[[#This Row],[ANULADO/
CEDIDO]]-Tabela6[[#This Row],[RESERVADO]]-Tabela6[[#This Row],[EMPENHADO]]+Tabela6[[#This Row],[SUPLEMENTADO/
RECEBIDO]]</f>
        <v>0</v>
      </c>
      <c r="S6" s="49"/>
    </row>
    <row r="7" spans="1:19">
      <c r="A7" s="184" t="s">
        <v>171</v>
      </c>
      <c r="B7" s="184">
        <v>32</v>
      </c>
      <c r="C7" s="185">
        <v>27</v>
      </c>
      <c r="D7" s="186" t="s">
        <v>172</v>
      </c>
      <c r="E7" s="185">
        <v>3055</v>
      </c>
      <c r="F7" s="187" t="s">
        <v>173</v>
      </c>
      <c r="G7" s="185">
        <v>2128</v>
      </c>
      <c r="H7" s="187" t="s">
        <v>174</v>
      </c>
      <c r="I7" s="158">
        <v>60000</v>
      </c>
      <c r="J7" s="158"/>
      <c r="K7" s="158"/>
      <c r="L7" s="158">
        <f>Tabela6[[#This Row],[ORÇADO ]]-Tabela6[[#This Row],[CONT.]]</f>
        <v>60000</v>
      </c>
      <c r="M7" s="182">
        <f>SUMIFS('ALT. ORÇ. E PROJ.'!H:H,'ALT. ORÇ. E PROJ.'!E:E,Tabela6[[#This Row],[PROG.]],'ALT. ORÇ. E PROJ.'!F:F,Tabela6[[#This Row],[PROJETO]],'ALT. ORÇ. E PROJ.'!G:G,Tabela6[[#This Row],[FICHA]])</f>
        <v>0</v>
      </c>
      <c r="N7" s="182">
        <f>SUMIFS('ALT. ORÇ. E PROJ.'!H:H,'ALT. ORÇ. E PROJ.'!B:B,Tabela6[[#This Row],[PROG.]],'ALT. ORÇ. E PROJ.'!C:C,Tabela6[[#This Row],[PROJETO]],'ALT. ORÇ. E PROJ.'!D:D,Tabela6[[#This Row],[FICHA]])</f>
        <v>60000</v>
      </c>
      <c r="O7" s="183">
        <f>SUMIFS(RESERVA!$M:$M,RESERVA!C:C,Tabela6[[#This Row],[PROG.]],RESERVA!D:D,Tabela6[[#This Row],[FICHA]],RESERVA!E:E,Tabela6[[#This Row],[AÇÃO]],RESERVA!F:F,Tabela6[[#This Row],[PROJETO]])</f>
        <v>0</v>
      </c>
      <c r="P7" s="183">
        <f>SUMIFS('EMPENHO '!L:$L,'EMPENHO '!B:B,Tabela6[[#This Row],[PROG.]],'EMPENHO '!C:C,Tabela6[[#This Row],[FICHA]],'EMPENHO '!D:D,Tabela6[[#This Row],[AÇÃO]],'EMPENHO '!E:E,Tabela6[[#This Row],[PROJETO]])</f>
        <v>0</v>
      </c>
      <c r="Q7" s="333">
        <f>Tabela6[[#This Row],[SALDO INICIAL 
COM CONTING.]]-Tabela6[[#This Row],[ANULADO/
CEDIDO]]-Tabela6[[#This Row],[RESERVADO]]-Tabela6[[#This Row],[EMPENHADO]]+Tabela6[[#This Row],[SUPLEMENTADO/
RECEBIDO]]</f>
        <v>0</v>
      </c>
      <c r="R7" s="62"/>
      <c r="S7" s="49"/>
    </row>
    <row r="8" spans="1:19">
      <c r="A8" s="177" t="s">
        <v>171</v>
      </c>
      <c r="B8" s="177">
        <v>32</v>
      </c>
      <c r="C8" s="178">
        <v>41</v>
      </c>
      <c r="D8" s="179" t="s">
        <v>175</v>
      </c>
      <c r="E8" s="178">
        <v>2229</v>
      </c>
      <c r="F8" s="180" t="s">
        <v>176</v>
      </c>
      <c r="G8" s="178">
        <v>2128</v>
      </c>
      <c r="H8" s="180" t="s">
        <v>174</v>
      </c>
      <c r="I8" s="181">
        <v>1000</v>
      </c>
      <c r="J8" s="181">
        <v>500</v>
      </c>
      <c r="K8" s="690"/>
      <c r="L8" s="690">
        <f>Tabela6[[#This Row],[ORÇADO ]]-Tabela6[[#This Row],[CONT.]]</f>
        <v>500</v>
      </c>
      <c r="M8" s="182">
        <f>SUMIFS('ALT. ORÇ. E PROJ.'!H:H,'ALT. ORÇ. E PROJ.'!E:E,Tabela6[[#This Row],[PROG.]],'ALT. ORÇ. E PROJ.'!F:F,Tabela6[[#This Row],[PROJETO]],'ALT. ORÇ. E PROJ.'!G:G,Tabela6[[#This Row],[FICHA]])</f>
        <v>0</v>
      </c>
      <c r="N8" s="182">
        <f>SUMIFS('ALT. ORÇ. E PROJ.'!H:H,'ALT. ORÇ. E PROJ.'!B:B,Tabela6[[#This Row],[PROG.]],'ALT. ORÇ. E PROJ.'!C:C,Tabela6[[#This Row],[PROJETO]],'ALT. ORÇ. E PROJ.'!D:D,Tabela6[[#This Row],[FICHA]])</f>
        <v>500</v>
      </c>
      <c r="O8" s="183">
        <f>SUMIFS(RESERVA!$M:$M,RESERVA!C:C,Tabela6[[#This Row],[PROG.]],RESERVA!D:D,Tabela6[[#This Row],[FICHA]],RESERVA!E:E,Tabela6[[#This Row],[AÇÃO]],RESERVA!F:F,Tabela6[[#This Row],[PROJETO]])</f>
        <v>0</v>
      </c>
      <c r="P8" s="183">
        <f>SUMIFS('EMPENHO '!L:$L,'EMPENHO '!B:B,Tabela6[[#This Row],[PROG.]],'EMPENHO '!C:C,Tabela6[[#This Row],[FICHA]],'EMPENHO '!D:D,Tabela6[[#This Row],[AÇÃO]],'EMPENHO '!E:E,Tabela6[[#This Row],[PROJETO]])</f>
        <v>0</v>
      </c>
      <c r="Q8" s="333">
        <f>Tabela6[[#This Row],[SALDO INICIAL 
COM CONTING.]]-Tabela6[[#This Row],[ANULADO/
CEDIDO]]-Tabela6[[#This Row],[RESERVADO]]-Tabela6[[#This Row],[EMPENHADO]]+Tabela6[[#This Row],[SUPLEMENTADO/
RECEBIDO]]</f>
        <v>0</v>
      </c>
      <c r="S8" s="49"/>
    </row>
    <row r="9" spans="1:19">
      <c r="A9" s="184" t="s">
        <v>171</v>
      </c>
      <c r="B9" s="184">
        <v>32</v>
      </c>
      <c r="C9" s="185">
        <v>41</v>
      </c>
      <c r="D9" s="782" t="s">
        <v>175</v>
      </c>
      <c r="E9" s="185">
        <v>2230</v>
      </c>
      <c r="F9" s="187" t="s">
        <v>177</v>
      </c>
      <c r="G9" s="185">
        <v>2128</v>
      </c>
      <c r="H9" s="187" t="s">
        <v>174</v>
      </c>
      <c r="I9" s="158">
        <v>1000</v>
      </c>
      <c r="J9" s="158">
        <v>500</v>
      </c>
      <c r="K9" s="158"/>
      <c r="L9" s="158">
        <f>Tabela6[[#This Row],[ORÇADO ]]-Tabela6[[#This Row],[CONT.]]</f>
        <v>500</v>
      </c>
      <c r="M9" s="182">
        <f>SUMIFS('ALT. ORÇ. E PROJ.'!H:H,'ALT. ORÇ. E PROJ.'!E:E,Tabela6[[#This Row],[PROG.]],'ALT. ORÇ. E PROJ.'!F:F,Tabela6[[#This Row],[PROJETO]],'ALT. ORÇ. E PROJ.'!G:G,Tabela6[[#This Row],[FICHA]])</f>
        <v>0</v>
      </c>
      <c r="N9" s="182">
        <f>SUMIFS('ALT. ORÇ. E PROJ.'!H:H,'ALT. ORÇ. E PROJ.'!B:B,Tabela6[[#This Row],[PROG.]],'ALT. ORÇ. E PROJ.'!C:C,Tabela6[[#This Row],[PROJETO]],'ALT. ORÇ. E PROJ.'!D:D,Tabela6[[#This Row],[FICHA]])</f>
        <v>500</v>
      </c>
      <c r="O9" s="183">
        <f>SUMIFS(RESERVA!$M:$M,RESERVA!C:C,Tabela6[[#This Row],[PROG.]],RESERVA!D:D,Tabela6[[#This Row],[FICHA]],RESERVA!E:E,Tabela6[[#This Row],[AÇÃO]],RESERVA!F:F,Tabela6[[#This Row],[PROJETO]])</f>
        <v>0</v>
      </c>
      <c r="P9" s="183">
        <f>SUMIFS('EMPENHO '!L:$L,'EMPENHO '!B:B,Tabela6[[#This Row],[PROG.]],'EMPENHO '!C:C,Tabela6[[#This Row],[FICHA]],'EMPENHO '!D:D,Tabela6[[#This Row],[AÇÃO]],'EMPENHO '!E:E,Tabela6[[#This Row],[PROJETO]])</f>
        <v>0</v>
      </c>
      <c r="Q9" s="333">
        <f>Tabela6[[#This Row],[SALDO INICIAL 
COM CONTING.]]-Tabela6[[#This Row],[ANULADO/
CEDIDO]]-Tabela6[[#This Row],[RESERVADO]]-Tabela6[[#This Row],[EMPENHADO]]+Tabela6[[#This Row],[SUPLEMENTADO/
RECEBIDO]]</f>
        <v>0</v>
      </c>
      <c r="S9" s="10"/>
    </row>
    <row r="10" spans="1:19">
      <c r="A10" s="177" t="s">
        <v>171</v>
      </c>
      <c r="B10" s="177">
        <v>32</v>
      </c>
      <c r="C10" s="178">
        <v>41</v>
      </c>
      <c r="D10" s="179" t="s">
        <v>175</v>
      </c>
      <c r="E10" s="178">
        <v>2268</v>
      </c>
      <c r="F10" s="180" t="s">
        <v>178</v>
      </c>
      <c r="G10" s="178">
        <v>2103</v>
      </c>
      <c r="H10" s="180" t="s">
        <v>179</v>
      </c>
      <c r="I10" s="181">
        <v>23000</v>
      </c>
      <c r="J10" s="181">
        <v>1150</v>
      </c>
      <c r="K10" s="690"/>
      <c r="L10" s="690">
        <f>Tabela6[[#This Row],[ORÇADO ]]-Tabela6[[#This Row],[CONT.]]</f>
        <v>21850</v>
      </c>
      <c r="M10" s="182">
        <f>SUMIFS('ALT. ORÇ. E PROJ.'!H:H,'ALT. ORÇ. E PROJ.'!E:E,Tabela6[[#This Row],[PROG.]],'ALT. ORÇ. E PROJ.'!F:F,Tabela6[[#This Row],[PROJETO]],'ALT. ORÇ. E PROJ.'!G:G,Tabela6[[#This Row],[FICHA]])</f>
        <v>0</v>
      </c>
      <c r="N10" s="182">
        <f>SUMIFS('ALT. ORÇ. E PROJ.'!H:H,'ALT. ORÇ. E PROJ.'!B:B,Tabela6[[#This Row],[PROG.]],'ALT. ORÇ. E PROJ.'!C:C,Tabela6[[#This Row],[PROJETO]],'ALT. ORÇ. E PROJ.'!D:D,Tabela6[[#This Row],[FICHA]])</f>
        <v>21850</v>
      </c>
      <c r="O10" s="183">
        <f>SUMIFS(RESERVA!$M:$M,RESERVA!C:C,Tabela6[[#This Row],[PROG.]],RESERVA!D:D,Tabela6[[#This Row],[FICHA]],RESERVA!E:E,Tabela6[[#This Row],[AÇÃO]],RESERVA!F:F,Tabela6[[#This Row],[PROJETO]])</f>
        <v>0</v>
      </c>
      <c r="P10" s="183">
        <f>SUMIFS('EMPENHO '!L:$L,'EMPENHO '!B:B,Tabela6[[#This Row],[PROG.]],'EMPENHO '!C:C,Tabela6[[#This Row],[FICHA]],'EMPENHO '!D:D,Tabela6[[#This Row],[AÇÃO]],'EMPENHO '!E:E,Tabela6[[#This Row],[PROJETO]])</f>
        <v>0</v>
      </c>
      <c r="Q10" s="333">
        <f>Tabela6[[#This Row],[SALDO INICIAL 
COM CONTING.]]-Tabela6[[#This Row],[ANULADO/
CEDIDO]]-Tabela6[[#This Row],[RESERVADO]]-Tabela6[[#This Row],[EMPENHADO]]+Tabela6[[#This Row],[SUPLEMENTADO/
RECEBIDO]]</f>
        <v>0</v>
      </c>
      <c r="S10" s="49"/>
    </row>
    <row r="11" spans="1:19">
      <c r="A11" s="184" t="s">
        <v>171</v>
      </c>
      <c r="B11" s="184">
        <v>32</v>
      </c>
      <c r="C11" s="185">
        <v>44</v>
      </c>
      <c r="D11" s="782" t="s">
        <v>180</v>
      </c>
      <c r="E11" s="185">
        <v>2229</v>
      </c>
      <c r="F11" s="187" t="s">
        <v>176</v>
      </c>
      <c r="G11" s="185">
        <v>2128</v>
      </c>
      <c r="H11" s="187" t="s">
        <v>174</v>
      </c>
      <c r="I11" s="158">
        <v>1000</v>
      </c>
      <c r="J11" s="158">
        <v>500</v>
      </c>
      <c r="K11" s="158"/>
      <c r="L11" s="158">
        <f>Tabela6[[#This Row],[ORÇADO ]]-Tabela6[[#This Row],[CONT.]]</f>
        <v>500</v>
      </c>
      <c r="M11" s="182">
        <f>SUMIFS('ALT. ORÇ. E PROJ.'!H:H,'ALT. ORÇ. E PROJ.'!E:E,Tabela6[[#This Row],[PROG.]],'ALT. ORÇ. E PROJ.'!F:F,Tabela6[[#This Row],[PROJETO]],'ALT. ORÇ. E PROJ.'!G:G,Tabela6[[#This Row],[FICHA]])</f>
        <v>2186.83</v>
      </c>
      <c r="N11" s="182">
        <f>SUMIFS('ALT. ORÇ. E PROJ.'!H:H,'ALT. ORÇ. E PROJ.'!B:B,Tabela6[[#This Row],[PROG.]],'ALT. ORÇ. E PROJ.'!C:C,Tabela6[[#This Row],[PROJETO]],'ALT. ORÇ. E PROJ.'!D:D,Tabela6[[#This Row],[FICHA]])</f>
        <v>2686.83</v>
      </c>
      <c r="O11" s="183">
        <f>SUMIFS(RESERVA!$M:$M,RESERVA!C:C,Tabela6[[#This Row],[PROG.]],RESERVA!D:D,Tabela6[[#This Row],[FICHA]],RESERVA!E:E,Tabela6[[#This Row],[AÇÃO]],RESERVA!F:F,Tabela6[[#This Row],[PROJETO]])</f>
        <v>0</v>
      </c>
      <c r="P11" s="873">
        <f>SUMIFS('EMPENHO '!L:$L,'EMPENHO '!B:B,Tabela6[[#This Row],[PROG.]],'EMPENHO '!C:C,Tabela6[[#This Row],[FICHA]],'EMPENHO '!D:D,Tabela6[[#This Row],[AÇÃO]],'EMPENHO '!E:E,Tabela6[[#This Row],[PROJETO]])</f>
        <v>0</v>
      </c>
      <c r="Q11" s="333">
        <f>Tabela6[[#This Row],[SALDO INICIAL 
COM CONTING.]]-Tabela6[[#This Row],[ANULADO/
CEDIDO]]-Tabela6[[#This Row],[RESERVADO]]-Tabela6[[#This Row],[EMPENHADO]]+Tabela6[[#This Row],[SUPLEMENTADO/
RECEBIDO]]</f>
        <v>0</v>
      </c>
      <c r="S11" s="49"/>
    </row>
    <row r="12" spans="1:19">
      <c r="A12" s="177" t="s">
        <v>171</v>
      </c>
      <c r="B12" s="177">
        <v>32</v>
      </c>
      <c r="C12" s="178">
        <v>47</v>
      </c>
      <c r="D12" s="179" t="s">
        <v>181</v>
      </c>
      <c r="E12" s="178">
        <v>2225</v>
      </c>
      <c r="F12" s="180" t="s">
        <v>182</v>
      </c>
      <c r="G12" s="178">
        <v>2128</v>
      </c>
      <c r="H12" s="180" t="s">
        <v>174</v>
      </c>
      <c r="I12" s="181">
        <v>6000</v>
      </c>
      <c r="J12" s="181">
        <v>300</v>
      </c>
      <c r="K12" s="690"/>
      <c r="L12" s="690">
        <f>Tabela6[[#This Row],[ORÇADO ]]-Tabela6[[#This Row],[CONT.]]</f>
        <v>5700</v>
      </c>
      <c r="M12" s="182">
        <f>SUMIFS('ALT. ORÇ. E PROJ.'!H:H,'ALT. ORÇ. E PROJ.'!E:E,Tabela6[[#This Row],[PROG.]],'ALT. ORÇ. E PROJ.'!F:F,Tabela6[[#This Row],[PROJETO]],'ALT. ORÇ. E PROJ.'!G:G,Tabela6[[#This Row],[FICHA]])</f>
        <v>0</v>
      </c>
      <c r="N12" s="182">
        <f>SUMIFS('ALT. ORÇ. E PROJ.'!H:H,'ALT. ORÇ. E PROJ.'!B:B,Tabela6[[#This Row],[PROG.]],'ALT. ORÇ. E PROJ.'!C:C,Tabela6[[#This Row],[PROJETO]],'ALT. ORÇ. E PROJ.'!D:D,Tabela6[[#This Row],[FICHA]])</f>
        <v>5700</v>
      </c>
      <c r="O12" s="183">
        <f>SUMIFS(RESERVA!$M:$M,RESERVA!C:C,Tabela6[[#This Row],[PROG.]],RESERVA!D:D,Tabela6[[#This Row],[FICHA]],RESERVA!E:E,Tabela6[[#This Row],[AÇÃO]],RESERVA!F:F,Tabela6[[#This Row],[PROJETO]])</f>
        <v>0</v>
      </c>
      <c r="P12" s="872">
        <f>SUMIFS('EMPENHO '!L:$L,'EMPENHO '!B:B,Tabela6[[#This Row],[PROG.]],'EMPENHO '!C:C,Tabela6[[#This Row],[FICHA]],'EMPENHO '!D:D,Tabela6[[#This Row],[AÇÃO]],'EMPENHO '!E:E,Tabela6[[#This Row],[PROJETO]])</f>
        <v>0</v>
      </c>
      <c r="Q12" s="333">
        <f>Tabela6[[#This Row],[SALDO INICIAL 
COM CONTING.]]-Tabela6[[#This Row],[ANULADO/
CEDIDO]]-Tabela6[[#This Row],[RESERVADO]]-Tabela6[[#This Row],[EMPENHADO]]+Tabela6[[#This Row],[SUPLEMENTADO/
RECEBIDO]]</f>
        <v>0</v>
      </c>
      <c r="S12" s="49"/>
    </row>
    <row r="13" spans="1:19">
      <c r="A13" s="184" t="s">
        <v>171</v>
      </c>
      <c r="B13" s="184">
        <v>32</v>
      </c>
      <c r="C13" s="185">
        <v>50</v>
      </c>
      <c r="D13" s="186" t="s">
        <v>183</v>
      </c>
      <c r="E13" s="185">
        <v>2226</v>
      </c>
      <c r="F13" s="187" t="s">
        <v>184</v>
      </c>
      <c r="G13" s="185">
        <v>2128</v>
      </c>
      <c r="H13" s="187" t="s">
        <v>174</v>
      </c>
      <c r="I13" s="158">
        <v>200000</v>
      </c>
      <c r="J13" s="158"/>
      <c r="K13" s="158"/>
      <c r="L13" s="158">
        <f>Tabela6[[#This Row],[ORÇADO ]]-Tabela6[[#This Row],[CONT.]]</f>
        <v>200000</v>
      </c>
      <c r="M13" s="182">
        <f>SUMIFS('ALT. ORÇ. E PROJ.'!H:H,'ALT. ORÇ. E PROJ.'!E:E,Tabela6[[#This Row],[PROG.]],'ALT. ORÇ. E PROJ.'!F:F,Tabela6[[#This Row],[PROJETO]],'ALT. ORÇ. E PROJ.'!G:G,Tabela6[[#This Row],[FICHA]])</f>
        <v>85712.52</v>
      </c>
      <c r="N13" s="182">
        <f>SUMIFS('ALT. ORÇ. E PROJ.'!H:H,'ALT. ORÇ. E PROJ.'!B:B,Tabela6[[#This Row],[PROG.]],'ALT. ORÇ. E PROJ.'!C:C,Tabela6[[#This Row],[PROJETO]],'ALT. ORÇ. E PROJ.'!D:D,Tabela6[[#This Row],[FICHA]])</f>
        <v>271490.02</v>
      </c>
      <c r="O13" s="183">
        <f>SUMIFS(RESERVA!$M:$M,RESERVA!C:C,Tabela6[[#This Row],[PROG.]],RESERVA!D:D,Tabela6[[#This Row],[FICHA]],RESERVA!E:E,Tabela6[[#This Row],[AÇÃO]],RESERVA!F:F,Tabela6[[#This Row],[PROJETO]])</f>
        <v>0</v>
      </c>
      <c r="P13" s="183">
        <f>SUMIFS('EMPENHO '!L:$L,'EMPENHO '!B:B,Tabela6[[#This Row],[PROG.]],'EMPENHO '!C:C,Tabela6[[#This Row],[FICHA]],'EMPENHO '!D:D,Tabela6[[#This Row],[AÇÃO]],'EMPENHO '!E:E,Tabela6[[#This Row],[PROJETO]])</f>
        <v>14222.5</v>
      </c>
      <c r="Q13" s="333">
        <f>Tabela6[[#This Row],[SALDO INICIAL 
COM CONTING.]]-Tabela6[[#This Row],[ANULADO/
CEDIDO]]-Tabela6[[#This Row],[RESERVADO]]-Tabela6[[#This Row],[EMPENHADO]]+Tabela6[[#This Row],[SUPLEMENTADO/
RECEBIDO]]</f>
        <v>0</v>
      </c>
      <c r="S13" s="10"/>
    </row>
    <row r="14" spans="1:19">
      <c r="A14" s="177" t="s">
        <v>171</v>
      </c>
      <c r="B14" s="177">
        <v>32</v>
      </c>
      <c r="C14" s="178">
        <v>56</v>
      </c>
      <c r="D14" s="179" t="s">
        <v>185</v>
      </c>
      <c r="E14" s="178">
        <v>2232</v>
      </c>
      <c r="F14" s="180" t="s">
        <v>271</v>
      </c>
      <c r="G14" s="178">
        <v>2129</v>
      </c>
      <c r="H14" s="180" t="s">
        <v>187</v>
      </c>
      <c r="I14" s="181">
        <v>120000</v>
      </c>
      <c r="J14" s="181">
        <v>6000</v>
      </c>
      <c r="K14" s="690"/>
      <c r="L14" s="690">
        <f>Tabela6[[#This Row],[ORÇADO ]]-Tabela6[[#This Row],[CONT.]]</f>
        <v>114000</v>
      </c>
      <c r="M14" s="182">
        <f>SUMIFS('ALT. ORÇ. E PROJ.'!H:H,'ALT. ORÇ. E PROJ.'!E:E,Tabela6[[#This Row],[PROG.]],'ALT. ORÇ. E PROJ.'!F:F,Tabela6[[#This Row],[PROJETO]],'ALT. ORÇ. E PROJ.'!G:G,Tabela6[[#This Row],[FICHA]])</f>
        <v>24557.9</v>
      </c>
      <c r="N14" s="182">
        <f>SUMIFS('ALT. ORÇ. E PROJ.'!H:H,'ALT. ORÇ. E PROJ.'!B:B,Tabela6[[#This Row],[PROG.]],'ALT. ORÇ. E PROJ.'!C:C,Tabela6[[#This Row],[PROJETO]],'ALT. ORÇ. E PROJ.'!D:D,Tabela6[[#This Row],[FICHA]])</f>
        <v>18282.599999999999</v>
      </c>
      <c r="O14" s="183">
        <f>SUMIFS(RESERVA!$M:$M,RESERVA!C:C,Tabela6[[#This Row],[PROG.]],RESERVA!D:D,Tabela6[[#This Row],[FICHA]],RESERVA!E:E,Tabela6[[#This Row],[AÇÃO]],RESERVA!F:F,Tabela6[[#This Row],[PROJETO]])</f>
        <v>28275.3</v>
      </c>
      <c r="P14" s="183">
        <f>SUMIFS('EMPENHO '!L:$L,'EMPENHO '!B:B,Tabela6[[#This Row],[PROG.]],'EMPENHO '!C:C,Tabela6[[#This Row],[FICHA]],'EMPENHO '!D:D,Tabela6[[#This Row],[AÇÃO]],'EMPENHO '!E:E,Tabela6[[#This Row],[PROJETO]])</f>
        <v>92000</v>
      </c>
      <c r="Q14" s="333">
        <f>Tabela6[[#This Row],[SALDO INICIAL 
COM CONTING.]]-Tabela6[[#This Row],[ANULADO/
CEDIDO]]-Tabela6[[#This Row],[RESERVADO]]-Tabela6[[#This Row],[EMPENHADO]]+Tabela6[[#This Row],[SUPLEMENTADO/
RECEBIDO]]</f>
        <v>0</v>
      </c>
      <c r="S14" s="49"/>
    </row>
    <row r="15" spans="1:19">
      <c r="A15" s="781" t="s">
        <v>171</v>
      </c>
      <c r="B15" s="781">
        <v>29</v>
      </c>
      <c r="C15" s="779">
        <v>69</v>
      </c>
      <c r="D15" s="782" t="s">
        <v>188</v>
      </c>
      <c r="E15" s="779">
        <v>2248</v>
      </c>
      <c r="F15" s="187" t="s">
        <v>191</v>
      </c>
      <c r="G15" s="185">
        <v>2123</v>
      </c>
      <c r="H15" s="187" t="s">
        <v>196</v>
      </c>
      <c r="I15" s="158">
        <v>3800000</v>
      </c>
      <c r="J15" s="158">
        <v>0</v>
      </c>
      <c r="K15" s="158"/>
      <c r="L15" s="158">
        <f>Tabela6[[#This Row],[ORÇADO ]]-Tabela6[[#This Row],[CONT.]]</f>
        <v>3800000</v>
      </c>
      <c r="M15" s="182">
        <f>SUMIFS('ALT. ORÇ. E PROJ.'!H:H,'ALT. ORÇ. E PROJ.'!E:E,Tabela6[[#This Row],[PROG.]],'ALT. ORÇ. E PROJ.'!F:F,Tabela6[[#This Row],[PROJETO]],'ALT. ORÇ. E PROJ.'!G:G,Tabela6[[#This Row],[FICHA]])</f>
        <v>0</v>
      </c>
      <c r="N15" s="182">
        <f>SUMIFS('ALT. ORÇ. E PROJ.'!H:H,'ALT. ORÇ. E PROJ.'!B:B,Tabela6[[#This Row],[PROG.]],'ALT. ORÇ. E PROJ.'!C:C,Tabela6[[#This Row],[PROJETO]],'ALT. ORÇ. E PROJ.'!D:D,Tabela6[[#This Row],[FICHA]])</f>
        <v>2770047.33</v>
      </c>
      <c r="O15" s="183">
        <f>SUMIFS(RESERVA!$M:$M,RESERVA!C:C,Tabela6[[#This Row],[PROG.]],RESERVA!D:D,Tabela6[[#This Row],[FICHA]],RESERVA!E:E,Tabela6[[#This Row],[AÇÃO]],RESERVA!F:F,Tabela6[[#This Row],[PROJETO]])</f>
        <v>0</v>
      </c>
      <c r="P15" s="183">
        <f>SUMIFS('EMPENHO '!L:$L,'EMPENHO '!B:B,Tabela6[[#This Row],[PROG.]],'EMPENHO '!C:C,Tabela6[[#This Row],[FICHA]],'EMPENHO '!D:D,Tabela6[[#This Row],[AÇÃO]],'EMPENHO '!E:E,Tabela6[[#This Row],[PROJETO]])</f>
        <v>1020502.67</v>
      </c>
      <c r="Q15" s="333">
        <f>Tabela6[[#This Row],[SALDO INICIAL 
COM CONTING.]]-Tabela6[[#This Row],[ANULADO/
CEDIDO]]-Tabela6[[#This Row],[RESERVADO]]-Tabela6[[#This Row],[EMPENHADO]]+Tabela6[[#This Row],[SUPLEMENTADO/
RECEBIDO]]</f>
        <v>9450</v>
      </c>
      <c r="R15" s="10" t="s">
        <v>775</v>
      </c>
      <c r="S15" s="49"/>
    </row>
    <row r="16" spans="1:19">
      <c r="A16" s="177" t="s">
        <v>171</v>
      </c>
      <c r="B16" s="177">
        <v>32</v>
      </c>
      <c r="C16" s="178">
        <v>71</v>
      </c>
      <c r="D16" s="179" t="s">
        <v>189</v>
      </c>
      <c r="E16" s="178">
        <v>2231</v>
      </c>
      <c r="F16" s="180" t="s">
        <v>192</v>
      </c>
      <c r="G16" s="178">
        <v>2128</v>
      </c>
      <c r="H16" s="180" t="s">
        <v>174</v>
      </c>
      <c r="I16" s="181">
        <v>1000</v>
      </c>
      <c r="J16" s="181">
        <v>500</v>
      </c>
      <c r="K16" s="690"/>
      <c r="L16" s="690">
        <f>Tabela6[[#This Row],[ORÇADO ]]-Tabela6[[#This Row],[CONT.]]</f>
        <v>500</v>
      </c>
      <c r="M16" s="182">
        <f>SUMIFS('ALT. ORÇ. E PROJ.'!H:H,'ALT. ORÇ. E PROJ.'!E:E,Tabela6[[#This Row],[PROG.]],'ALT. ORÇ. E PROJ.'!F:F,Tabela6[[#This Row],[PROJETO]],'ALT. ORÇ. E PROJ.'!G:G,Tabela6[[#This Row],[FICHA]])</f>
        <v>0</v>
      </c>
      <c r="N16" s="182">
        <f>SUMIFS('ALT. ORÇ. E PROJ.'!H:H,'ALT. ORÇ. E PROJ.'!B:B,Tabela6[[#This Row],[PROG.]],'ALT. ORÇ. E PROJ.'!C:C,Tabela6[[#This Row],[PROJETO]],'ALT. ORÇ. E PROJ.'!D:D,Tabela6[[#This Row],[FICHA]])</f>
        <v>500</v>
      </c>
      <c r="O16" s="183">
        <f>SUMIFS(RESERVA!$M:$M,RESERVA!C:C,Tabela6[[#This Row],[PROG.]],RESERVA!D:D,Tabela6[[#This Row],[FICHA]],RESERVA!E:E,Tabela6[[#This Row],[AÇÃO]],RESERVA!F:F,Tabela6[[#This Row],[PROJETO]])</f>
        <v>0</v>
      </c>
      <c r="P16" s="183">
        <f>SUMIFS('EMPENHO '!L:$L,'EMPENHO '!B:B,Tabela6[[#This Row],[PROG.]],'EMPENHO '!C:C,Tabela6[[#This Row],[FICHA]],'EMPENHO '!D:D,Tabela6[[#This Row],[AÇÃO]],'EMPENHO '!E:E,Tabela6[[#This Row],[PROJETO]])</f>
        <v>0</v>
      </c>
      <c r="Q16" s="333">
        <f>Tabela6[[#This Row],[SALDO INICIAL 
COM CONTING.]]-Tabela6[[#This Row],[ANULADO/
CEDIDO]]-Tabela6[[#This Row],[RESERVADO]]-Tabela6[[#This Row],[EMPENHADO]]+Tabela6[[#This Row],[SUPLEMENTADO/
RECEBIDO]]</f>
        <v>0</v>
      </c>
      <c r="S16" s="49"/>
    </row>
    <row r="17" spans="1:19">
      <c r="A17" s="781" t="s">
        <v>171</v>
      </c>
      <c r="B17" s="184">
        <v>32</v>
      </c>
      <c r="C17" s="185">
        <v>73</v>
      </c>
      <c r="D17" s="186" t="s">
        <v>190</v>
      </c>
      <c r="E17" s="185">
        <v>2266</v>
      </c>
      <c r="F17" s="187" t="s">
        <v>193</v>
      </c>
      <c r="G17" s="185">
        <v>2103</v>
      </c>
      <c r="H17" s="187" t="s">
        <v>179</v>
      </c>
      <c r="I17" s="158">
        <v>341000</v>
      </c>
      <c r="J17" s="158">
        <v>17050</v>
      </c>
      <c r="K17" s="158"/>
      <c r="L17" s="158">
        <f>Tabela6[[#This Row],[ORÇADO ]]-Tabela6[[#This Row],[CONT.]]</f>
        <v>323950</v>
      </c>
      <c r="M17" s="182">
        <f>SUMIFS('ALT. ORÇ. E PROJ.'!H:H,'ALT. ORÇ. E PROJ.'!E:E,Tabela6[[#This Row],[PROG.]],'ALT. ORÇ. E PROJ.'!F:F,Tabela6[[#This Row],[PROJETO]],'ALT. ORÇ. E PROJ.'!G:G,Tabela6[[#This Row],[FICHA]])</f>
        <v>0</v>
      </c>
      <c r="N17" s="182">
        <f>SUMIFS('ALT. ORÇ. E PROJ.'!H:H,'ALT. ORÇ. E PROJ.'!B:B,Tabela6[[#This Row],[PROG.]],'ALT. ORÇ. E PROJ.'!C:C,Tabela6[[#This Row],[PROJETO]],'ALT. ORÇ. E PROJ.'!D:D,Tabela6[[#This Row],[FICHA]])</f>
        <v>323950</v>
      </c>
      <c r="O17" s="183">
        <f>SUMIFS(RESERVA!$M:$M,RESERVA!C:C,Tabela6[[#This Row],[PROG.]],RESERVA!D:D,Tabela6[[#This Row],[FICHA]],RESERVA!E:E,Tabela6[[#This Row],[AÇÃO]],RESERVA!F:F,Tabela6[[#This Row],[PROJETO]])</f>
        <v>0</v>
      </c>
      <c r="P17" s="183">
        <f>SUMIFS('EMPENHO '!L:$L,'EMPENHO '!B:B,Tabela6[[#This Row],[PROG.]],'EMPENHO '!C:C,Tabela6[[#This Row],[FICHA]],'EMPENHO '!D:D,Tabela6[[#This Row],[AÇÃO]],'EMPENHO '!E:E,Tabela6[[#This Row],[PROJETO]])</f>
        <v>0</v>
      </c>
      <c r="Q17" s="333">
        <f>Tabela6[[#This Row],[SALDO INICIAL 
COM CONTING.]]-Tabela6[[#This Row],[ANULADO/
CEDIDO]]-Tabela6[[#This Row],[RESERVADO]]-Tabela6[[#This Row],[EMPENHADO]]+Tabela6[[#This Row],[SUPLEMENTADO/
RECEBIDO]]</f>
        <v>0</v>
      </c>
      <c r="S17" s="49"/>
    </row>
    <row r="18" spans="1:19">
      <c r="A18" s="177" t="s">
        <v>171</v>
      </c>
      <c r="B18" s="177">
        <v>32</v>
      </c>
      <c r="C18" s="178">
        <v>73</v>
      </c>
      <c r="D18" s="179" t="s">
        <v>190</v>
      </c>
      <c r="E18" s="178">
        <v>2267</v>
      </c>
      <c r="F18" s="180" t="s">
        <v>194</v>
      </c>
      <c r="G18" s="178">
        <v>2103</v>
      </c>
      <c r="H18" s="180" t="s">
        <v>179</v>
      </c>
      <c r="I18" s="181">
        <v>10000</v>
      </c>
      <c r="J18" s="181">
        <v>500</v>
      </c>
      <c r="K18" s="690"/>
      <c r="L18" s="690">
        <f>Tabela6[[#This Row],[ORÇADO ]]-Tabela6[[#This Row],[CONT.]]</f>
        <v>9500</v>
      </c>
      <c r="M18" s="182">
        <f>SUMIFS('ALT. ORÇ. E PROJ.'!H:H,'ALT. ORÇ. E PROJ.'!E:E,Tabela6[[#This Row],[PROG.]],'ALT. ORÇ. E PROJ.'!F:F,Tabela6[[#This Row],[PROJETO]],'ALT. ORÇ. E PROJ.'!G:G,Tabela6[[#This Row],[FICHA]])</f>
        <v>621109.76000000001</v>
      </c>
      <c r="N18" s="182">
        <f>SUMIFS('ALT. ORÇ. E PROJ.'!H:H,'ALT. ORÇ. E PROJ.'!B:B,Tabela6[[#This Row],[PROG.]],'ALT. ORÇ. E PROJ.'!C:C,Tabela6[[#This Row],[PROJETO]],'ALT. ORÇ. E PROJ.'!D:D,Tabela6[[#This Row],[FICHA]])</f>
        <v>630609.76</v>
      </c>
      <c r="O18" s="183">
        <f>SUMIFS(RESERVA!$M:$M,RESERVA!C:C,Tabela6[[#This Row],[PROG.]],RESERVA!D:D,Tabela6[[#This Row],[FICHA]],RESERVA!E:E,Tabela6[[#This Row],[AÇÃO]],RESERVA!F:F,Tabela6[[#This Row],[PROJETO]])</f>
        <v>0</v>
      </c>
      <c r="P18" s="183">
        <f>SUMIFS('EMPENHO '!L:$L,'EMPENHO '!B:B,Tabela6[[#This Row],[PROG.]],'EMPENHO '!C:C,Tabela6[[#This Row],[FICHA]],'EMPENHO '!D:D,Tabela6[[#This Row],[AÇÃO]],'EMPENHO '!E:E,Tabela6[[#This Row],[PROJETO]])</f>
        <v>0</v>
      </c>
      <c r="Q18" s="333">
        <f>Tabela6[[#This Row],[SALDO INICIAL 
COM CONTING.]]-Tabela6[[#This Row],[ANULADO/
CEDIDO]]-Tabela6[[#This Row],[RESERVADO]]-Tabela6[[#This Row],[EMPENHADO]]+Tabela6[[#This Row],[SUPLEMENTADO/
RECEBIDO]]</f>
        <v>0</v>
      </c>
      <c r="S18" s="49"/>
    </row>
    <row r="19" spans="1:19">
      <c r="A19" s="781" t="s">
        <v>171</v>
      </c>
      <c r="B19" s="184">
        <v>32</v>
      </c>
      <c r="C19" s="185">
        <v>73</v>
      </c>
      <c r="D19" s="186" t="s">
        <v>190</v>
      </c>
      <c r="E19" s="185">
        <v>2268</v>
      </c>
      <c r="F19" s="187" t="s">
        <v>178</v>
      </c>
      <c r="G19" s="185">
        <v>1032</v>
      </c>
      <c r="H19" s="187" t="s">
        <v>179</v>
      </c>
      <c r="I19" s="158">
        <v>450000</v>
      </c>
      <c r="J19" s="158"/>
      <c r="K19" s="158"/>
      <c r="L19" s="158">
        <f>Tabela6[[#This Row],[ORÇADO ]]-Tabela6[[#This Row],[CONT.]]</f>
        <v>450000</v>
      </c>
      <c r="M19" s="182">
        <f>SUMIFS('ALT. ORÇ. E PROJ.'!H:H,'ALT. ORÇ. E PROJ.'!E:E,Tabela6[[#This Row],[PROG.]],'ALT. ORÇ. E PROJ.'!F:F,Tabela6[[#This Row],[PROJETO]],'ALT. ORÇ. E PROJ.'!G:G,Tabela6[[#This Row],[FICHA]])</f>
        <v>607884.18999999994</v>
      </c>
      <c r="N19" s="182">
        <f>SUMIFS('ALT. ORÇ. E PROJ.'!H:H,'ALT. ORÇ. E PROJ.'!B:B,Tabela6[[#This Row],[PROG.]],'ALT. ORÇ. E PROJ.'!C:C,Tabela6[[#This Row],[PROJETO]],'ALT. ORÇ. E PROJ.'!D:D,Tabela6[[#This Row],[FICHA]])</f>
        <v>882384.19</v>
      </c>
      <c r="O19" s="183">
        <f>SUMIFS(RESERVA!$M:$M,RESERVA!C:C,Tabela6[[#This Row],[PROG.]],RESERVA!D:D,Tabela6[[#This Row],[FICHA]],RESERVA!E:E,Tabela6[[#This Row],[AÇÃO]],RESERVA!F:F,Tabela6[[#This Row],[PROJETO]])</f>
        <v>130500</v>
      </c>
      <c r="P19" s="183">
        <f>SUMIFS('EMPENHO '!L:$L,'EMPENHO '!B:B,Tabela6[[#This Row],[PROG.]],'EMPENHO '!C:C,Tabela6[[#This Row],[FICHA]],'EMPENHO '!D:D,Tabela6[[#This Row],[AÇÃO]],'EMPENHO '!E:E,Tabela6[[#This Row],[PROJETO]])</f>
        <v>0</v>
      </c>
      <c r="Q19" s="333">
        <f>Tabela6[[#This Row],[SALDO INICIAL 
COM CONTING.]]-Tabela6[[#This Row],[ANULADO/
CEDIDO]]-Tabela6[[#This Row],[RESERVADO]]-Tabela6[[#This Row],[EMPENHADO]]+Tabela6[[#This Row],[SUPLEMENTADO/
RECEBIDO]]</f>
        <v>45000</v>
      </c>
      <c r="R19" s="62" t="s">
        <v>773</v>
      </c>
      <c r="S19" s="49"/>
    </row>
    <row r="20" spans="1:19">
      <c r="A20" s="177" t="s">
        <v>171</v>
      </c>
      <c r="B20" s="177">
        <v>32</v>
      </c>
      <c r="C20" s="178">
        <v>73</v>
      </c>
      <c r="D20" s="179" t="s">
        <v>190</v>
      </c>
      <c r="E20" s="178">
        <v>2756</v>
      </c>
      <c r="F20" s="180" t="s">
        <v>195</v>
      </c>
      <c r="G20" s="178">
        <v>1060</v>
      </c>
      <c r="H20" s="180" t="s">
        <v>197</v>
      </c>
      <c r="I20" s="181">
        <v>1000</v>
      </c>
      <c r="J20" s="181">
        <v>0</v>
      </c>
      <c r="K20" s="690"/>
      <c r="L20" s="690">
        <f>Tabela6[[#This Row],[ORÇADO ]]-Tabela6[[#This Row],[CONT.]]</f>
        <v>1000</v>
      </c>
      <c r="M20" s="182">
        <f>SUMIFS('ALT. ORÇ. E PROJ.'!H:H,'ALT. ORÇ. E PROJ.'!E:E,Tabela6[[#This Row],[PROG.]],'ALT. ORÇ. E PROJ.'!F:F,Tabela6[[#This Row],[PROJETO]],'ALT. ORÇ. E PROJ.'!G:G,Tabela6[[#This Row],[FICHA]])</f>
        <v>0</v>
      </c>
      <c r="N20" s="182">
        <f>SUMIFS('ALT. ORÇ. E PROJ.'!H:H,'ALT. ORÇ. E PROJ.'!B:B,Tabela6[[#This Row],[PROG.]],'ALT. ORÇ. E PROJ.'!C:C,Tabela6[[#This Row],[PROJETO]],'ALT. ORÇ. E PROJ.'!D:D,Tabela6[[#This Row],[FICHA]])</f>
        <v>1000</v>
      </c>
      <c r="O20" s="183">
        <f>SUMIFS(RESERVA!$M:$M,RESERVA!C:C,Tabela6[[#This Row],[PROG.]],RESERVA!D:D,Tabela6[[#This Row],[FICHA]],RESERVA!E:E,Tabela6[[#This Row],[AÇÃO]],RESERVA!F:F,Tabela6[[#This Row],[PROJETO]])</f>
        <v>0</v>
      </c>
      <c r="P20" s="183">
        <f>SUMIFS('EMPENHO '!L:$L,'EMPENHO '!B:B,Tabela6[[#This Row],[PROG.]],'EMPENHO '!C:C,Tabela6[[#This Row],[FICHA]],'EMPENHO '!D:D,Tabela6[[#This Row],[AÇÃO]],'EMPENHO '!E:E,Tabela6[[#This Row],[PROJETO]])</f>
        <v>0</v>
      </c>
      <c r="Q20" s="333">
        <f>Tabela6[[#This Row],[SALDO INICIAL 
COM CONTING.]]-Tabela6[[#This Row],[ANULADO/
CEDIDO]]-Tabela6[[#This Row],[RESERVADO]]-Tabela6[[#This Row],[EMPENHADO]]+Tabela6[[#This Row],[SUPLEMENTADO/
RECEBIDO]]</f>
        <v>0</v>
      </c>
      <c r="R20" s="62"/>
      <c r="S20" s="49"/>
    </row>
    <row r="21" spans="1:19">
      <c r="A21" s="781" t="s">
        <v>171</v>
      </c>
      <c r="B21" s="781">
        <v>32</v>
      </c>
      <c r="C21" s="185">
        <v>75</v>
      </c>
      <c r="D21" s="186" t="s">
        <v>198</v>
      </c>
      <c r="E21" s="185">
        <v>2229</v>
      </c>
      <c r="F21" s="187" t="s">
        <v>200</v>
      </c>
      <c r="G21" s="185">
        <v>2128</v>
      </c>
      <c r="H21" s="187" t="s">
        <v>174</v>
      </c>
      <c r="I21" s="158">
        <v>350000</v>
      </c>
      <c r="J21" s="158"/>
      <c r="K21" s="158"/>
      <c r="L21" s="158">
        <f>Tabela6[[#This Row],[ORÇADO ]]-Tabela6[[#This Row],[CONT.]]</f>
        <v>350000</v>
      </c>
      <c r="M21" s="182">
        <f>SUMIFS('ALT. ORÇ. E PROJ.'!H:H,'ALT. ORÇ. E PROJ.'!E:E,Tabela6[[#This Row],[PROG.]],'ALT. ORÇ. E PROJ.'!F:F,Tabela6[[#This Row],[PROJETO]],'ALT. ORÇ. E PROJ.'!G:G,Tabela6[[#This Row],[FICHA]])</f>
        <v>0</v>
      </c>
      <c r="N21" s="182">
        <f>SUMIFS('ALT. ORÇ. E PROJ.'!H:H,'ALT. ORÇ. E PROJ.'!B:B,Tabela6[[#This Row],[PROG.]],'ALT. ORÇ. E PROJ.'!C:C,Tabela6[[#This Row],[PROJETO]],'ALT. ORÇ. E PROJ.'!D:D,Tabela6[[#This Row],[FICHA]])</f>
        <v>350000</v>
      </c>
      <c r="O21" s="183">
        <f>SUMIFS(RESERVA!$M:$M,RESERVA!C:C,Tabela6[[#This Row],[PROG.]],RESERVA!D:D,Tabela6[[#This Row],[FICHA]],RESERVA!E:E,Tabela6[[#This Row],[AÇÃO]],RESERVA!F:F,Tabela6[[#This Row],[PROJETO]])</f>
        <v>0</v>
      </c>
      <c r="P21" s="183">
        <f>SUMIFS('EMPENHO '!L:$L,'EMPENHO '!B:B,Tabela6[[#This Row],[PROG.]],'EMPENHO '!C:C,Tabela6[[#This Row],[FICHA]],'EMPENHO '!D:D,Tabela6[[#This Row],[AÇÃO]],'EMPENHO '!E:E,Tabela6[[#This Row],[PROJETO]])</f>
        <v>0</v>
      </c>
      <c r="Q21" s="333">
        <f>Tabela6[[#This Row],[SALDO INICIAL 
COM CONTING.]]-Tabela6[[#This Row],[ANULADO/
CEDIDO]]-Tabela6[[#This Row],[RESERVADO]]-Tabela6[[#This Row],[EMPENHADO]]+Tabela6[[#This Row],[SUPLEMENTADO/
RECEBIDO]]</f>
        <v>0</v>
      </c>
      <c r="S21" s="49"/>
    </row>
    <row r="22" spans="1:19">
      <c r="A22" s="177" t="s">
        <v>171</v>
      </c>
      <c r="B22" s="177">
        <v>32</v>
      </c>
      <c r="C22" s="178">
        <v>76</v>
      </c>
      <c r="D22" s="179" t="s">
        <v>199</v>
      </c>
      <c r="E22" s="178">
        <v>2229</v>
      </c>
      <c r="F22" s="180" t="s">
        <v>200</v>
      </c>
      <c r="G22" s="178">
        <v>2128</v>
      </c>
      <c r="H22" s="180" t="s">
        <v>174</v>
      </c>
      <c r="I22" s="181">
        <v>1000</v>
      </c>
      <c r="J22" s="181">
        <v>500</v>
      </c>
      <c r="K22" s="690"/>
      <c r="L22" s="690">
        <f>Tabela6[[#This Row],[ORÇADO ]]-Tabela6[[#This Row],[CONT.]]</f>
        <v>500</v>
      </c>
      <c r="M22" s="182">
        <f>SUMIFS('ALT. ORÇ. E PROJ.'!H:H,'ALT. ORÇ. E PROJ.'!E:E,Tabela6[[#This Row],[PROG.]],'ALT. ORÇ. E PROJ.'!F:F,Tabela6[[#This Row],[PROJETO]],'ALT. ORÇ. E PROJ.'!G:G,Tabela6[[#This Row],[FICHA]])</f>
        <v>0</v>
      </c>
      <c r="N22" s="182">
        <f>SUMIFS('ALT. ORÇ. E PROJ.'!H:H,'ALT. ORÇ. E PROJ.'!B:B,Tabela6[[#This Row],[PROG.]],'ALT. ORÇ. E PROJ.'!C:C,Tabela6[[#This Row],[PROJETO]],'ALT. ORÇ. E PROJ.'!D:D,Tabela6[[#This Row],[FICHA]])</f>
        <v>500</v>
      </c>
      <c r="O22" s="183">
        <f>SUMIFS(RESERVA!$M:$M,RESERVA!C:C,Tabela6[[#This Row],[PROG.]],RESERVA!D:D,Tabela6[[#This Row],[FICHA]],RESERVA!E:E,Tabela6[[#This Row],[AÇÃO]],RESERVA!F:F,Tabela6[[#This Row],[PROJETO]])</f>
        <v>0</v>
      </c>
      <c r="P22" s="183">
        <f>SUMIFS('EMPENHO '!L:$L,'EMPENHO '!B:B,Tabela6[[#This Row],[PROG.]],'EMPENHO '!C:C,Tabela6[[#This Row],[FICHA]],'EMPENHO '!D:D,Tabela6[[#This Row],[AÇÃO]],'EMPENHO '!E:E,Tabela6[[#This Row],[PROJETO]])</f>
        <v>0</v>
      </c>
      <c r="Q22" s="333">
        <f>Tabela6[[#This Row],[SALDO INICIAL 
COM CONTING.]]-Tabela6[[#This Row],[ANULADO/
CEDIDO]]-Tabela6[[#This Row],[RESERVADO]]-Tabela6[[#This Row],[EMPENHADO]]+Tabela6[[#This Row],[SUPLEMENTADO/
RECEBIDO]]</f>
        <v>0</v>
      </c>
      <c r="R22" s="62"/>
      <c r="S22" s="49"/>
    </row>
    <row r="23" spans="1:19">
      <c r="A23" s="781" t="s">
        <v>171</v>
      </c>
      <c r="B23" s="184">
        <v>32</v>
      </c>
      <c r="C23" s="185">
        <v>78</v>
      </c>
      <c r="D23" s="186" t="s">
        <v>202</v>
      </c>
      <c r="E23" s="185">
        <v>2229</v>
      </c>
      <c r="F23" s="187" t="s">
        <v>176</v>
      </c>
      <c r="G23" s="185">
        <v>2128</v>
      </c>
      <c r="H23" s="187" t="s">
        <v>174</v>
      </c>
      <c r="I23" s="158">
        <v>1000</v>
      </c>
      <c r="J23" s="158">
        <v>500</v>
      </c>
      <c r="K23" s="158"/>
      <c r="L23" s="158">
        <f>Tabela6[[#This Row],[ORÇADO ]]-Tabela6[[#This Row],[CONT.]]</f>
        <v>500</v>
      </c>
      <c r="M23" s="182">
        <f>SUMIFS('ALT. ORÇ. E PROJ.'!H:H,'ALT. ORÇ. E PROJ.'!E:E,Tabela6[[#This Row],[PROG.]],'ALT. ORÇ. E PROJ.'!F:F,Tabela6[[#This Row],[PROJETO]],'ALT. ORÇ. E PROJ.'!G:G,Tabela6[[#This Row],[FICHA]])</f>
        <v>0</v>
      </c>
      <c r="N23" s="182">
        <f>SUMIFS('ALT. ORÇ. E PROJ.'!H:H,'ALT. ORÇ. E PROJ.'!B:B,Tabela6[[#This Row],[PROG.]],'ALT. ORÇ. E PROJ.'!C:C,Tabela6[[#This Row],[PROJETO]],'ALT. ORÇ. E PROJ.'!D:D,Tabela6[[#This Row],[FICHA]])</f>
        <v>500</v>
      </c>
      <c r="O23" s="183">
        <f>SUMIFS(RESERVA!$M:$M,RESERVA!C:C,Tabela6[[#This Row],[PROG.]],RESERVA!D:D,Tabela6[[#This Row],[FICHA]],RESERVA!E:E,Tabela6[[#This Row],[AÇÃO]],RESERVA!F:F,Tabela6[[#This Row],[PROJETO]])</f>
        <v>0</v>
      </c>
      <c r="P23" s="183">
        <f>SUMIFS('EMPENHO '!L:$L,'EMPENHO '!B:B,Tabela6[[#This Row],[PROG.]],'EMPENHO '!C:C,Tabela6[[#This Row],[FICHA]],'EMPENHO '!D:D,Tabela6[[#This Row],[AÇÃO]],'EMPENHO '!E:E,Tabela6[[#This Row],[PROJETO]])</f>
        <v>0</v>
      </c>
      <c r="Q23" s="333">
        <f>Tabela6[[#This Row],[SALDO INICIAL 
COM CONTING.]]-Tabela6[[#This Row],[ANULADO/
CEDIDO]]-Tabela6[[#This Row],[RESERVADO]]-Tabela6[[#This Row],[EMPENHADO]]+Tabela6[[#This Row],[SUPLEMENTADO/
RECEBIDO]]</f>
        <v>0</v>
      </c>
      <c r="S23" s="49"/>
    </row>
    <row r="24" spans="1:19">
      <c r="A24" s="177" t="s">
        <v>171</v>
      </c>
      <c r="B24" s="177">
        <v>32</v>
      </c>
      <c r="C24" s="178">
        <v>84</v>
      </c>
      <c r="D24" s="179" t="s">
        <v>201</v>
      </c>
      <c r="E24" s="178">
        <v>2226</v>
      </c>
      <c r="F24" s="180" t="s">
        <v>186</v>
      </c>
      <c r="G24" s="178">
        <v>2128</v>
      </c>
      <c r="H24" s="180" t="s">
        <v>174</v>
      </c>
      <c r="I24" s="181">
        <v>2200000</v>
      </c>
      <c r="J24" s="181"/>
      <c r="K24" s="690"/>
      <c r="L24" s="690">
        <f>Tabela6[[#This Row],[ORÇADO ]]-Tabela6[[#This Row],[CONT.]]</f>
        <v>2200000</v>
      </c>
      <c r="M24" s="182">
        <f>SUMIFS('ALT. ORÇ. E PROJ.'!H:H,'ALT. ORÇ. E PROJ.'!E:E,Tabela6[[#This Row],[PROG.]],'ALT. ORÇ. E PROJ.'!F:F,Tabela6[[#This Row],[PROJETO]],'ALT. ORÇ. E PROJ.'!G:G,Tabela6[[#This Row],[FICHA]])</f>
        <v>148393.85999999999</v>
      </c>
      <c r="N24" s="182">
        <f>SUMIFS('ALT. ORÇ. E PROJ.'!H:H,'ALT. ORÇ. E PROJ.'!B:B,Tabela6[[#This Row],[PROG.]],'ALT. ORÇ. E PROJ.'!C:C,Tabela6[[#This Row],[PROJETO]],'ALT. ORÇ. E PROJ.'!D:D,Tabela6[[#This Row],[FICHA]])</f>
        <v>823203.39</v>
      </c>
      <c r="O24" s="183">
        <f>SUMIFS(RESERVA!$M:$M,RESERVA!C:C,Tabela6[[#This Row],[PROG.]],RESERVA!D:D,Tabela6[[#This Row],[FICHA]],RESERVA!E:E,Tabela6[[#This Row],[AÇÃO]],RESERVA!F:F,Tabela6[[#This Row],[PROJETO]])</f>
        <v>4083.77</v>
      </c>
      <c r="P24" s="183">
        <f>SUMIFS('EMPENHO '!L:$L,'EMPENHO '!B:B,Tabela6[[#This Row],[PROG.]],'EMPENHO '!C:C,Tabela6[[#This Row],[FICHA]],'EMPENHO '!D:D,Tabela6[[#This Row],[AÇÃO]],'EMPENHO '!E:E,Tabela6[[#This Row],[PROJETO]])</f>
        <v>1328994.8</v>
      </c>
      <c r="Q24" s="333">
        <f>Tabela6[[#This Row],[SALDO INICIAL 
COM CONTING.]]-Tabela6[[#This Row],[ANULADO/
CEDIDO]]-Tabela6[[#This Row],[RESERVADO]]-Tabela6[[#This Row],[EMPENHADO]]+Tabela6[[#This Row],[SUPLEMENTADO/
RECEBIDO]]</f>
        <v>192111.9</v>
      </c>
      <c r="R24" t="s">
        <v>773</v>
      </c>
      <c r="S24" s="10"/>
    </row>
    <row r="25" spans="1:19">
      <c r="A25" s="781" t="s">
        <v>171</v>
      </c>
      <c r="B25" s="184">
        <v>32</v>
      </c>
      <c r="C25" s="185">
        <v>86</v>
      </c>
      <c r="D25" s="186" t="s">
        <v>206</v>
      </c>
      <c r="E25" s="185">
        <v>2226</v>
      </c>
      <c r="F25" s="187" t="s">
        <v>186</v>
      </c>
      <c r="G25" s="185">
        <v>2128</v>
      </c>
      <c r="H25" s="187" t="s">
        <v>174</v>
      </c>
      <c r="I25" s="158">
        <v>80000</v>
      </c>
      <c r="J25" s="158"/>
      <c r="K25" s="158"/>
      <c r="L25" s="158">
        <f>Tabela6[[#This Row],[ORÇADO ]]-Tabela6[[#This Row],[CONT.]]</f>
        <v>80000</v>
      </c>
      <c r="M25" s="182">
        <f>SUMIFS('ALT. ORÇ. E PROJ.'!H:H,'ALT. ORÇ. E PROJ.'!E:E,Tabela6[[#This Row],[PROG.]],'ALT. ORÇ. E PROJ.'!F:F,Tabela6[[#This Row],[PROJETO]],'ALT. ORÇ. E PROJ.'!G:G,Tabela6[[#This Row],[FICHA]])</f>
        <v>0</v>
      </c>
      <c r="N25" s="182">
        <f>SUMIFS('ALT. ORÇ. E PROJ.'!H:H,'ALT. ORÇ. E PROJ.'!B:B,Tabela6[[#This Row],[PROG.]],'ALT. ORÇ. E PROJ.'!C:C,Tabela6[[#This Row],[PROJETO]],'ALT. ORÇ. E PROJ.'!D:D,Tabela6[[#This Row],[FICHA]])</f>
        <v>72750</v>
      </c>
      <c r="O25" s="183">
        <f>SUMIFS(RESERVA!$M:$M,RESERVA!C:C,Tabela6[[#This Row],[PROG.]],RESERVA!D:D,Tabela6[[#This Row],[FICHA]],RESERVA!E:E,Tabela6[[#This Row],[AÇÃO]],RESERVA!F:F,Tabela6[[#This Row],[PROJETO]])</f>
        <v>0</v>
      </c>
      <c r="P25" s="183">
        <f>SUMIFS('EMPENHO '!L:$L,'EMPENHO '!B:B,Tabela6[[#This Row],[PROG.]],'EMPENHO '!C:C,Tabela6[[#This Row],[FICHA]],'EMPENHO '!D:D,Tabela6[[#This Row],[AÇÃO]],'EMPENHO '!E:E,Tabela6[[#This Row],[PROJETO]])</f>
        <v>7250</v>
      </c>
      <c r="Q25" s="333">
        <f>Tabela6[[#This Row],[SALDO INICIAL 
COM CONTING.]]-Tabela6[[#This Row],[ANULADO/
CEDIDO]]-Tabela6[[#This Row],[RESERVADO]]-Tabela6[[#This Row],[EMPENHADO]]+Tabela6[[#This Row],[SUPLEMENTADO/
RECEBIDO]]</f>
        <v>0</v>
      </c>
      <c r="S25" s="49"/>
    </row>
    <row r="26" spans="1:19">
      <c r="A26" s="177"/>
      <c r="B26" s="177">
        <v>32</v>
      </c>
      <c r="C26" s="178">
        <v>88</v>
      </c>
      <c r="D26" s="179" t="s">
        <v>205</v>
      </c>
      <c r="E26" s="178">
        <v>3484</v>
      </c>
      <c r="F26" s="180" t="s">
        <v>392</v>
      </c>
      <c r="G26" s="178">
        <v>2128</v>
      </c>
      <c r="H26" s="180"/>
      <c r="I26" s="181"/>
      <c r="J26" s="181"/>
      <c r="K26" s="181"/>
      <c r="L26" s="181">
        <f>Tabela6[[#This Row],[ORÇADO ]]-Tabela6[[#This Row],[CONT.]]</f>
        <v>0</v>
      </c>
      <c r="M26" s="182">
        <f>SUMIFS('ALT. ORÇ. E PROJ.'!H:H,'ALT. ORÇ. E PROJ.'!E:E,Tabela6[[#This Row],[PROG.]],'ALT. ORÇ. E PROJ.'!F:F,Tabela6[[#This Row],[PROJETO]],'ALT. ORÇ. E PROJ.'!G:G,Tabela6[[#This Row],[FICHA]])</f>
        <v>3220</v>
      </c>
      <c r="N26" s="182">
        <f>SUMIFS('ALT. ORÇ. E PROJ.'!H:H,'ALT. ORÇ. E PROJ.'!B:B,Tabela6[[#This Row],[PROG.]],'ALT. ORÇ. E PROJ.'!C:C,Tabela6[[#This Row],[PROJETO]],'ALT. ORÇ. E PROJ.'!D:D,Tabela6[[#This Row],[FICHA]])</f>
        <v>0</v>
      </c>
      <c r="O26" s="183">
        <f>SUMIFS(RESERVA!$M:$M,RESERVA!C:C,Tabela6[[#This Row],[PROG.]],RESERVA!D:D,Tabela6[[#This Row],[FICHA]],RESERVA!E:E,Tabela6[[#This Row],[AÇÃO]],RESERVA!F:F,Tabela6[[#This Row],[PROJETO]])</f>
        <v>0</v>
      </c>
      <c r="P26" s="183">
        <f>SUMIFS('EMPENHO '!L:$L,'EMPENHO '!B:B,Tabela6[[#This Row],[PROG.]],'EMPENHO '!C:C,Tabela6[[#This Row],[FICHA]],'EMPENHO '!D:D,Tabela6[[#This Row],[AÇÃO]],'EMPENHO '!E:E,Tabela6[[#This Row],[PROJETO]])</f>
        <v>3220</v>
      </c>
      <c r="Q26" s="333">
        <f>Tabela6[[#This Row],[SALDO INICIAL 
COM CONTING.]]-Tabela6[[#This Row],[ANULADO/
CEDIDO]]-Tabela6[[#This Row],[RESERVADO]]-Tabela6[[#This Row],[EMPENHADO]]+Tabela6[[#This Row],[SUPLEMENTADO/
RECEBIDO]]</f>
        <v>0</v>
      </c>
      <c r="S26" s="49"/>
    </row>
    <row r="27" spans="1:19">
      <c r="A27" s="177" t="s">
        <v>171</v>
      </c>
      <c r="B27" s="177">
        <v>32</v>
      </c>
      <c r="C27" s="178">
        <v>88</v>
      </c>
      <c r="D27" s="179" t="s">
        <v>205</v>
      </c>
      <c r="E27" s="178">
        <v>2226</v>
      </c>
      <c r="F27" s="180" t="s">
        <v>186</v>
      </c>
      <c r="G27" s="178">
        <v>2128</v>
      </c>
      <c r="H27" s="180" t="s">
        <v>174</v>
      </c>
      <c r="I27" s="181">
        <v>200000</v>
      </c>
      <c r="J27" s="181"/>
      <c r="K27" s="690"/>
      <c r="L27" s="690">
        <f>Tabela6[[#This Row],[ORÇADO ]]-Tabela6[[#This Row],[CONT.]]</f>
        <v>200000</v>
      </c>
      <c r="M27" s="182">
        <f>SUMIFS('ALT. ORÇ. E PROJ.'!H:H,'ALT. ORÇ. E PROJ.'!E:E,Tabela6[[#This Row],[PROG.]],'ALT. ORÇ. E PROJ.'!F:F,Tabela6[[#This Row],[PROJETO]],'ALT. ORÇ. E PROJ.'!G:G,Tabela6[[#This Row],[FICHA]])</f>
        <v>0</v>
      </c>
      <c r="N27" s="182">
        <f>SUMIFS('ALT. ORÇ. E PROJ.'!H:H,'ALT. ORÇ. E PROJ.'!B:B,Tabela6[[#This Row],[PROG.]],'ALT. ORÇ. E PROJ.'!C:C,Tabela6[[#This Row],[PROJETO]],'ALT. ORÇ. E PROJ.'!D:D,Tabela6[[#This Row],[FICHA]])</f>
        <v>180323.78</v>
      </c>
      <c r="O27" s="183">
        <f>SUMIFS(RESERVA!$M:$M,RESERVA!C:C,Tabela6[[#This Row],[PROG.]],RESERVA!D:D,Tabela6[[#This Row],[FICHA]],RESERVA!E:E,Tabela6[[#This Row],[AÇÃO]],RESERVA!F:F,Tabela6[[#This Row],[PROJETO]])</f>
        <v>-5184</v>
      </c>
      <c r="P27" s="183">
        <f>SUMIFS('EMPENHO '!L:$L,'EMPENHO '!B:B,Tabela6[[#This Row],[PROG.]],'EMPENHO '!C:C,Tabela6[[#This Row],[FICHA]],'EMPENHO '!D:D,Tabela6[[#This Row],[AÇÃO]],'EMPENHO '!E:E,Tabela6[[#This Row],[PROJETO]])</f>
        <v>24860.22</v>
      </c>
      <c r="Q27" s="333">
        <f>Tabela6[[#This Row],[SALDO INICIAL 
COM CONTING.]]-Tabela6[[#This Row],[ANULADO/
CEDIDO]]-Tabela6[[#This Row],[RESERVADO]]-Tabela6[[#This Row],[EMPENHADO]]+Tabela6[[#This Row],[SUPLEMENTADO/
RECEBIDO]]</f>
        <v>0</v>
      </c>
      <c r="S27" s="49"/>
    </row>
    <row r="28" spans="1:19">
      <c r="A28" s="781" t="s">
        <v>171</v>
      </c>
      <c r="B28" s="184">
        <v>32</v>
      </c>
      <c r="C28" s="185">
        <v>89</v>
      </c>
      <c r="D28" s="186" t="s">
        <v>204</v>
      </c>
      <c r="E28" s="185">
        <v>2226</v>
      </c>
      <c r="F28" s="187" t="s">
        <v>186</v>
      </c>
      <c r="G28" s="185">
        <v>2128</v>
      </c>
      <c r="H28" s="187" t="s">
        <v>174</v>
      </c>
      <c r="I28" s="158">
        <v>60000</v>
      </c>
      <c r="J28" s="158"/>
      <c r="K28" s="158"/>
      <c r="L28" s="158">
        <f>Tabela6[[#This Row],[ORÇADO ]]-Tabela6[[#This Row],[CONT.]]</f>
        <v>60000</v>
      </c>
      <c r="M28" s="182">
        <f>SUMIFS('ALT. ORÇ. E PROJ.'!H:H,'ALT. ORÇ. E PROJ.'!E:E,Tabela6[[#This Row],[PROG.]],'ALT. ORÇ. E PROJ.'!F:F,Tabela6[[#This Row],[PROJETO]],'ALT. ORÇ. E PROJ.'!G:G,Tabela6[[#This Row],[FICHA]])</f>
        <v>0</v>
      </c>
      <c r="N28" s="182">
        <f>SUMIFS('ALT. ORÇ. E PROJ.'!H:H,'ALT. ORÇ. E PROJ.'!B:B,Tabela6[[#This Row],[PROG.]],'ALT. ORÇ. E PROJ.'!C:C,Tabela6[[#This Row],[PROJETO]],'ALT. ORÇ. E PROJ.'!D:D,Tabela6[[#This Row],[FICHA]])</f>
        <v>60000</v>
      </c>
      <c r="O28" s="183">
        <f>SUMIFS(RESERVA!$M:$M,RESERVA!C:C,Tabela6[[#This Row],[PROG.]],RESERVA!D:D,Tabela6[[#This Row],[FICHA]],RESERVA!E:E,Tabela6[[#This Row],[AÇÃO]],RESERVA!F:F,Tabela6[[#This Row],[PROJETO]])</f>
        <v>0</v>
      </c>
      <c r="P28" s="183">
        <f>SUMIFS('EMPENHO '!L:$L,'EMPENHO '!B:B,Tabela6[[#This Row],[PROG.]],'EMPENHO '!C:C,Tabela6[[#This Row],[FICHA]],'EMPENHO '!D:D,Tabela6[[#This Row],[AÇÃO]],'EMPENHO '!E:E,Tabela6[[#This Row],[PROJETO]])</f>
        <v>0</v>
      </c>
      <c r="Q28" s="333">
        <f>Tabela6[[#This Row],[SALDO INICIAL 
COM CONTING.]]-Tabela6[[#This Row],[ANULADO/
CEDIDO]]-Tabela6[[#This Row],[RESERVADO]]-Tabela6[[#This Row],[EMPENHADO]]+Tabela6[[#This Row],[SUPLEMENTADO/
RECEBIDO]]</f>
        <v>0</v>
      </c>
      <c r="S28" s="49"/>
    </row>
    <row r="29" spans="1:19">
      <c r="A29" s="177" t="s">
        <v>207</v>
      </c>
      <c r="B29" s="177">
        <v>29</v>
      </c>
      <c r="C29" s="178">
        <v>92</v>
      </c>
      <c r="D29" s="179" t="s">
        <v>203</v>
      </c>
      <c r="E29" s="178">
        <v>2244</v>
      </c>
      <c r="F29" s="180" t="s">
        <v>208</v>
      </c>
      <c r="G29" s="178">
        <v>2123</v>
      </c>
      <c r="H29" s="180" t="s">
        <v>196</v>
      </c>
      <c r="I29" s="181">
        <v>2100000</v>
      </c>
      <c r="J29" s="181"/>
      <c r="K29" s="690"/>
      <c r="L29" s="690">
        <f>Tabela6[[#This Row],[ORÇADO ]]-Tabela6[[#This Row],[CONT.]]</f>
        <v>2100000</v>
      </c>
      <c r="M29" s="182">
        <f>SUMIFS('ALT. ORÇ. E PROJ.'!H:H,'ALT. ORÇ. E PROJ.'!E:E,Tabela6[[#This Row],[PROG.]],'ALT. ORÇ. E PROJ.'!F:F,Tabela6[[#This Row],[PROJETO]],'ALT. ORÇ. E PROJ.'!G:G,Tabela6[[#This Row],[FICHA]])</f>
        <v>0</v>
      </c>
      <c r="N29" s="182">
        <f>SUMIFS('ALT. ORÇ. E PROJ.'!H:H,'ALT. ORÇ. E PROJ.'!B:B,Tabela6[[#This Row],[PROG.]],'ALT. ORÇ. E PROJ.'!C:C,Tabela6[[#This Row],[PROJETO]],'ALT. ORÇ. E PROJ.'!D:D,Tabela6[[#This Row],[FICHA]])</f>
        <v>1614930</v>
      </c>
      <c r="O29" s="183">
        <f>SUMIFS(RESERVA!$M:$M,RESERVA!C:C,Tabela6[[#This Row],[PROG.]],RESERVA!D:D,Tabela6[[#This Row],[FICHA]],RESERVA!E:E,Tabela6[[#This Row],[AÇÃO]],RESERVA!F:F,Tabela6[[#This Row],[PROJETO]])</f>
        <v>0</v>
      </c>
      <c r="P29" s="183">
        <f>SUMIFS('EMPENHO '!L:$L,'EMPENHO '!B:B,Tabela6[[#This Row],[PROG.]],'EMPENHO '!C:C,Tabela6[[#This Row],[FICHA]],'EMPENHO '!D:D,Tabela6[[#This Row],[AÇÃO]],'EMPENHO '!E:E,Tabela6[[#This Row],[PROJETO]])</f>
        <v>484670</v>
      </c>
      <c r="Q29" s="333">
        <f>Tabela6[[#This Row],[SALDO INICIAL 
COM CONTING.]]-Tabela6[[#This Row],[ANULADO/
CEDIDO]]-Tabela6[[#This Row],[RESERVADO]]-Tabela6[[#This Row],[EMPENHADO]]+Tabela6[[#This Row],[SUPLEMENTADO/
RECEBIDO]]</f>
        <v>400</v>
      </c>
      <c r="R29" t="s">
        <v>775</v>
      </c>
      <c r="S29" s="49"/>
    </row>
    <row r="30" spans="1:19">
      <c r="A30" s="184" t="s">
        <v>171</v>
      </c>
      <c r="B30" s="184">
        <v>32</v>
      </c>
      <c r="C30" s="185">
        <v>104</v>
      </c>
      <c r="D30" s="186" t="s">
        <v>209</v>
      </c>
      <c r="E30" s="185">
        <v>2229</v>
      </c>
      <c r="F30" s="187" t="s">
        <v>176</v>
      </c>
      <c r="G30" s="185">
        <v>2128</v>
      </c>
      <c r="H30" s="187" t="s">
        <v>174</v>
      </c>
      <c r="I30" s="158">
        <v>68000</v>
      </c>
      <c r="J30" s="158"/>
      <c r="K30" s="158"/>
      <c r="L30" s="158">
        <f>Tabela6[[#This Row],[ORÇADO ]]-Tabela6[[#This Row],[CONT.]]</f>
        <v>68000</v>
      </c>
      <c r="M30" s="182">
        <f>SUMIFS('ALT. ORÇ. E PROJ.'!H:H,'ALT. ORÇ. E PROJ.'!E:E,Tabela6[[#This Row],[PROG.]],'ALT. ORÇ. E PROJ.'!F:F,Tabela6[[#This Row],[PROJETO]],'ALT. ORÇ. E PROJ.'!G:G,Tabela6[[#This Row],[FICHA]])</f>
        <v>206000</v>
      </c>
      <c r="N30" s="182">
        <f>SUMIFS('ALT. ORÇ. E PROJ.'!H:H,'ALT. ORÇ. E PROJ.'!B:B,Tabela6[[#This Row],[PROG.]],'ALT. ORÇ. E PROJ.'!C:C,Tabela6[[#This Row],[PROJETO]],'ALT. ORÇ. E PROJ.'!D:D,Tabela6[[#This Row],[FICHA]])</f>
        <v>259651.32</v>
      </c>
      <c r="O30" s="182">
        <f>SUMIFS(RESERVA!$M:$M,RESERVA!C:C,Tabela6[[#This Row],[PROG.]],RESERVA!D:D,Tabela6[[#This Row],[FICHA]],RESERVA!E:E,Tabela6[[#This Row],[AÇÃO]],RESERVA!F:F,Tabela6[[#This Row],[PROJETO]])</f>
        <v>0</v>
      </c>
      <c r="P30" s="182">
        <f>SUMIFS('EMPENHO '!L:$L,'EMPENHO '!B:B,Tabela6[[#This Row],[PROG.]],'EMPENHO '!C:C,Tabela6[[#This Row],[FICHA]],'EMPENHO '!D:D,Tabela6[[#This Row],[AÇÃO]],'EMPENHO '!E:E,Tabela6[[#This Row],[PROJETO]])</f>
        <v>14348.68</v>
      </c>
      <c r="Q30" s="333">
        <f>Tabela6[[#This Row],[SALDO INICIAL 
COM CONTING.]]-Tabela6[[#This Row],[ANULADO/
CEDIDO]]-Tabela6[[#This Row],[RESERVADO]]-Tabela6[[#This Row],[EMPENHADO]]+Tabela6[[#This Row],[SUPLEMENTADO/
RECEBIDO]]</f>
        <v>0</v>
      </c>
      <c r="S30" s="49"/>
    </row>
    <row r="31" spans="1:19">
      <c r="A31" s="177" t="s">
        <v>171</v>
      </c>
      <c r="B31" s="177">
        <v>32</v>
      </c>
      <c r="C31" s="178">
        <v>104</v>
      </c>
      <c r="D31" s="689" t="s">
        <v>209</v>
      </c>
      <c r="E31" s="178">
        <v>2231</v>
      </c>
      <c r="F31" s="180" t="s">
        <v>192</v>
      </c>
      <c r="G31" s="178">
        <v>2128</v>
      </c>
      <c r="H31" s="180" t="s">
        <v>174</v>
      </c>
      <c r="I31" s="181">
        <v>740000</v>
      </c>
      <c r="J31" s="181">
        <v>240000</v>
      </c>
      <c r="K31" s="690"/>
      <c r="L31" s="690">
        <f>Tabela6[[#This Row],[ORÇADO ]]-Tabela6[[#This Row],[CONT.]]</f>
        <v>500000</v>
      </c>
      <c r="M31" s="182"/>
      <c r="N31" s="182">
        <f>SUMIFS('ALT. ORÇ. E PROJ.'!H:H,'ALT. ORÇ. E PROJ.'!B:B,Tabela6[[#This Row],[PROG.]],'ALT. ORÇ. E PROJ.'!C:C,Tabela6[[#This Row],[PROJETO]],'ALT. ORÇ. E PROJ.'!D:D,Tabela6[[#This Row],[FICHA]])</f>
        <v>478400</v>
      </c>
      <c r="O31" s="182">
        <f>SUMIFS(RESERVA!$M:$M,RESERVA!C:C,Tabela6[[#This Row],[PROG.]],RESERVA!D:D,Tabela6[[#This Row],[FICHA]],RESERVA!E:E,Tabela6[[#This Row],[AÇÃO]],RESERVA!F:F,Tabela6[[#This Row],[PROJETO]])</f>
        <v>0</v>
      </c>
      <c r="P31" s="182">
        <f>SUMIFS('EMPENHO '!L:$L,'EMPENHO '!B:B,Tabela6[[#This Row],[PROG.]],'EMPENHO '!C:C,Tabela6[[#This Row],[FICHA]],'EMPENHO '!D:D,Tabela6[[#This Row],[AÇÃO]],'EMPENHO '!E:E,Tabela6[[#This Row],[PROJETO]])</f>
        <v>21600</v>
      </c>
      <c r="Q31" s="333">
        <f>Tabela6[[#This Row],[SALDO INICIAL 
COM CONTING.]]-Tabela6[[#This Row],[ANULADO/
CEDIDO]]-Tabela6[[#This Row],[RESERVADO]]-Tabela6[[#This Row],[EMPENHADO]]+Tabela6[[#This Row],[SUPLEMENTADO/
RECEBIDO]]</f>
        <v>0</v>
      </c>
      <c r="S31" s="49"/>
    </row>
    <row r="32" spans="1:19">
      <c r="A32" s="184" t="s">
        <v>166</v>
      </c>
      <c r="B32" s="184">
        <v>30</v>
      </c>
      <c r="C32" s="185">
        <v>104</v>
      </c>
      <c r="D32" s="186" t="s">
        <v>209</v>
      </c>
      <c r="E32" s="185">
        <v>2258</v>
      </c>
      <c r="F32" s="187" t="s">
        <v>210</v>
      </c>
      <c r="G32" s="185">
        <v>2126</v>
      </c>
      <c r="H32" s="187" t="s">
        <v>214</v>
      </c>
      <c r="I32" s="158">
        <v>40000</v>
      </c>
      <c r="J32" s="158"/>
      <c r="K32" s="158"/>
      <c r="L32" s="158">
        <f>Tabela6[[#This Row],[ORÇADO ]]-Tabela6[[#This Row],[CONT.]]</f>
        <v>40000</v>
      </c>
      <c r="M32" s="182">
        <f>SUMIFS('ALT. ORÇ. E PROJ.'!H:H,'ALT. ORÇ. E PROJ.'!E:E,Tabela6[[#This Row],[PROG.]],'ALT. ORÇ. E PROJ.'!F:F,Tabela6[[#This Row],[PROJETO]],'ALT. ORÇ. E PROJ.'!G:G,Tabela6[[#This Row],[FICHA]])</f>
        <v>0</v>
      </c>
      <c r="N32" s="182">
        <f>SUMIFS('ALT. ORÇ. E PROJ.'!H:H,'ALT. ORÇ. E PROJ.'!B:B,Tabela6[[#This Row],[PROG.]],'ALT. ORÇ. E PROJ.'!C:C,Tabela6[[#This Row],[PROJETO]],'ALT. ORÇ. E PROJ.'!D:D,Tabela6[[#This Row],[FICHA]])</f>
        <v>29915.53</v>
      </c>
      <c r="O32" s="183">
        <f>SUMIFS(RESERVA!$M:$M,RESERVA!C:C,Tabela6[[#This Row],[PROG.]],RESERVA!D:D,Tabela6[[#This Row],[FICHA]],RESERVA!E:E,Tabela6[[#This Row],[AÇÃO]],RESERVA!F:F,Tabela6[[#This Row],[PROJETO]])</f>
        <v>0</v>
      </c>
      <c r="P32" s="183">
        <f>SUMIFS('EMPENHO '!L:$L,'EMPENHO '!B:B,Tabela6[[#This Row],[PROG.]],'EMPENHO '!C:C,Tabela6[[#This Row],[FICHA]],'EMPENHO '!D:D,Tabela6[[#This Row],[AÇÃO]],'EMPENHO '!E:E,Tabela6[[#This Row],[PROJETO]])</f>
        <v>10084.469999999999</v>
      </c>
      <c r="Q32" s="333">
        <f>Tabela6[[#This Row],[SALDO INICIAL 
COM CONTING.]]-Tabela6[[#This Row],[ANULADO/
CEDIDO]]-Tabela6[[#This Row],[RESERVADO]]-Tabela6[[#This Row],[EMPENHADO]]+Tabela6[[#This Row],[SUPLEMENTADO/
RECEBIDO]]</f>
        <v>0</v>
      </c>
      <c r="R32" s="10"/>
      <c r="S32" s="49"/>
    </row>
    <row r="33" spans="1:19">
      <c r="A33" s="177" t="s">
        <v>166</v>
      </c>
      <c r="B33" s="177">
        <v>30</v>
      </c>
      <c r="C33" s="178">
        <v>104</v>
      </c>
      <c r="D33" s="689" t="s">
        <v>209</v>
      </c>
      <c r="E33" s="178">
        <v>2261</v>
      </c>
      <c r="F33" s="180" t="s">
        <v>211</v>
      </c>
      <c r="G33" s="178">
        <v>2126</v>
      </c>
      <c r="H33" s="180" t="s">
        <v>214</v>
      </c>
      <c r="I33" s="181">
        <v>40000</v>
      </c>
      <c r="J33" s="181"/>
      <c r="K33" s="690"/>
      <c r="L33" s="690">
        <f>Tabela6[[#This Row],[ORÇADO ]]-Tabela6[[#This Row],[CONT.]]</f>
        <v>40000</v>
      </c>
      <c r="M33" s="182">
        <f>SUMIFS('ALT. ORÇ. E PROJ.'!H:H,'ALT. ORÇ. E PROJ.'!E:E,Tabela6[[#This Row],[PROG.]],'ALT. ORÇ. E PROJ.'!F:F,Tabela6[[#This Row],[PROJETO]],'ALT. ORÇ. E PROJ.'!G:G,Tabela6[[#This Row],[FICHA]])</f>
        <v>0</v>
      </c>
      <c r="N33" s="182">
        <f>SUMIFS('ALT. ORÇ. E PROJ.'!H:H,'ALT. ORÇ. E PROJ.'!B:B,Tabela6[[#This Row],[PROG.]],'ALT. ORÇ. E PROJ.'!C:C,Tabela6[[#This Row],[PROJETO]],'ALT. ORÇ. E PROJ.'!D:D,Tabela6[[#This Row],[FICHA]])</f>
        <v>17438.080000000002</v>
      </c>
      <c r="O33" s="183">
        <f>SUMIFS(RESERVA!$M:$M,RESERVA!C:C,Tabela6[[#This Row],[PROG.]],RESERVA!D:D,Tabela6[[#This Row],[FICHA]],RESERVA!E:E,Tabela6[[#This Row],[AÇÃO]],RESERVA!F:F,Tabela6[[#This Row],[PROJETO]])</f>
        <v>0</v>
      </c>
      <c r="P33" s="183">
        <f>SUMIFS('EMPENHO '!L:$L,'EMPENHO '!B:B,Tabela6[[#This Row],[PROG.]],'EMPENHO '!C:C,Tabela6[[#This Row],[FICHA]],'EMPENHO '!D:D,Tabela6[[#This Row],[AÇÃO]],'EMPENHO '!E:E,Tabela6[[#This Row],[PROJETO]])</f>
        <v>22561.919999999998</v>
      </c>
      <c r="Q33" s="333">
        <f>Tabela6[[#This Row],[SALDO INICIAL 
COM CONTING.]]-Tabela6[[#This Row],[ANULADO/
CEDIDO]]-Tabela6[[#This Row],[RESERVADO]]-Tabela6[[#This Row],[EMPENHADO]]+Tabela6[[#This Row],[SUPLEMENTADO/
RECEBIDO]]</f>
        <v>0</v>
      </c>
      <c r="R33" s="62"/>
      <c r="S33" s="49"/>
    </row>
    <row r="34" spans="1:19">
      <c r="A34" s="184" t="s">
        <v>166</v>
      </c>
      <c r="B34" s="184">
        <v>30</v>
      </c>
      <c r="C34" s="185">
        <v>104</v>
      </c>
      <c r="D34" s="186" t="s">
        <v>209</v>
      </c>
      <c r="E34" s="185">
        <v>2262</v>
      </c>
      <c r="F34" s="187" t="s">
        <v>212</v>
      </c>
      <c r="G34" s="185">
        <v>2126</v>
      </c>
      <c r="H34" s="187" t="s">
        <v>214</v>
      </c>
      <c r="I34" s="158">
        <v>25000</v>
      </c>
      <c r="J34" s="158"/>
      <c r="K34" s="158"/>
      <c r="L34" s="158">
        <f>Tabela6[[#This Row],[ORÇADO ]]-Tabela6[[#This Row],[CONT.]]</f>
        <v>25000</v>
      </c>
      <c r="M34" s="182">
        <f>SUMIFS('ALT. ORÇ. E PROJ.'!H:H,'ALT. ORÇ. E PROJ.'!E:E,Tabela6[[#This Row],[PROG.]],'ALT. ORÇ. E PROJ.'!F:F,Tabela6[[#This Row],[PROJETO]],'ALT. ORÇ. E PROJ.'!G:G,Tabela6[[#This Row],[FICHA]])</f>
        <v>0</v>
      </c>
      <c r="N34" s="182">
        <f>SUMIFS('ALT. ORÇ. E PROJ.'!H:H,'ALT. ORÇ. E PROJ.'!B:B,Tabela6[[#This Row],[PROG.]],'ALT. ORÇ. E PROJ.'!C:C,Tabela6[[#This Row],[PROJETO]],'ALT. ORÇ. E PROJ.'!D:D,Tabela6[[#This Row],[FICHA]])</f>
        <v>25000</v>
      </c>
      <c r="O34" s="183">
        <f>SUMIFS(RESERVA!$M:$M,RESERVA!C:C,Tabela6[[#This Row],[PROG.]],RESERVA!D:D,Tabela6[[#This Row],[FICHA]],RESERVA!E:E,Tabela6[[#This Row],[AÇÃO]],RESERVA!F:F,Tabela6[[#This Row],[PROJETO]])</f>
        <v>0</v>
      </c>
      <c r="P34" s="183">
        <f>SUMIFS('EMPENHO '!L:$L,'EMPENHO '!B:B,Tabela6[[#This Row],[PROG.]],'EMPENHO '!C:C,Tabela6[[#This Row],[FICHA]],'EMPENHO '!D:D,Tabela6[[#This Row],[AÇÃO]],'EMPENHO '!E:E,Tabela6[[#This Row],[PROJETO]])</f>
        <v>0</v>
      </c>
      <c r="Q34" s="333">
        <f>Tabela6[[#This Row],[SALDO INICIAL 
COM CONTING.]]-Tabela6[[#This Row],[ANULADO/
CEDIDO]]-Tabela6[[#This Row],[RESERVADO]]-Tabela6[[#This Row],[EMPENHADO]]+Tabela6[[#This Row],[SUPLEMENTADO/
RECEBIDO]]</f>
        <v>0</v>
      </c>
      <c r="S34" s="49"/>
    </row>
    <row r="35" spans="1:19">
      <c r="A35" s="689" t="s">
        <v>166</v>
      </c>
      <c r="B35" s="178">
        <v>30</v>
      </c>
      <c r="C35" s="178">
        <v>104</v>
      </c>
      <c r="D35" s="689" t="s">
        <v>209</v>
      </c>
      <c r="E35" s="178">
        <v>3485</v>
      </c>
      <c r="F35" s="689" t="s">
        <v>395</v>
      </c>
      <c r="G35" s="178">
        <v>2126</v>
      </c>
      <c r="H35" s="689" t="s">
        <v>214</v>
      </c>
      <c r="I35" s="775">
        <v>0</v>
      </c>
      <c r="J35" s="775"/>
      <c r="K35" s="775"/>
      <c r="L35" s="775">
        <f>Tabela6[[#This Row],[ORÇADO ]]-Tabela6[[#This Row],[CONT.]]</f>
        <v>0</v>
      </c>
      <c r="M35" s="776">
        <f>SUMIFS('ALT. ORÇ. E PROJ.'!H:H,'ALT. ORÇ. E PROJ.'!E:E,Tabela6[[#This Row],[PROG.]],'ALT. ORÇ. E PROJ.'!F:F,Tabela6[[#This Row],[PROJETO]],'ALT. ORÇ. E PROJ.'!G:G,Tabela6[[#This Row],[FICHA]])</f>
        <v>9455.48</v>
      </c>
      <c r="N35" s="776">
        <f>SUMIFS('ALT. ORÇ. E PROJ.'!H:H,'ALT. ORÇ. E PROJ.'!B:B,Tabela6[[#This Row],[PROG.]],'ALT. ORÇ. E PROJ.'!C:C,Tabela6[[#This Row],[PROJETO]],'ALT. ORÇ. E PROJ.'!D:D,Tabela6[[#This Row],[FICHA]])</f>
        <v>0</v>
      </c>
      <c r="O35" s="777">
        <f>SUMIFS(RESERVA!$M:$M,RESERVA!C:C,Tabela6[[#This Row],[PROG.]],RESERVA!D:D,Tabela6[[#This Row],[FICHA]],RESERVA!E:E,Tabela6[[#This Row],[AÇÃO]],RESERVA!F:F,Tabela6[[#This Row],[PROJETO]])</f>
        <v>0</v>
      </c>
      <c r="P35" s="777">
        <f>SUMIFS('EMPENHO '!L:$L,'EMPENHO '!B:B,Tabela6[[#This Row],[PROG.]],'EMPENHO '!C:C,Tabela6[[#This Row],[FICHA]],'EMPENHO '!D:D,Tabela6[[#This Row],[AÇÃO]],'EMPENHO '!E:E,Tabela6[[#This Row],[PROJETO]])</f>
        <v>9455.48</v>
      </c>
      <c r="Q35" s="778">
        <f>Tabela6[[#This Row],[SALDO INICIAL 
COM CONTING.]]-Tabela6[[#This Row],[ANULADO/
CEDIDO]]-Tabela6[[#This Row],[RESERVADO]]-Tabela6[[#This Row],[EMPENHADO]]+Tabela6[[#This Row],[SUPLEMENTADO/
RECEBIDO]]</f>
        <v>0</v>
      </c>
      <c r="S35" s="49"/>
    </row>
    <row r="36" spans="1:19">
      <c r="A36" s="184" t="s">
        <v>166</v>
      </c>
      <c r="B36" s="184">
        <v>30</v>
      </c>
      <c r="C36" s="185">
        <v>104</v>
      </c>
      <c r="D36" s="186" t="s">
        <v>209</v>
      </c>
      <c r="E36" s="779">
        <v>3486</v>
      </c>
      <c r="F36" t="s">
        <v>400</v>
      </c>
      <c r="G36" s="779">
        <v>2126</v>
      </c>
      <c r="H36" s="187" t="s">
        <v>214</v>
      </c>
      <c r="I36" s="786">
        <v>0</v>
      </c>
      <c r="J36" s="786"/>
      <c r="K36" s="786"/>
      <c r="L36" s="786">
        <f>Tabela6[[#This Row],[ORÇADO ]]-Tabela6[[#This Row],[CONT.]]</f>
        <v>0</v>
      </c>
      <c r="M36" s="776">
        <f>SUMIFS('ALT. ORÇ. E PROJ.'!H:H,'ALT. ORÇ. E PROJ.'!E:E,Tabela6[[#This Row],[PROG.]],'ALT. ORÇ. E PROJ.'!F:F,Tabela6[[#This Row],[PROJETO]],'ALT. ORÇ. E PROJ.'!G:G,Tabela6[[#This Row],[FICHA]])</f>
        <v>1826.58</v>
      </c>
      <c r="N36" s="776">
        <f>SUMIFS('ALT. ORÇ. E PROJ.'!H:H,'ALT. ORÇ. E PROJ.'!B:B,Tabela6[[#This Row],[PROG.]],'ALT. ORÇ. E PROJ.'!C:C,Tabela6[[#This Row],[PROJETO]],'ALT. ORÇ. E PROJ.'!D:D,Tabela6[[#This Row],[FICHA]])</f>
        <v>0</v>
      </c>
      <c r="O36" s="777">
        <f>SUMIFS(RESERVA!$M:$M,RESERVA!C:C,Tabela6[[#This Row],[PROG.]],RESERVA!D:D,Tabela6[[#This Row],[FICHA]],RESERVA!E:E,Tabela6[[#This Row],[AÇÃO]],RESERVA!F:F,Tabela6[[#This Row],[PROJETO]])</f>
        <v>0</v>
      </c>
      <c r="P36" s="777">
        <f>SUMIFS('EMPENHO '!L:$L,'EMPENHO '!B:B,Tabela6[[#This Row],[PROG.]],'EMPENHO '!C:C,Tabela6[[#This Row],[FICHA]],'EMPENHO '!D:D,Tabela6[[#This Row],[AÇÃO]],'EMPENHO '!E:E,Tabela6[[#This Row],[PROJETO]])</f>
        <v>1826.58</v>
      </c>
      <c r="Q36" s="778">
        <f>Tabela6[[#This Row],[SALDO INICIAL 
COM CONTING.]]-Tabela6[[#This Row],[ANULADO/
CEDIDO]]-Tabela6[[#This Row],[RESERVADO]]-Tabela6[[#This Row],[EMPENHADO]]+Tabela6[[#This Row],[SUPLEMENTADO/
RECEBIDO]]</f>
        <v>0</v>
      </c>
      <c r="R36" s="62"/>
      <c r="S36" s="49"/>
    </row>
    <row r="37" spans="1:19">
      <c r="A37" s="177" t="s">
        <v>171</v>
      </c>
      <c r="B37" s="177">
        <v>32</v>
      </c>
      <c r="C37" s="178">
        <v>106</v>
      </c>
      <c r="D37" s="689" t="s">
        <v>215</v>
      </c>
      <c r="E37" s="178">
        <v>2227</v>
      </c>
      <c r="F37" s="180" t="s">
        <v>213</v>
      </c>
      <c r="G37" s="178">
        <v>2128</v>
      </c>
      <c r="H37" s="180" t="s">
        <v>174</v>
      </c>
      <c r="I37" s="181">
        <v>10000</v>
      </c>
      <c r="J37" s="181">
        <v>500</v>
      </c>
      <c r="K37" s="690"/>
      <c r="L37" s="690">
        <f>Tabela6[[#This Row],[ORÇADO ]]-Tabela6[[#This Row],[CONT.]]</f>
        <v>9500</v>
      </c>
      <c r="M37" s="182">
        <f>SUMIFS('ALT. ORÇ. E PROJ.'!H:H,'ALT. ORÇ. E PROJ.'!E:E,Tabela6[[#This Row],[PROG.]],'ALT. ORÇ. E PROJ.'!F:F,Tabela6[[#This Row],[PROJETO]],'ALT. ORÇ. E PROJ.'!G:G,Tabela6[[#This Row],[FICHA]])</f>
        <v>0</v>
      </c>
      <c r="N37" s="182">
        <f>SUMIFS('ALT. ORÇ. E PROJ.'!H:H,'ALT. ORÇ. E PROJ.'!B:B,Tabela6[[#This Row],[PROG.]],'ALT. ORÇ. E PROJ.'!C:C,Tabela6[[#This Row],[PROJETO]],'ALT. ORÇ. E PROJ.'!D:D,Tabela6[[#This Row],[FICHA]])</f>
        <v>9500</v>
      </c>
      <c r="O37" s="183">
        <f>SUMIFS(RESERVA!$M:$M,RESERVA!C:C,Tabela6[[#This Row],[PROG.]],RESERVA!D:D,Tabela6[[#This Row],[FICHA]],RESERVA!E:E,Tabela6[[#This Row],[AÇÃO]],RESERVA!F:F,Tabela6[[#This Row],[PROJETO]])</f>
        <v>0</v>
      </c>
      <c r="P37" s="183">
        <f>SUMIFS('EMPENHO '!L:$L,'EMPENHO '!B:B,Tabela6[[#This Row],[PROG.]],'EMPENHO '!C:C,Tabela6[[#This Row],[FICHA]],'EMPENHO '!D:D,Tabela6[[#This Row],[AÇÃO]],'EMPENHO '!E:E,Tabela6[[#This Row],[PROJETO]])</f>
        <v>0</v>
      </c>
      <c r="Q37" s="333">
        <f>Tabela6[[#This Row],[SALDO INICIAL 
COM CONTING.]]-Tabela6[[#This Row],[ANULADO/
CEDIDO]]-Tabela6[[#This Row],[RESERVADO]]-Tabela6[[#This Row],[EMPENHADO]]+Tabela6[[#This Row],[SUPLEMENTADO/
RECEBIDO]]</f>
        <v>0</v>
      </c>
      <c r="S37" s="49"/>
    </row>
    <row r="38" spans="1:19">
      <c r="A38" s="184" t="s">
        <v>171</v>
      </c>
      <c r="B38" s="184">
        <v>32</v>
      </c>
      <c r="C38" s="185">
        <v>108</v>
      </c>
      <c r="D38" s="186" t="s">
        <v>216</v>
      </c>
      <c r="E38" s="185">
        <v>2226</v>
      </c>
      <c r="F38" s="187" t="s">
        <v>186</v>
      </c>
      <c r="G38" s="185">
        <v>2128</v>
      </c>
      <c r="H38" s="187" t="s">
        <v>174</v>
      </c>
      <c r="I38" s="158">
        <v>110000</v>
      </c>
      <c r="J38" s="158"/>
      <c r="K38" s="158"/>
      <c r="L38" s="158">
        <f>Tabela6[[#This Row],[ORÇADO ]]-Tabela6[[#This Row],[CONT.]]</f>
        <v>110000</v>
      </c>
      <c r="M38" s="182">
        <f>SUMIFS('ALT. ORÇ. E PROJ.'!H:H,'ALT. ORÇ. E PROJ.'!E:E,Tabela6[[#This Row],[PROG.]],'ALT. ORÇ. E PROJ.'!F:F,Tabela6[[#This Row],[PROJETO]],'ALT. ORÇ. E PROJ.'!G:G,Tabela6[[#This Row],[FICHA]])</f>
        <v>0</v>
      </c>
      <c r="N38" s="182">
        <f>SUMIFS('ALT. ORÇ. E PROJ.'!H:H,'ALT. ORÇ. E PROJ.'!B:B,Tabela6[[#This Row],[PROG.]],'ALT. ORÇ. E PROJ.'!C:C,Tabela6[[#This Row],[PROJETO]],'ALT. ORÇ. E PROJ.'!D:D,Tabela6[[#This Row],[FICHA]])</f>
        <v>110000</v>
      </c>
      <c r="O38" s="183">
        <f>SUMIFS(RESERVA!$M:$M,RESERVA!C:C,Tabela6[[#This Row],[PROG.]],RESERVA!D:D,Tabela6[[#This Row],[FICHA]],RESERVA!E:E,Tabela6[[#This Row],[AÇÃO]],RESERVA!F:F,Tabela6[[#This Row],[PROJETO]])</f>
        <v>0</v>
      </c>
      <c r="P38" s="183">
        <f>SUMIFS('EMPENHO '!L:$L,'EMPENHO '!B:B,Tabela6[[#This Row],[PROG.]],'EMPENHO '!C:C,Tabela6[[#This Row],[FICHA]],'EMPENHO '!D:D,Tabela6[[#This Row],[AÇÃO]],'EMPENHO '!E:E,Tabela6[[#This Row],[PROJETO]])</f>
        <v>0</v>
      </c>
      <c r="Q38" s="333">
        <f>Tabela6[[#This Row],[SALDO INICIAL 
COM CONTING.]]-Tabela6[[#This Row],[ANULADO/
CEDIDO]]-Tabela6[[#This Row],[RESERVADO]]-Tabela6[[#This Row],[EMPENHADO]]+Tabela6[[#This Row],[SUPLEMENTADO/
RECEBIDO]]</f>
        <v>0</v>
      </c>
      <c r="S38" s="49"/>
    </row>
    <row r="39" spans="1:19">
      <c r="A39" s="177" t="s">
        <v>171</v>
      </c>
      <c r="B39" s="177">
        <v>32</v>
      </c>
      <c r="C39" s="178">
        <v>117</v>
      </c>
      <c r="D39" s="179" t="s">
        <v>217</v>
      </c>
      <c r="E39" s="178">
        <v>2229</v>
      </c>
      <c r="F39" s="180" t="s">
        <v>176</v>
      </c>
      <c r="G39" s="178">
        <v>2128</v>
      </c>
      <c r="H39" s="180" t="s">
        <v>174</v>
      </c>
      <c r="I39" s="181">
        <v>60000</v>
      </c>
      <c r="J39" s="181"/>
      <c r="K39" s="690"/>
      <c r="L39" s="690">
        <f>Tabela6[[#This Row],[ORÇADO ]]-Tabela6[[#This Row],[CONT.]]</f>
        <v>60000</v>
      </c>
      <c r="M39" s="182">
        <f>SUMIFS('ALT. ORÇ. E PROJ.'!H:H,'ALT. ORÇ. E PROJ.'!E:E,Tabela6[[#This Row],[PROG.]],'ALT. ORÇ. E PROJ.'!F:F,Tabela6[[#This Row],[PROJETO]],'ALT. ORÇ. E PROJ.'!G:G,Tabela6[[#This Row],[FICHA]])</f>
        <v>0</v>
      </c>
      <c r="N39" s="182">
        <f>SUMIFS('ALT. ORÇ. E PROJ.'!H:H,'ALT. ORÇ. E PROJ.'!B:B,Tabela6[[#This Row],[PROG.]],'ALT. ORÇ. E PROJ.'!C:C,Tabela6[[#This Row],[PROJETO]],'ALT. ORÇ. E PROJ.'!D:D,Tabela6[[#This Row],[FICHA]])</f>
        <v>18881.330000000002</v>
      </c>
      <c r="O39" s="183">
        <f>SUMIFS(RESERVA!$M:$M,RESERVA!C:C,Tabela6[[#This Row],[PROG.]],RESERVA!D:D,Tabela6[[#This Row],[FICHA]],RESERVA!E:E,Tabela6[[#This Row],[AÇÃO]],RESERVA!F:F,Tabela6[[#This Row],[PROJETO]])</f>
        <v>0</v>
      </c>
      <c r="P39" s="183">
        <f>SUMIFS('EMPENHO '!L:$L,'EMPENHO '!B:B,Tabela6[[#This Row],[PROG.]],'EMPENHO '!C:C,Tabela6[[#This Row],[FICHA]],'EMPENHO '!D:D,Tabela6[[#This Row],[AÇÃO]],'EMPENHO '!E:E,Tabela6[[#This Row],[PROJETO]])</f>
        <v>36768.660000000003</v>
      </c>
      <c r="Q39" s="333">
        <f>Tabela6[[#This Row],[SALDO INICIAL 
COM CONTING.]]-Tabela6[[#This Row],[ANULADO/
CEDIDO]]-Tabela6[[#This Row],[RESERVADO]]-Tabela6[[#This Row],[EMPENHADO]]+Tabela6[[#This Row],[SUPLEMENTADO/
RECEBIDO]]</f>
        <v>4350.01</v>
      </c>
      <c r="R39" s="10" t="s">
        <v>773</v>
      </c>
      <c r="S39" s="273"/>
    </row>
    <row r="40" spans="1:19">
      <c r="A40" s="781" t="s">
        <v>515</v>
      </c>
      <c r="B40" s="781">
        <v>32</v>
      </c>
      <c r="C40" s="779">
        <v>117</v>
      </c>
      <c r="D40" s="782" t="s">
        <v>217</v>
      </c>
      <c r="E40" s="779">
        <v>3484</v>
      </c>
      <c r="F40" t="s">
        <v>392</v>
      </c>
      <c r="G40" s="779">
        <v>2128</v>
      </c>
      <c r="H40" s="783"/>
      <c r="I40" s="786"/>
      <c r="J40" s="786"/>
      <c r="K40" s="786"/>
      <c r="L40" s="786">
        <f>Tabela6[[#This Row],[ORÇADO ]]-Tabela6[[#This Row],[CONT.]]</f>
        <v>0</v>
      </c>
      <c r="M40" s="776">
        <f>SUMIFS('ALT. ORÇ. E PROJ.'!H:H,'ALT. ORÇ. E PROJ.'!E:E,Tabela6[[#This Row],[PROG.]],'ALT. ORÇ. E PROJ.'!F:F,Tabela6[[#This Row],[PROJETO]],'ALT. ORÇ. E PROJ.'!G:G,Tabela6[[#This Row],[FICHA]])</f>
        <v>8881.33</v>
      </c>
      <c r="N40" s="776">
        <f>SUMIFS('ALT. ORÇ. E PROJ.'!H:H,'ALT. ORÇ. E PROJ.'!B:B,Tabela6[[#This Row],[PROG.]],'ALT. ORÇ. E PROJ.'!C:C,Tabela6[[#This Row],[PROJETO]],'ALT. ORÇ. E PROJ.'!D:D,Tabela6[[#This Row],[FICHA]])</f>
        <v>0</v>
      </c>
      <c r="O40" s="777">
        <f>SUMIFS(RESERVA!$M:$M,RESERVA!C:C,Tabela6[[#This Row],[PROG.]],RESERVA!D:D,Tabela6[[#This Row],[FICHA]],RESERVA!E:E,Tabela6[[#This Row],[AÇÃO]],RESERVA!F:F,Tabela6[[#This Row],[PROJETO]])</f>
        <v>0</v>
      </c>
      <c r="P40" s="777">
        <f>SUMIFS('EMPENHO '!L:$L,'EMPENHO '!B:B,Tabela6[[#This Row],[PROG.]],'EMPENHO '!C:C,Tabela6[[#This Row],[FICHA]],'EMPENHO '!D:D,Tabela6[[#This Row],[AÇÃO]],'EMPENHO '!E:E,Tabela6[[#This Row],[PROJETO]])</f>
        <v>8881.33</v>
      </c>
      <c r="Q40" s="778">
        <f>Tabela6[[#This Row],[SALDO INICIAL 
COM CONTING.]]-Tabela6[[#This Row],[ANULADO/
CEDIDO]]-Tabela6[[#This Row],[RESERVADO]]-Tabela6[[#This Row],[EMPENHADO]]+Tabela6[[#This Row],[SUPLEMENTADO/
RECEBIDO]]</f>
        <v>0</v>
      </c>
      <c r="S40" s="273"/>
    </row>
    <row r="41" spans="1:19">
      <c r="A41" s="177" t="s">
        <v>171</v>
      </c>
      <c r="B41" s="177">
        <v>32</v>
      </c>
      <c r="C41" s="178">
        <v>122</v>
      </c>
      <c r="D41" s="179" t="s">
        <v>218</v>
      </c>
      <c r="E41" s="178">
        <v>2229</v>
      </c>
      <c r="F41" s="180" t="s">
        <v>176</v>
      </c>
      <c r="G41" s="178">
        <v>2128</v>
      </c>
      <c r="H41" s="180" t="s">
        <v>174</v>
      </c>
      <c r="I41" s="181">
        <v>70000</v>
      </c>
      <c r="J41" s="181"/>
      <c r="K41" s="690"/>
      <c r="L41" s="690">
        <f>Tabela6[[#This Row],[ORÇADO ]]-Tabela6[[#This Row],[CONT.]]</f>
        <v>70000</v>
      </c>
      <c r="M41" s="776">
        <f>SUMIFS('ALT. ORÇ. E PROJ.'!H:H,'ALT. ORÇ. E PROJ.'!E:E,Tabela6[[#This Row],[PROG.]],'ALT. ORÇ. E PROJ.'!F:F,Tabela6[[#This Row],[PROJETO]],'ALT. ORÇ. E PROJ.'!G:G,Tabela6[[#This Row],[FICHA]])</f>
        <v>0</v>
      </c>
      <c r="N41" s="776">
        <f>SUMIFS('ALT. ORÇ. E PROJ.'!H:H,'ALT. ORÇ. E PROJ.'!B:B,Tabela6[[#This Row],[PROG.]],'ALT. ORÇ. E PROJ.'!C:C,Tabela6[[#This Row],[PROJETO]],'ALT. ORÇ. E PROJ.'!D:D,Tabela6[[#This Row],[FICHA]])</f>
        <v>20924.150000000001</v>
      </c>
      <c r="O41" s="776">
        <f>SUMIFS(RESERVA!$M:$M,RESERVA!C:C,Tabela6[[#This Row],[PROG.]],RESERVA!D:D,Tabela6[[#This Row],[FICHA]],RESERVA!E:E,Tabela6[[#This Row],[AÇÃO]],RESERVA!F:F,Tabela6[[#This Row],[PROJETO]])</f>
        <v>18558.25</v>
      </c>
      <c r="P41" s="776">
        <f>SUMIFS('EMPENHO '!L:$L,'EMPENHO '!B:B,Tabela6[[#This Row],[PROG.]],'EMPENHO '!C:C,Tabela6[[#This Row],[FICHA]],'EMPENHO '!D:D,Tabela6[[#This Row],[AÇÃO]],'EMPENHO '!E:E,Tabela6[[#This Row],[PROJETO]])</f>
        <v>30517.599999999999</v>
      </c>
      <c r="Q41" s="780">
        <f>Tabela6[[#This Row],[SALDO INICIAL 
COM CONTING.]]-Tabela6[[#This Row],[ANULADO/
CEDIDO]]-Tabela6[[#This Row],[RESERVADO]]-Tabela6[[#This Row],[EMPENHADO]]+Tabela6[[#This Row],[SUPLEMENTADO/
RECEBIDO]]</f>
        <v>0</v>
      </c>
      <c r="S41" s="49"/>
    </row>
    <row r="42" spans="1:19">
      <c r="A42" s="184" t="s">
        <v>171</v>
      </c>
      <c r="B42" s="184">
        <v>32</v>
      </c>
      <c r="C42" s="185">
        <v>122</v>
      </c>
      <c r="D42" s="186" t="s">
        <v>218</v>
      </c>
      <c r="E42" s="779">
        <v>3484</v>
      </c>
      <c r="F42" t="s">
        <v>392</v>
      </c>
      <c r="G42" s="779">
        <v>2128</v>
      </c>
      <c r="H42" s="783"/>
      <c r="I42" s="786"/>
      <c r="J42" s="786"/>
      <c r="K42" s="786"/>
      <c r="L42" s="786">
        <f>Tabela6[[#This Row],[ORÇADO ]]-Tabela6[[#This Row],[CONT.]]</f>
        <v>0</v>
      </c>
      <c r="M42" s="776">
        <f>SUMIFS('ALT. ORÇ. E PROJ.'!H:H,'ALT. ORÇ. E PROJ.'!E:E,Tabela6[[#This Row],[PROG.]],'ALT. ORÇ. E PROJ.'!F:F,Tabela6[[#This Row],[PROJETO]],'ALT. ORÇ. E PROJ.'!G:G,Tabela6[[#This Row],[FICHA]])</f>
        <v>4265.6499999999996</v>
      </c>
      <c r="N42" s="776">
        <f>SUMIFS('ALT. ORÇ. E PROJ.'!H:H,'ALT. ORÇ. E PROJ.'!B:B,Tabela6[[#This Row],[PROG.]],'ALT. ORÇ. E PROJ.'!C:C,Tabela6[[#This Row],[PROJETO]],'ALT. ORÇ. E PROJ.'!D:D,Tabela6[[#This Row],[FICHA]])</f>
        <v>0</v>
      </c>
      <c r="O42" s="776">
        <f>SUMIFS(RESERVA!$M:$M,RESERVA!C:C,Tabela6[[#This Row],[PROG.]],RESERVA!D:D,Tabela6[[#This Row],[FICHA]],RESERVA!E:E,Tabela6[[#This Row],[AÇÃO]],RESERVA!F:F,Tabela6[[#This Row],[PROJETO]])</f>
        <v>0</v>
      </c>
      <c r="P42" s="777">
        <f>SUMIFS('EMPENHO '!L:$L,'EMPENHO '!B:B,Tabela6[[#This Row],[PROG.]],'EMPENHO '!C:C,Tabela6[[#This Row],[FICHA]],'EMPENHO '!D:D,Tabela6[[#This Row],[AÇÃO]],'EMPENHO '!E:E,Tabela6[[#This Row],[PROJETO]])</f>
        <v>4265.6499999999996</v>
      </c>
      <c r="Q42" s="778">
        <f>Tabela6[[#This Row],[SALDO INICIAL 
COM CONTING.]]-Tabela6[[#This Row],[ANULADO/
CEDIDO]]-Tabela6[[#This Row],[RESERVADO]]-Tabela6[[#This Row],[EMPENHADO]]+Tabela6[[#This Row],[SUPLEMENTADO/
RECEBIDO]]</f>
        <v>0</v>
      </c>
      <c r="S42" s="49"/>
    </row>
    <row r="43" spans="1:19">
      <c r="A43" s="177" t="s">
        <v>207</v>
      </c>
      <c r="B43" s="177">
        <v>29</v>
      </c>
      <c r="C43" s="178">
        <v>123</v>
      </c>
      <c r="D43" s="179" t="s">
        <v>219</v>
      </c>
      <c r="E43" s="178">
        <v>2240</v>
      </c>
      <c r="F43" s="180" t="s">
        <v>220</v>
      </c>
      <c r="G43" s="178">
        <v>1028</v>
      </c>
      <c r="H43" s="180" t="s">
        <v>226</v>
      </c>
      <c r="I43" s="181">
        <v>1000</v>
      </c>
      <c r="J43" s="181"/>
      <c r="K43" s="690"/>
      <c r="L43" s="690">
        <f>Tabela6[[#This Row],[ORÇADO ]]-Tabela6[[#This Row],[CONT.]]</f>
        <v>1000</v>
      </c>
      <c r="M43" s="182">
        <f>SUMIFS('ALT. ORÇ. E PROJ.'!H:H,'ALT. ORÇ. E PROJ.'!E:E,Tabela6[[#This Row],[PROG.]],'ALT. ORÇ. E PROJ.'!F:F,Tabela6[[#This Row],[PROJETO]],'ALT. ORÇ. E PROJ.'!G:G,Tabela6[[#This Row],[FICHA]])</f>
        <v>0</v>
      </c>
      <c r="N43" s="182">
        <f>SUMIFS('ALT. ORÇ. E PROJ.'!H:H,'ALT. ORÇ. E PROJ.'!B:B,Tabela6[[#This Row],[PROG.]],'ALT. ORÇ. E PROJ.'!C:C,Tabela6[[#This Row],[PROJETO]],'ALT. ORÇ. E PROJ.'!D:D,Tabela6[[#This Row],[FICHA]])</f>
        <v>500</v>
      </c>
      <c r="O43" s="183">
        <f>SUMIFS(RESERVA!$M:$M,RESERVA!C:C,Tabela6[[#This Row],[PROG.]],RESERVA!D:D,Tabela6[[#This Row],[FICHA]],RESERVA!E:E,Tabela6[[#This Row],[AÇÃO]],RESERVA!F:F,Tabela6[[#This Row],[PROJETO]])</f>
        <v>0</v>
      </c>
      <c r="P43" s="183">
        <f>SUMIFS('EMPENHO '!L:$L,'EMPENHO '!B:B,Tabela6[[#This Row],[PROG.]],'EMPENHO '!C:C,Tabela6[[#This Row],[FICHA]],'EMPENHO '!D:D,Tabela6[[#This Row],[AÇÃO]],'EMPENHO '!E:E,Tabela6[[#This Row],[PROJETO]])</f>
        <v>0</v>
      </c>
      <c r="Q43" s="333">
        <f>Tabela6[[#This Row],[SALDO INICIAL 
COM CONTING.]]-Tabela6[[#This Row],[ANULADO/
CEDIDO]]-Tabela6[[#This Row],[RESERVADO]]-Tabela6[[#This Row],[EMPENHADO]]+Tabela6[[#This Row],[SUPLEMENTADO/
RECEBIDO]]</f>
        <v>500</v>
      </c>
      <c r="R43" t="s">
        <v>775</v>
      </c>
      <c r="S43" s="49"/>
    </row>
    <row r="44" spans="1:19">
      <c r="A44" s="781" t="s">
        <v>207</v>
      </c>
      <c r="B44" s="184">
        <v>29</v>
      </c>
      <c r="C44" s="185">
        <v>123</v>
      </c>
      <c r="D44" s="782" t="s">
        <v>219</v>
      </c>
      <c r="E44" s="185">
        <v>2241</v>
      </c>
      <c r="F44" s="187" t="s">
        <v>221</v>
      </c>
      <c r="G44" s="185">
        <v>1028</v>
      </c>
      <c r="H44" s="187" t="s">
        <v>226</v>
      </c>
      <c r="I44" s="158">
        <v>1000</v>
      </c>
      <c r="J44" s="158"/>
      <c r="K44" s="158"/>
      <c r="L44" s="158">
        <f>Tabela6[[#This Row],[ORÇADO ]]-Tabela6[[#This Row],[CONT.]]</f>
        <v>1000</v>
      </c>
      <c r="M44" s="182">
        <f>SUMIFS('ALT. ORÇ. E PROJ.'!H:H,'ALT. ORÇ. E PROJ.'!E:E,Tabela6[[#This Row],[PROG.]],'ALT. ORÇ. E PROJ.'!F:F,Tabela6[[#This Row],[PROJETO]],'ALT. ORÇ. E PROJ.'!G:G,Tabela6[[#This Row],[FICHA]])</f>
        <v>0</v>
      </c>
      <c r="N44" s="182">
        <f>SUMIFS('ALT. ORÇ. E PROJ.'!H:H,'ALT. ORÇ. E PROJ.'!B:B,Tabela6[[#This Row],[PROG.]],'ALT. ORÇ. E PROJ.'!C:C,Tabela6[[#This Row],[PROJETO]],'ALT. ORÇ. E PROJ.'!D:D,Tabela6[[#This Row],[FICHA]])</f>
        <v>500</v>
      </c>
      <c r="O44" s="183">
        <f>SUMIFS(RESERVA!$M:$M,RESERVA!C:C,Tabela6[[#This Row],[PROG.]],RESERVA!D:D,Tabela6[[#This Row],[FICHA]],RESERVA!E:E,Tabela6[[#This Row],[AÇÃO]],RESERVA!F:F,Tabela6[[#This Row],[PROJETO]])</f>
        <v>0</v>
      </c>
      <c r="P44" s="183">
        <f>SUMIFS('EMPENHO '!L:$L,'EMPENHO '!B:B,Tabela6[[#This Row],[PROG.]],'EMPENHO '!C:C,Tabela6[[#This Row],[FICHA]],'EMPENHO '!D:D,Tabela6[[#This Row],[AÇÃO]],'EMPENHO '!E:E,Tabela6[[#This Row],[PROJETO]])</f>
        <v>0</v>
      </c>
      <c r="Q44" s="333">
        <f>Tabela6[[#This Row],[SALDO INICIAL 
COM CONTING.]]-Tabela6[[#This Row],[ANULADO/
CEDIDO]]-Tabela6[[#This Row],[RESERVADO]]-Tabela6[[#This Row],[EMPENHADO]]+Tabela6[[#This Row],[SUPLEMENTADO/
RECEBIDO]]</f>
        <v>500</v>
      </c>
      <c r="R44" t="s">
        <v>775</v>
      </c>
      <c r="S44" s="49"/>
    </row>
    <row r="45" spans="1:19">
      <c r="A45" s="177" t="s">
        <v>207</v>
      </c>
      <c r="B45" s="177">
        <v>29</v>
      </c>
      <c r="C45" s="178">
        <v>123</v>
      </c>
      <c r="D45" s="179" t="s">
        <v>219</v>
      </c>
      <c r="E45" s="178">
        <v>2243</v>
      </c>
      <c r="F45" s="180" t="s">
        <v>222</v>
      </c>
      <c r="G45" s="178">
        <v>2123</v>
      </c>
      <c r="H45" s="180" t="s">
        <v>196</v>
      </c>
      <c r="I45" s="181">
        <v>1000</v>
      </c>
      <c r="J45" s="181"/>
      <c r="K45" s="690"/>
      <c r="L45" s="690">
        <f>Tabela6[[#This Row],[ORÇADO ]]-Tabela6[[#This Row],[CONT.]]</f>
        <v>1000</v>
      </c>
      <c r="M45" s="182">
        <f>SUMIFS('ALT. ORÇ. E PROJ.'!H:H,'ALT. ORÇ. E PROJ.'!E:E,Tabela6[[#This Row],[PROG.]],'ALT. ORÇ. E PROJ.'!F:F,Tabela6[[#This Row],[PROJETO]],'ALT. ORÇ. E PROJ.'!G:G,Tabela6[[#This Row],[FICHA]])</f>
        <v>0</v>
      </c>
      <c r="N45" s="182">
        <f>SUMIFS('ALT. ORÇ. E PROJ.'!H:H,'ALT. ORÇ. E PROJ.'!B:B,Tabela6[[#This Row],[PROG.]],'ALT. ORÇ. E PROJ.'!C:C,Tabela6[[#This Row],[PROJETO]],'ALT. ORÇ. E PROJ.'!D:D,Tabela6[[#This Row],[FICHA]])</f>
        <v>500</v>
      </c>
      <c r="O45" s="183">
        <f>SUMIFS(RESERVA!$M:$M,RESERVA!C:C,Tabela6[[#This Row],[PROG.]],RESERVA!D:D,Tabela6[[#This Row],[FICHA]],RESERVA!E:E,Tabela6[[#This Row],[AÇÃO]],RESERVA!F:F,Tabela6[[#This Row],[PROJETO]])</f>
        <v>0</v>
      </c>
      <c r="P45" s="183">
        <f>SUMIFS('EMPENHO '!L:$L,'EMPENHO '!B:B,Tabela6[[#This Row],[PROG.]],'EMPENHO '!C:C,Tabela6[[#This Row],[FICHA]],'EMPENHO '!D:D,Tabela6[[#This Row],[AÇÃO]],'EMPENHO '!E:E,Tabela6[[#This Row],[PROJETO]])</f>
        <v>0</v>
      </c>
      <c r="Q45" s="333">
        <f>Tabela6[[#This Row],[SALDO INICIAL 
COM CONTING.]]-Tabela6[[#This Row],[ANULADO/
CEDIDO]]-Tabela6[[#This Row],[RESERVADO]]-Tabela6[[#This Row],[EMPENHADO]]+Tabela6[[#This Row],[SUPLEMENTADO/
RECEBIDO]]</f>
        <v>500</v>
      </c>
      <c r="R45" t="s">
        <v>775</v>
      </c>
      <c r="S45" s="49"/>
    </row>
    <row r="46" spans="1:19">
      <c r="A46" s="781" t="s">
        <v>207</v>
      </c>
      <c r="B46" s="184">
        <v>29</v>
      </c>
      <c r="C46" s="185">
        <v>123</v>
      </c>
      <c r="D46" s="782" t="s">
        <v>219</v>
      </c>
      <c r="E46" s="185">
        <v>2245</v>
      </c>
      <c r="F46" s="187" t="s">
        <v>223</v>
      </c>
      <c r="G46" s="185">
        <v>2123</v>
      </c>
      <c r="H46" s="187" t="s">
        <v>196</v>
      </c>
      <c r="I46" s="158">
        <v>10000</v>
      </c>
      <c r="J46" s="158"/>
      <c r="K46" s="158"/>
      <c r="L46" s="158">
        <f>Tabela6[[#This Row],[ORÇADO ]]-Tabela6[[#This Row],[CONT.]]</f>
        <v>10000</v>
      </c>
      <c r="M46" s="182">
        <f>SUMIFS('ALT. ORÇ. E PROJ.'!H:H,'ALT. ORÇ. E PROJ.'!E:E,Tabela6[[#This Row],[PROG.]],'ALT. ORÇ. E PROJ.'!F:F,Tabela6[[#This Row],[PROJETO]],'ALT. ORÇ. E PROJ.'!G:G,Tabela6[[#This Row],[FICHA]])</f>
        <v>0</v>
      </c>
      <c r="N46" s="182">
        <f>SUMIFS('ALT. ORÇ. E PROJ.'!H:H,'ALT. ORÇ. E PROJ.'!B:B,Tabela6[[#This Row],[PROG.]],'ALT. ORÇ. E PROJ.'!C:C,Tabela6[[#This Row],[PROJETO]],'ALT. ORÇ. E PROJ.'!D:D,Tabela6[[#This Row],[FICHA]])</f>
        <v>9500</v>
      </c>
      <c r="O46" s="183">
        <f>SUMIFS(RESERVA!$M:$M,RESERVA!C:C,Tabela6[[#This Row],[PROG.]],RESERVA!D:D,Tabela6[[#This Row],[FICHA]],RESERVA!E:E,Tabela6[[#This Row],[AÇÃO]],RESERVA!F:F,Tabela6[[#This Row],[PROJETO]])</f>
        <v>0</v>
      </c>
      <c r="P46" s="183">
        <f>SUMIFS('EMPENHO '!L:$L,'EMPENHO '!B:B,Tabela6[[#This Row],[PROG.]],'EMPENHO '!C:C,Tabela6[[#This Row],[FICHA]],'EMPENHO '!D:D,Tabela6[[#This Row],[AÇÃO]],'EMPENHO '!E:E,Tabela6[[#This Row],[PROJETO]])</f>
        <v>0</v>
      </c>
      <c r="Q46" s="333">
        <f>Tabela6[[#This Row],[SALDO INICIAL 
COM CONTING.]]-Tabela6[[#This Row],[ANULADO/
CEDIDO]]-Tabela6[[#This Row],[RESERVADO]]-Tabela6[[#This Row],[EMPENHADO]]+Tabela6[[#This Row],[SUPLEMENTADO/
RECEBIDO]]</f>
        <v>500</v>
      </c>
      <c r="R46" t="s">
        <v>775</v>
      </c>
      <c r="S46" s="49"/>
    </row>
    <row r="47" spans="1:19">
      <c r="A47" s="177" t="s">
        <v>207</v>
      </c>
      <c r="B47" s="177">
        <v>29</v>
      </c>
      <c r="C47" s="178">
        <v>123</v>
      </c>
      <c r="D47" s="179" t="s">
        <v>219</v>
      </c>
      <c r="E47" s="178">
        <v>2246</v>
      </c>
      <c r="F47" s="180" t="s">
        <v>224</v>
      </c>
      <c r="G47" s="178">
        <v>2123</v>
      </c>
      <c r="H47" s="180" t="s">
        <v>196</v>
      </c>
      <c r="I47" s="181">
        <v>400000</v>
      </c>
      <c r="J47" s="181"/>
      <c r="K47" s="690"/>
      <c r="L47" s="690">
        <f>Tabela6[[#This Row],[ORÇADO ]]-Tabela6[[#This Row],[CONT.]]</f>
        <v>400000</v>
      </c>
      <c r="M47" s="182">
        <f>SUMIFS('ALT. ORÇ. E PROJ.'!H:H,'ALT. ORÇ. E PROJ.'!E:E,Tabela6[[#This Row],[PROG.]],'ALT. ORÇ. E PROJ.'!F:F,Tabela6[[#This Row],[PROJETO]],'ALT. ORÇ. E PROJ.'!G:G,Tabela6[[#This Row],[FICHA]])</f>
        <v>96870</v>
      </c>
      <c r="N47" s="182">
        <f>SUMIFS('ALT. ORÇ. E PROJ.'!H:H,'ALT. ORÇ. E PROJ.'!B:B,Tabela6[[#This Row],[PROG.]],'ALT. ORÇ. E PROJ.'!C:C,Tabela6[[#This Row],[PROJETO]],'ALT. ORÇ. E PROJ.'!D:D,Tabela6[[#This Row],[FICHA]])</f>
        <v>317706.40000000002</v>
      </c>
      <c r="O47" s="183">
        <f>SUMIFS(RESERVA!$M:$M,RESERVA!C:C,Tabela6[[#This Row],[PROG.]],RESERVA!D:D,Tabela6[[#This Row],[FICHA]],RESERVA!E:E,Tabela6[[#This Row],[AÇÃO]],RESERVA!F:F,Tabela6[[#This Row],[PROJETO]])</f>
        <v>0</v>
      </c>
      <c r="P47" s="183">
        <f>SUMIFS('EMPENHO '!L:$L,'EMPENHO '!B:B,Tabela6[[#This Row],[PROG.]],'EMPENHO '!C:C,Tabela6[[#This Row],[FICHA]],'EMPENHO '!D:D,Tabela6[[#This Row],[AÇÃO]],'EMPENHO '!E:E,Tabela6[[#This Row],[PROJETO]])</f>
        <v>179163.6</v>
      </c>
      <c r="Q47" s="333">
        <f>Tabela6[[#This Row],[SALDO INICIAL 
COM CONTING.]]-Tabela6[[#This Row],[ANULADO/
CEDIDO]]-Tabela6[[#This Row],[RESERVADO]]-Tabela6[[#This Row],[EMPENHADO]]+Tabela6[[#This Row],[SUPLEMENTADO/
RECEBIDO]]</f>
        <v>0</v>
      </c>
      <c r="S47" s="49"/>
    </row>
    <row r="48" spans="1:19">
      <c r="A48" s="781" t="s">
        <v>207</v>
      </c>
      <c r="B48" s="184">
        <v>29</v>
      </c>
      <c r="C48" s="185">
        <v>123</v>
      </c>
      <c r="D48" s="186" t="s">
        <v>219</v>
      </c>
      <c r="E48" s="185">
        <v>2247</v>
      </c>
      <c r="F48" s="187" t="s">
        <v>225</v>
      </c>
      <c r="G48" s="185">
        <v>2123</v>
      </c>
      <c r="H48" s="187" t="s">
        <v>196</v>
      </c>
      <c r="I48" s="158">
        <v>200000</v>
      </c>
      <c r="J48" s="158"/>
      <c r="K48" s="158"/>
      <c r="L48" s="158">
        <f>Tabela6[[#This Row],[ORÇADO ]]-Tabela6[[#This Row],[CONT.]]</f>
        <v>200000</v>
      </c>
      <c r="M48" s="182">
        <f>SUMIFS('ALT. ORÇ. E PROJ.'!H:H,'ALT. ORÇ. E PROJ.'!E:E,Tabela6[[#This Row],[PROG.]],'ALT. ORÇ. E PROJ.'!F:F,Tabela6[[#This Row],[PROJETO]],'ALT. ORÇ. E PROJ.'!G:G,Tabela6[[#This Row],[FICHA]])</f>
        <v>0</v>
      </c>
      <c r="N48" s="182">
        <f>SUMIFS('ALT. ORÇ. E PROJ.'!H:H,'ALT. ORÇ. E PROJ.'!B:B,Tabela6[[#This Row],[PROG.]],'ALT. ORÇ. E PROJ.'!C:C,Tabela6[[#This Row],[PROJETO]],'ALT. ORÇ. E PROJ.'!D:D,Tabela6[[#This Row],[FICHA]])</f>
        <v>200000</v>
      </c>
      <c r="O48" s="183">
        <f>SUMIFS(RESERVA!$M:$M,RESERVA!C:C,Tabela6[[#This Row],[PROG.]],RESERVA!D:D,Tabela6[[#This Row],[FICHA]],RESERVA!E:E,Tabela6[[#This Row],[AÇÃO]],RESERVA!F:F,Tabela6[[#This Row],[PROJETO]])</f>
        <v>0</v>
      </c>
      <c r="P48" s="183">
        <f>SUMIFS('EMPENHO '!L:$L,'EMPENHO '!B:B,Tabela6[[#This Row],[PROG.]],'EMPENHO '!C:C,Tabela6[[#This Row],[FICHA]],'EMPENHO '!D:D,Tabela6[[#This Row],[AÇÃO]],'EMPENHO '!E:E,Tabela6[[#This Row],[PROJETO]])</f>
        <v>0</v>
      </c>
      <c r="Q48" s="333">
        <f>Tabela6[[#This Row],[SALDO INICIAL 
COM CONTING.]]-Tabela6[[#This Row],[ANULADO/
CEDIDO]]-Tabela6[[#This Row],[RESERVADO]]-Tabela6[[#This Row],[EMPENHADO]]+Tabela6[[#This Row],[SUPLEMENTADO/
RECEBIDO]]</f>
        <v>0</v>
      </c>
      <c r="S48" s="49"/>
    </row>
    <row r="49" spans="1:19">
      <c r="A49" s="177" t="s">
        <v>171</v>
      </c>
      <c r="B49" s="177">
        <v>32</v>
      </c>
      <c r="C49" s="178">
        <v>136</v>
      </c>
      <c r="D49" s="179" t="s">
        <v>227</v>
      </c>
      <c r="E49" s="178">
        <v>2230</v>
      </c>
      <c r="F49" s="180" t="s">
        <v>177</v>
      </c>
      <c r="G49" s="178">
        <v>2128</v>
      </c>
      <c r="H49" s="180" t="s">
        <v>174</v>
      </c>
      <c r="I49" s="181">
        <v>1000</v>
      </c>
      <c r="J49" s="181">
        <v>500</v>
      </c>
      <c r="K49" s="690"/>
      <c r="L49" s="690">
        <f>Tabela6[[#This Row],[ORÇADO ]]-Tabela6[[#This Row],[CONT.]]</f>
        <v>500</v>
      </c>
      <c r="M49" s="182">
        <f>SUMIFS('ALT. ORÇ. E PROJ.'!H:H,'ALT. ORÇ. E PROJ.'!E:E,Tabela6[[#This Row],[PROG.]],'ALT. ORÇ. E PROJ.'!F:F,Tabela6[[#This Row],[PROJETO]],'ALT. ORÇ. E PROJ.'!G:G,Tabela6[[#This Row],[FICHA]])</f>
        <v>0</v>
      </c>
      <c r="N49" s="182">
        <f>SUMIFS('ALT. ORÇ. E PROJ.'!H:H,'ALT. ORÇ. E PROJ.'!B:B,Tabela6[[#This Row],[PROG.]],'ALT. ORÇ. E PROJ.'!C:C,Tabela6[[#This Row],[PROJETO]],'ALT. ORÇ. E PROJ.'!D:D,Tabela6[[#This Row],[FICHA]])</f>
        <v>500</v>
      </c>
      <c r="O49" s="183">
        <f>SUMIFS(RESERVA!$M:$M,RESERVA!C:C,Tabela6[[#This Row],[PROG.]],RESERVA!D:D,Tabela6[[#This Row],[FICHA]],RESERVA!E:E,Tabela6[[#This Row],[AÇÃO]],RESERVA!F:F,Tabela6[[#This Row],[PROJETO]])</f>
        <v>0</v>
      </c>
      <c r="P49" s="183">
        <f>SUMIFS('EMPENHO '!L:$L,'EMPENHO '!B:B,Tabela6[[#This Row],[PROG.]],'EMPENHO '!C:C,Tabela6[[#This Row],[FICHA]],'EMPENHO '!D:D,Tabela6[[#This Row],[AÇÃO]],'EMPENHO '!E:E,Tabela6[[#This Row],[PROJETO]])</f>
        <v>0</v>
      </c>
      <c r="Q49" s="333">
        <f>Tabela6[[#This Row],[SALDO INICIAL 
COM CONTING.]]-Tabela6[[#This Row],[ANULADO/
CEDIDO]]-Tabela6[[#This Row],[RESERVADO]]-Tabela6[[#This Row],[EMPENHADO]]+Tabela6[[#This Row],[SUPLEMENTADO/
RECEBIDO]]</f>
        <v>0</v>
      </c>
      <c r="S49" s="49"/>
    </row>
    <row r="50" spans="1:19">
      <c r="A50" s="184" t="s">
        <v>171</v>
      </c>
      <c r="B50" s="184">
        <v>32</v>
      </c>
      <c r="C50" s="185">
        <v>138</v>
      </c>
      <c r="D50" s="186" t="s">
        <v>228</v>
      </c>
      <c r="E50" s="185">
        <v>2226</v>
      </c>
      <c r="F50" s="187" t="s">
        <v>186</v>
      </c>
      <c r="G50" s="185">
        <v>2128</v>
      </c>
      <c r="H50" s="187" t="s">
        <v>174</v>
      </c>
      <c r="I50" s="158">
        <v>300000</v>
      </c>
      <c r="J50" s="158"/>
      <c r="K50" s="158"/>
      <c r="L50" s="158">
        <f>Tabela6[[#This Row],[ORÇADO ]]-Tabela6[[#This Row],[CONT.]]</f>
        <v>300000</v>
      </c>
      <c r="M50" s="182">
        <f>SUMIFS('ALT. ORÇ. E PROJ.'!H:H,'ALT. ORÇ. E PROJ.'!E:E,Tabela6[[#This Row],[PROG.]],'ALT. ORÇ. E PROJ.'!F:F,Tabela6[[#This Row],[PROJETO]],'ALT. ORÇ. E PROJ.'!G:G,Tabela6[[#This Row],[FICHA]])</f>
        <v>0</v>
      </c>
      <c r="N50" s="182">
        <f>SUMIFS('ALT. ORÇ. E PROJ.'!H:H,'ALT. ORÇ. E PROJ.'!B:B,Tabela6[[#This Row],[PROG.]],'ALT. ORÇ. E PROJ.'!C:C,Tabela6[[#This Row],[PROJETO]],'ALT. ORÇ. E PROJ.'!D:D,Tabela6[[#This Row],[FICHA]])</f>
        <v>197700</v>
      </c>
      <c r="O50" s="183">
        <f>SUMIFS(RESERVA!$M:$M,RESERVA!C:C,Tabela6[[#This Row],[PROG.]],RESERVA!D:D,Tabela6[[#This Row],[FICHA]],RESERVA!E:E,Tabela6[[#This Row],[AÇÃO]],RESERVA!F:F,Tabela6[[#This Row],[PROJETO]])</f>
        <v>0</v>
      </c>
      <c r="P50" s="183">
        <f>SUMIFS('EMPENHO '!L:$L,'EMPENHO '!B:B,Tabela6[[#This Row],[PROG.]],'EMPENHO '!C:C,Tabela6[[#This Row],[FICHA]],'EMPENHO '!D:D,Tabela6[[#This Row],[AÇÃO]],'EMPENHO '!E:E,Tabela6[[#This Row],[PROJETO]])</f>
        <v>102300</v>
      </c>
      <c r="Q50" s="333">
        <f>Tabela6[[#This Row],[SALDO INICIAL 
COM CONTING.]]-Tabela6[[#This Row],[ANULADO/
CEDIDO]]-Tabela6[[#This Row],[RESERVADO]]-Tabela6[[#This Row],[EMPENHADO]]+Tabela6[[#This Row],[SUPLEMENTADO/
RECEBIDO]]</f>
        <v>0</v>
      </c>
      <c r="S50" s="49"/>
    </row>
    <row r="51" spans="1:19">
      <c r="A51" s="177" t="s">
        <v>171</v>
      </c>
      <c r="B51" s="177">
        <v>32</v>
      </c>
      <c r="C51" s="178">
        <v>138</v>
      </c>
      <c r="D51" s="179" t="s">
        <v>228</v>
      </c>
      <c r="E51" s="178">
        <v>3484</v>
      </c>
      <c r="F51" s="180" t="s">
        <v>392</v>
      </c>
      <c r="G51" s="178">
        <v>2128</v>
      </c>
      <c r="H51" s="180"/>
      <c r="I51" s="775"/>
      <c r="J51" s="775"/>
      <c r="K51" s="775"/>
      <c r="L51" s="775">
        <f>Tabela6[[#This Row],[ORÇADO ]]-Tabela6[[#This Row],[CONT.]]</f>
        <v>0</v>
      </c>
      <c r="M51" s="776">
        <f>SUMIFS('ALT. ORÇ. E PROJ.'!H:H,'ALT. ORÇ. E PROJ.'!E:E,Tabela6[[#This Row],[PROG.]],'ALT. ORÇ. E PROJ.'!F:F,Tabela6[[#This Row],[PROJETO]],'ALT. ORÇ. E PROJ.'!G:G,Tabela6[[#This Row],[FICHA]])</f>
        <v>2738</v>
      </c>
      <c r="N51" s="776">
        <f>SUMIFS('ALT. ORÇ. E PROJ.'!H:H,'ALT. ORÇ. E PROJ.'!B:B,Tabela6[[#This Row],[PROG.]],'ALT. ORÇ. E PROJ.'!C:C,Tabela6[[#This Row],[PROJETO]],'ALT. ORÇ. E PROJ.'!D:D,Tabela6[[#This Row],[FICHA]])</f>
        <v>0</v>
      </c>
      <c r="O51" s="777">
        <f>SUMIFS(RESERVA!$M:$M,RESERVA!C:C,Tabela6[[#This Row],[PROG.]],RESERVA!D:D,Tabela6[[#This Row],[FICHA]],RESERVA!E:E,Tabela6[[#This Row],[AÇÃO]],RESERVA!F:F,Tabela6[[#This Row],[PROJETO]])</f>
        <v>0</v>
      </c>
      <c r="P51" s="777">
        <f>SUMIFS('EMPENHO '!L:$L,'EMPENHO '!B:B,Tabela6[[#This Row],[PROG.]],'EMPENHO '!C:C,Tabela6[[#This Row],[FICHA]],'EMPENHO '!D:D,Tabela6[[#This Row],[AÇÃO]],'EMPENHO '!E:E,Tabela6[[#This Row],[PROJETO]])</f>
        <v>2738</v>
      </c>
      <c r="Q51" s="778">
        <f>Tabela6[[#This Row],[SALDO INICIAL 
COM CONTING.]]-Tabela6[[#This Row],[ANULADO/
CEDIDO]]-Tabela6[[#This Row],[RESERVADO]]-Tabela6[[#This Row],[EMPENHADO]]+Tabela6[[#This Row],[SUPLEMENTADO/
RECEBIDO]]</f>
        <v>0</v>
      </c>
      <c r="S51" s="49"/>
    </row>
    <row r="52" spans="1:19" ht="15" customHeight="1">
      <c r="A52" s="781" t="s">
        <v>166</v>
      </c>
      <c r="B52" s="781">
        <v>30</v>
      </c>
      <c r="C52" s="779">
        <v>153</v>
      </c>
      <c r="D52" s="782" t="s">
        <v>326</v>
      </c>
      <c r="E52" s="779">
        <v>3403</v>
      </c>
      <c r="F52" s="783" t="s">
        <v>328</v>
      </c>
      <c r="G52" s="779">
        <v>1029</v>
      </c>
      <c r="H52" s="50" t="s">
        <v>329</v>
      </c>
      <c r="I52" s="784">
        <v>0</v>
      </c>
      <c r="J52" s="784">
        <v>0</v>
      </c>
      <c r="K52" s="784">
        <v>0</v>
      </c>
      <c r="L52" s="785">
        <f>Tabela6[[#This Row],[ORÇADO ]]-Tabela6[[#This Row],[CONT.]]</f>
        <v>0</v>
      </c>
      <c r="M52" s="182">
        <f>SUMIFS('ALT. ORÇ. E PROJ.'!H:H,'ALT. ORÇ. E PROJ.'!E:E,Tabela6[[#This Row],[PROG.]],'ALT. ORÇ. E PROJ.'!F:F,Tabela6[[#This Row],[PROJETO]],'ALT. ORÇ. E PROJ.'!G:G,Tabela6[[#This Row],[FICHA]])</f>
        <v>643019.36</v>
      </c>
      <c r="N52" s="182">
        <f>SUMIFS('ALT. ORÇ. E PROJ.'!H:H,'ALT. ORÇ. E PROJ.'!B:B,Tabela6[[#This Row],[PROG.]],'ALT. ORÇ. E PROJ.'!C:C,Tabela6[[#This Row],[PROJETO]],'ALT. ORÇ. E PROJ.'!D:D,Tabela6[[#This Row],[FICHA]])</f>
        <v>0</v>
      </c>
      <c r="O52" s="183">
        <f>SUMIFS(RESERVA!$M:$M,RESERVA!C:C,Tabela6[[#This Row],[PROG.]],RESERVA!D:D,Tabela6[[#This Row],[FICHA]],RESERVA!E:E,Tabela6[[#This Row],[AÇÃO]],RESERVA!F:F,Tabela6[[#This Row],[PROJETO]])</f>
        <v>0</v>
      </c>
      <c r="P52" s="183">
        <f>SUMIFS('EMPENHO '!L:$L,'EMPENHO '!B:B,Tabela6[[#This Row],[PROG.]],'EMPENHO '!C:C,Tabela6[[#This Row],[FICHA]],'EMPENHO '!D:D,Tabela6[[#This Row],[AÇÃO]],'EMPENHO '!E:E,Tabela6[[#This Row],[PROJETO]])</f>
        <v>643019.36</v>
      </c>
      <c r="Q52" s="333">
        <f>Tabela6[[#This Row],[SALDO INICIAL 
COM CONTING.]]-Tabela6[[#This Row],[ANULADO/
CEDIDO]]-Tabela6[[#This Row],[RESERVADO]]-Tabela6[[#This Row],[EMPENHADO]]+Tabela6[[#This Row],[SUPLEMENTADO/
RECEBIDO]]</f>
        <v>0</v>
      </c>
      <c r="S52" s="49"/>
    </row>
    <row r="53" spans="1:19">
      <c r="A53" s="177" t="s">
        <v>207</v>
      </c>
      <c r="B53" s="177">
        <v>29</v>
      </c>
      <c r="C53" s="178">
        <v>181</v>
      </c>
      <c r="D53" s="179" t="s">
        <v>229</v>
      </c>
      <c r="E53" s="178">
        <v>2242</v>
      </c>
      <c r="F53" s="180" t="s">
        <v>231</v>
      </c>
      <c r="G53" s="178">
        <v>1028</v>
      </c>
      <c r="H53" s="180" t="s">
        <v>226</v>
      </c>
      <c r="I53" s="181">
        <v>1100000</v>
      </c>
      <c r="J53" s="181"/>
      <c r="K53" s="690"/>
      <c r="L53" s="690">
        <f>Tabela6[[#This Row],[ORÇADO ]]-Tabela6[[#This Row],[CONT.]]</f>
        <v>1100000</v>
      </c>
      <c r="M53" s="182">
        <f>SUMIFS('ALT. ORÇ. E PROJ.'!H:H,'ALT. ORÇ. E PROJ.'!E:E,Tabela6[[#This Row],[PROG.]],'ALT. ORÇ. E PROJ.'!F:F,Tabela6[[#This Row],[PROJETO]],'ALT. ORÇ. E PROJ.'!G:G,Tabela6[[#This Row],[FICHA]])</f>
        <v>571544.82999999996</v>
      </c>
      <c r="N53" s="182">
        <f>SUMIFS('ALT. ORÇ. E PROJ.'!H:H,'ALT. ORÇ. E PROJ.'!B:B,Tabela6[[#This Row],[PROG.]],'ALT. ORÇ. E PROJ.'!C:C,Tabela6[[#This Row],[PROJETO]],'ALT. ORÇ. E PROJ.'!D:D,Tabela6[[#This Row],[FICHA]])</f>
        <v>1140325.97</v>
      </c>
      <c r="O53" s="183">
        <f>SUMIFS(RESERVA!$M:$M,RESERVA!C:C,Tabela6[[#This Row],[PROG.]],RESERVA!D:D,Tabela6[[#This Row],[FICHA]],RESERVA!E:E,Tabela6[[#This Row],[AÇÃO]],RESERVA!F:F,Tabela6[[#This Row],[PROJETO]])</f>
        <v>0</v>
      </c>
      <c r="P53" s="183">
        <f>SUMIFS('EMPENHO '!L:$L,'EMPENHO '!B:B,Tabela6[[#This Row],[PROG.]],'EMPENHO '!C:C,Tabela6[[#This Row],[FICHA]],'EMPENHO '!D:D,Tabela6[[#This Row],[AÇÃO]],'EMPENHO '!E:E,Tabela6[[#This Row],[PROJETO]])</f>
        <v>531218.86</v>
      </c>
      <c r="Q53" s="333">
        <f>Tabela6[[#This Row],[SALDO INICIAL 
COM CONTING.]]-Tabela6[[#This Row],[ANULADO/
CEDIDO]]-Tabela6[[#This Row],[RESERVADO]]-Tabela6[[#This Row],[EMPENHADO]]+Tabela6[[#This Row],[SUPLEMENTADO/
RECEBIDO]]</f>
        <v>0</v>
      </c>
      <c r="S53" s="49"/>
    </row>
    <row r="54" spans="1:19">
      <c r="A54" s="184" t="s">
        <v>207</v>
      </c>
      <c r="B54" s="184">
        <v>29</v>
      </c>
      <c r="C54" s="185">
        <v>184</v>
      </c>
      <c r="D54" s="186" t="s">
        <v>230</v>
      </c>
      <c r="E54" s="185">
        <v>2242</v>
      </c>
      <c r="F54" s="187" t="s">
        <v>231</v>
      </c>
      <c r="G54" s="185">
        <v>1028</v>
      </c>
      <c r="H54" s="187" t="s">
        <v>226</v>
      </c>
      <c r="I54" s="158">
        <v>2500000</v>
      </c>
      <c r="J54" s="158"/>
      <c r="K54" s="158"/>
      <c r="L54" s="158">
        <f>Tabela6[[#This Row],[ORÇADO ]]-Tabela6[[#This Row],[CONT.]]</f>
        <v>2500000</v>
      </c>
      <c r="M54" s="182">
        <f>SUMIFS('ALT. ORÇ. E PROJ.'!H:H,'ALT. ORÇ. E PROJ.'!E:E,Tabela6[[#This Row],[PROG.]],'ALT. ORÇ. E PROJ.'!F:F,Tabela6[[#This Row],[PROJETO]],'ALT. ORÇ. E PROJ.'!G:G,Tabela6[[#This Row],[FICHA]])</f>
        <v>0</v>
      </c>
      <c r="N54" s="182">
        <f>SUMIFS('ALT. ORÇ. E PROJ.'!H:H,'ALT. ORÇ. E PROJ.'!B:B,Tabela6[[#This Row],[PROG.]],'ALT. ORÇ. E PROJ.'!C:C,Tabela6[[#This Row],[PROJETO]],'ALT. ORÇ. E PROJ.'!D:D,Tabela6[[#This Row],[FICHA]])</f>
        <v>1423382.91</v>
      </c>
      <c r="O54" s="183">
        <f>SUMIFS(RESERVA!$M:$M,RESERVA!C:C,Tabela6[[#This Row],[PROG.]],RESERVA!D:D,Tabela6[[#This Row],[FICHA]],RESERVA!E:E,Tabela6[[#This Row],[AÇÃO]],RESERVA!F:F,Tabela6[[#This Row],[PROJETO]])</f>
        <v>0</v>
      </c>
      <c r="P54" s="183">
        <f>SUMIFS('EMPENHO '!L:$L,'EMPENHO '!B:B,Tabela6[[#This Row],[PROG.]],'EMPENHO '!C:C,Tabela6[[#This Row],[FICHA]],'EMPENHO '!D:D,Tabela6[[#This Row],[AÇÃO]],'EMPENHO '!E:E,Tabela6[[#This Row],[PROJETO]])</f>
        <v>1076617.0900000001</v>
      </c>
      <c r="Q54" s="333">
        <f>Tabela6[[#This Row],[SALDO INICIAL 
COM CONTING.]]-Tabela6[[#This Row],[ANULADO/
CEDIDO]]-Tabela6[[#This Row],[RESERVADO]]-Tabela6[[#This Row],[EMPENHADO]]+Tabela6[[#This Row],[SUPLEMENTADO/
RECEBIDO]]</f>
        <v>0</v>
      </c>
      <c r="S54" s="49"/>
    </row>
    <row r="55" spans="1:19">
      <c r="A55" s="177" t="s">
        <v>171</v>
      </c>
      <c r="B55" s="177">
        <v>32</v>
      </c>
      <c r="C55" s="178">
        <v>201</v>
      </c>
      <c r="D55" s="179" t="s">
        <v>232</v>
      </c>
      <c r="E55" s="178">
        <v>2229</v>
      </c>
      <c r="F55" s="180" t="s">
        <v>176</v>
      </c>
      <c r="G55" s="178">
        <v>2128</v>
      </c>
      <c r="H55" s="180" t="s">
        <v>174</v>
      </c>
      <c r="I55" s="181">
        <v>1000</v>
      </c>
      <c r="J55" s="181">
        <v>500</v>
      </c>
      <c r="K55" s="690"/>
      <c r="L55" s="690">
        <f>Tabela6[[#This Row],[ORÇADO ]]-Tabela6[[#This Row],[CONT.]]</f>
        <v>500</v>
      </c>
      <c r="M55" s="182">
        <f>SUMIFS('ALT. ORÇ. E PROJ.'!H:H,'ALT. ORÇ. E PROJ.'!E:E,Tabela6[[#This Row],[PROG.]],'ALT. ORÇ. E PROJ.'!F:F,Tabela6[[#This Row],[PROJETO]],'ALT. ORÇ. E PROJ.'!G:G,Tabela6[[#This Row],[FICHA]])</f>
        <v>0</v>
      </c>
      <c r="N55" s="182">
        <f>SUMIFS('ALT. ORÇ. E PROJ.'!H:H,'ALT. ORÇ. E PROJ.'!B:B,Tabela6[[#This Row],[PROG.]],'ALT. ORÇ. E PROJ.'!C:C,Tabela6[[#This Row],[PROJETO]],'ALT. ORÇ. E PROJ.'!D:D,Tabela6[[#This Row],[FICHA]])</f>
        <v>500</v>
      </c>
      <c r="O55" s="183">
        <f>SUMIFS(RESERVA!$M:$M,RESERVA!C:C,Tabela6[[#This Row],[PROG.]],RESERVA!D:D,Tabela6[[#This Row],[FICHA]],RESERVA!E:E,Tabela6[[#This Row],[AÇÃO]],RESERVA!F:F,Tabela6[[#This Row],[PROJETO]])</f>
        <v>0</v>
      </c>
      <c r="P55" s="183">
        <f>SUMIFS('EMPENHO '!L:$L,'EMPENHO '!B:B,Tabela6[[#This Row],[PROG.]],'EMPENHO '!C:C,Tabela6[[#This Row],[FICHA]],'EMPENHO '!D:D,Tabela6[[#This Row],[AÇÃO]],'EMPENHO '!E:E,Tabela6[[#This Row],[PROJETO]])</f>
        <v>0</v>
      </c>
      <c r="Q55" s="333">
        <f>Tabela6[[#This Row],[SALDO INICIAL 
COM CONTING.]]-Tabela6[[#This Row],[ANULADO/
CEDIDO]]-Tabela6[[#This Row],[RESERVADO]]-Tabela6[[#This Row],[EMPENHADO]]+Tabela6[[#This Row],[SUPLEMENTADO/
RECEBIDO]]</f>
        <v>0</v>
      </c>
      <c r="S55" s="49"/>
    </row>
    <row r="56" spans="1:19">
      <c r="A56" s="184" t="s">
        <v>171</v>
      </c>
      <c r="B56" s="184">
        <v>32</v>
      </c>
      <c r="C56" s="185">
        <v>237</v>
      </c>
      <c r="D56" s="186" t="s">
        <v>233</v>
      </c>
      <c r="E56" s="185">
        <v>2229</v>
      </c>
      <c r="F56" s="187" t="s">
        <v>176</v>
      </c>
      <c r="G56" s="185">
        <v>2128</v>
      </c>
      <c r="H56" s="187" t="s">
        <v>174</v>
      </c>
      <c r="I56" s="158">
        <v>4800000</v>
      </c>
      <c r="J56" s="158"/>
      <c r="K56" s="158"/>
      <c r="L56" s="158">
        <f>Tabela6[[#This Row],[ORÇADO ]]-Tabela6[[#This Row],[CONT.]]</f>
        <v>4800000</v>
      </c>
      <c r="M56" s="182">
        <f>SUMIFS('ALT. ORÇ. E PROJ.'!H:H,'ALT. ORÇ. E PROJ.'!E:E,Tabela6[[#This Row],[PROG.]],'ALT. ORÇ. E PROJ.'!F:F,Tabela6[[#This Row],[PROJETO]],'ALT. ORÇ. E PROJ.'!G:G,Tabela6[[#This Row],[FICHA]])</f>
        <v>0</v>
      </c>
      <c r="N56" s="182">
        <f>SUMIFS('ALT. ORÇ. E PROJ.'!H:H,'ALT. ORÇ. E PROJ.'!B:B,Tabela6[[#This Row],[PROG.]],'ALT. ORÇ. E PROJ.'!C:C,Tabela6[[#This Row],[PROJETO]],'ALT. ORÇ. E PROJ.'!D:D,Tabela6[[#This Row],[FICHA]])</f>
        <v>2210079.9700000002</v>
      </c>
      <c r="O56" s="183">
        <f>SUMIFS(RESERVA!$M:$M,RESERVA!C:C,Tabela6[[#This Row],[PROG.]],RESERVA!D:D,Tabela6[[#This Row],[FICHA]],RESERVA!E:E,Tabela6[[#This Row],[AÇÃO]],RESERVA!F:F,Tabela6[[#This Row],[PROJETO]])</f>
        <v>0</v>
      </c>
      <c r="P56" s="183">
        <f>SUMIFS('EMPENHO '!L:$L,'EMPENHO '!B:B,Tabela6[[#This Row],[PROG.]],'EMPENHO '!C:C,Tabela6[[#This Row],[FICHA]],'EMPENHO '!D:D,Tabela6[[#This Row],[AÇÃO]],'EMPENHO '!E:E,Tabela6[[#This Row],[PROJETO]])</f>
        <v>2589920.0299999998</v>
      </c>
      <c r="Q56" s="333">
        <f>Tabela6[[#This Row],[SALDO INICIAL 
COM CONTING.]]-Tabela6[[#This Row],[ANULADO/
CEDIDO]]-Tabela6[[#This Row],[RESERVADO]]-Tabela6[[#This Row],[EMPENHADO]]+Tabela6[[#This Row],[SUPLEMENTADO/
RECEBIDO]]</f>
        <v>0</v>
      </c>
      <c r="S56" s="49"/>
    </row>
    <row r="57" spans="1:19">
      <c r="A57" s="177" t="s">
        <v>171</v>
      </c>
      <c r="B57" s="177">
        <v>32</v>
      </c>
      <c r="C57" s="178">
        <v>242</v>
      </c>
      <c r="D57" s="179" t="s">
        <v>234</v>
      </c>
      <c r="E57" s="178">
        <v>2229</v>
      </c>
      <c r="F57" s="180" t="s">
        <v>176</v>
      </c>
      <c r="G57" s="178">
        <v>2128</v>
      </c>
      <c r="H57" s="180" t="s">
        <v>174</v>
      </c>
      <c r="I57" s="181">
        <v>4600000</v>
      </c>
      <c r="J57" s="181"/>
      <c r="K57" s="690"/>
      <c r="L57" s="690">
        <f>Tabela6[[#This Row],[ORÇADO ]]-Tabela6[[#This Row],[CONT.]]</f>
        <v>4600000</v>
      </c>
      <c r="M57" s="182">
        <f>SUMIFS('ALT. ORÇ. E PROJ.'!H:H,'ALT. ORÇ. E PROJ.'!E:E,Tabela6[[#This Row],[PROG.]],'ALT. ORÇ. E PROJ.'!F:F,Tabela6[[#This Row],[PROJETO]],'ALT. ORÇ. E PROJ.'!G:G,Tabela6[[#This Row],[FICHA]])</f>
        <v>0</v>
      </c>
      <c r="N57" s="182">
        <f>SUMIFS('ALT. ORÇ. E PROJ.'!H:H,'ALT. ORÇ. E PROJ.'!B:B,Tabela6[[#This Row],[PROG.]],'ALT. ORÇ. E PROJ.'!C:C,Tabela6[[#This Row],[PROJETO]],'ALT. ORÇ. E PROJ.'!D:D,Tabela6[[#This Row],[FICHA]])</f>
        <v>2475381.2400000002</v>
      </c>
      <c r="O57" s="183">
        <f>SUMIFS(RESERVA!$M:$M,RESERVA!C:C,Tabela6[[#This Row],[PROG.]],RESERVA!D:D,Tabela6[[#This Row],[FICHA]],RESERVA!E:E,Tabela6[[#This Row],[AÇÃO]],RESERVA!F:F,Tabela6[[#This Row],[PROJETO]])</f>
        <v>0</v>
      </c>
      <c r="P57" s="183">
        <f>SUMIFS('EMPENHO '!L:$L,'EMPENHO '!B:B,Tabela6[[#This Row],[PROG.]],'EMPENHO '!C:C,Tabela6[[#This Row],[FICHA]],'EMPENHO '!D:D,Tabela6[[#This Row],[AÇÃO]],'EMPENHO '!E:E,Tabela6[[#This Row],[PROJETO]])</f>
        <v>1854313.12</v>
      </c>
      <c r="Q57" s="333">
        <f>Tabela6[[#This Row],[SALDO INICIAL 
COM CONTING.]]-Tabela6[[#This Row],[ANULADO/
CEDIDO]]-Tabela6[[#This Row],[RESERVADO]]-Tabela6[[#This Row],[EMPENHADO]]+Tabela6[[#This Row],[SUPLEMENTADO/
RECEBIDO]]</f>
        <v>270305.64</v>
      </c>
      <c r="R57" s="10" t="s">
        <v>775</v>
      </c>
      <c r="S57" s="49"/>
    </row>
    <row r="58" spans="1:19">
      <c r="A58" s="184" t="s">
        <v>207</v>
      </c>
      <c r="B58" s="184">
        <v>32</v>
      </c>
      <c r="C58" s="185">
        <v>245</v>
      </c>
      <c r="D58" s="186" t="s">
        <v>235</v>
      </c>
      <c r="E58" s="185">
        <v>2229</v>
      </c>
      <c r="F58" s="187" t="s">
        <v>176</v>
      </c>
      <c r="G58" s="185">
        <v>2128</v>
      </c>
      <c r="H58" s="187" t="s">
        <v>174</v>
      </c>
      <c r="I58" s="158">
        <v>50000</v>
      </c>
      <c r="J58" s="158"/>
      <c r="K58" s="158"/>
      <c r="L58" s="158">
        <f>Tabela6[[#This Row],[ORÇADO ]]-Tabela6[[#This Row],[CONT.]]</f>
        <v>50000</v>
      </c>
      <c r="M58" s="182">
        <f>SUMIFS('ALT. ORÇ. E PROJ.'!H:H,'ALT. ORÇ. E PROJ.'!E:E,Tabela6[[#This Row],[PROG.]],'ALT. ORÇ. E PROJ.'!F:F,Tabela6[[#This Row],[PROJETO]],'ALT. ORÇ. E PROJ.'!G:G,Tabela6[[#This Row],[FICHA]])</f>
        <v>25994</v>
      </c>
      <c r="N58" s="182">
        <f>SUMIFS('ALT. ORÇ. E PROJ.'!H:H,'ALT. ORÇ. E PROJ.'!B:B,Tabela6[[#This Row],[PROG.]],'ALT. ORÇ. E PROJ.'!C:C,Tabela6[[#This Row],[PROJETO]],'ALT. ORÇ. E PROJ.'!D:D,Tabela6[[#This Row],[FICHA]])</f>
        <v>25198</v>
      </c>
      <c r="O58" s="183">
        <f>SUMIFS(RESERVA!$M:$M,RESERVA!C:C,Tabela6[[#This Row],[PROG.]],RESERVA!D:D,Tabela6[[#This Row],[FICHA]],RESERVA!E:E,Tabela6[[#This Row],[AÇÃO]],RESERVA!F:F,Tabela6[[#This Row],[PROJETO]])</f>
        <v>0</v>
      </c>
      <c r="P58" s="183">
        <f>SUMIFS('EMPENHO '!L:$L,'EMPENHO '!B:B,Tabela6[[#This Row],[PROG.]],'EMPENHO '!C:C,Tabela6[[#This Row],[FICHA]],'EMPENHO '!D:D,Tabela6[[#This Row],[AÇÃO]],'EMPENHO '!E:E,Tabela6[[#This Row],[PROJETO]])</f>
        <v>50796</v>
      </c>
      <c r="Q58" s="333">
        <f>Tabela6[[#This Row],[SALDO INICIAL 
COM CONTING.]]-Tabela6[[#This Row],[ANULADO/
CEDIDO]]-Tabela6[[#This Row],[RESERVADO]]-Tabela6[[#This Row],[EMPENHADO]]+Tabela6[[#This Row],[SUPLEMENTADO/
RECEBIDO]]</f>
        <v>0</v>
      </c>
      <c r="S58" s="49"/>
    </row>
    <row r="59" spans="1:19">
      <c r="A59" s="177" t="s">
        <v>239</v>
      </c>
      <c r="B59" s="177">
        <v>78</v>
      </c>
      <c r="C59" s="178">
        <v>262</v>
      </c>
      <c r="D59" s="179" t="s">
        <v>236</v>
      </c>
      <c r="E59" s="178">
        <v>2755</v>
      </c>
      <c r="F59" s="180" t="s">
        <v>237</v>
      </c>
      <c r="G59" s="178">
        <v>1061</v>
      </c>
      <c r="H59" s="180" t="s">
        <v>240</v>
      </c>
      <c r="I59" s="181">
        <v>98000</v>
      </c>
      <c r="J59" s="181"/>
      <c r="K59" s="690"/>
      <c r="L59" s="690">
        <f>Tabela6[[#This Row],[ORÇADO ]]-Tabela6[[#This Row],[CONT.]]</f>
        <v>98000</v>
      </c>
      <c r="M59" s="182">
        <f>SUMIFS('ALT. ORÇ. E PROJ.'!H:H,'ALT. ORÇ. E PROJ.'!E:E,Tabela6[[#This Row],[PROG.]],'ALT. ORÇ. E PROJ.'!F:F,Tabela6[[#This Row],[PROJETO]],'ALT. ORÇ. E PROJ.'!G:G,Tabela6[[#This Row],[FICHA]])</f>
        <v>0</v>
      </c>
      <c r="N59" s="182">
        <f>SUMIFS('ALT. ORÇ. E PROJ.'!H:H,'ALT. ORÇ. E PROJ.'!B:B,Tabela6[[#This Row],[PROG.]],'ALT. ORÇ. E PROJ.'!C:C,Tabela6[[#This Row],[PROJETO]],'ALT. ORÇ. E PROJ.'!D:D,Tabela6[[#This Row],[FICHA]])</f>
        <v>400</v>
      </c>
      <c r="O59" s="183">
        <f>SUMIFS(RESERVA!$M:$M,RESERVA!C:C,Tabela6[[#This Row],[PROG.]],RESERVA!D:D,Tabela6[[#This Row],[FICHA]],RESERVA!E:E,Tabela6[[#This Row],[AÇÃO]],RESERVA!F:F,Tabela6[[#This Row],[PROJETO]])</f>
        <v>0</v>
      </c>
      <c r="P59" s="183">
        <f>SUMIFS('EMPENHO '!L:$L,'EMPENHO '!B:B,Tabela6[[#This Row],[PROG.]],'EMPENHO '!C:C,Tabela6[[#This Row],[FICHA]],'EMPENHO '!D:D,Tabela6[[#This Row],[AÇÃO]],'EMPENHO '!E:E,Tabela6[[#This Row],[PROJETO]])</f>
        <v>97600</v>
      </c>
      <c r="Q59" s="333">
        <f>Tabela6[[#This Row],[SALDO INICIAL 
COM CONTING.]]-Tabela6[[#This Row],[ANULADO/
CEDIDO]]-Tabela6[[#This Row],[RESERVADO]]-Tabela6[[#This Row],[EMPENHADO]]+Tabela6[[#This Row],[SUPLEMENTADO/
RECEBIDO]]</f>
        <v>0</v>
      </c>
      <c r="S59" s="49"/>
    </row>
    <row r="60" spans="1:19">
      <c r="A60" s="184" t="s">
        <v>239</v>
      </c>
      <c r="B60" s="184">
        <v>78</v>
      </c>
      <c r="C60" s="185">
        <v>262</v>
      </c>
      <c r="D60" s="186" t="s">
        <v>236</v>
      </c>
      <c r="E60" s="185">
        <v>2957</v>
      </c>
      <c r="F60" s="187" t="s">
        <v>238</v>
      </c>
      <c r="G60" s="185">
        <v>1061</v>
      </c>
      <c r="H60" s="187" t="s">
        <v>240</v>
      </c>
      <c r="I60" s="158">
        <v>1000</v>
      </c>
      <c r="J60" s="158"/>
      <c r="K60" s="158"/>
      <c r="L60" s="158">
        <f>Tabela6[[#This Row],[ORÇADO ]]-Tabela6[[#This Row],[CONT.]]</f>
        <v>1000</v>
      </c>
      <c r="M60" s="182">
        <f>SUMIFS('ALT. ORÇ. E PROJ.'!H:H,'ALT. ORÇ. E PROJ.'!E:E,Tabela6[[#This Row],[PROG.]],'ALT. ORÇ. E PROJ.'!F:F,Tabela6[[#This Row],[PROJETO]],'ALT. ORÇ. E PROJ.'!G:G,Tabela6[[#This Row],[FICHA]])</f>
        <v>0</v>
      </c>
      <c r="N60" s="182">
        <f>SUMIFS('ALT. ORÇ. E PROJ.'!H:H,'ALT. ORÇ. E PROJ.'!B:B,Tabela6[[#This Row],[PROG.]],'ALT. ORÇ. E PROJ.'!C:C,Tabela6[[#This Row],[PROJETO]],'ALT. ORÇ. E PROJ.'!D:D,Tabela6[[#This Row],[FICHA]])</f>
        <v>1000</v>
      </c>
      <c r="O60" s="183">
        <f>SUMIFS(RESERVA!$M:$M,RESERVA!C:C,Tabela6[[#This Row],[PROG.]],RESERVA!D:D,Tabela6[[#This Row],[FICHA]],RESERVA!E:E,Tabela6[[#This Row],[AÇÃO]],RESERVA!F:F,Tabela6[[#This Row],[PROJETO]])</f>
        <v>0</v>
      </c>
      <c r="P60" s="183">
        <f>SUMIFS('EMPENHO '!L:$L,'EMPENHO '!B:B,Tabela6[[#This Row],[PROG.]],'EMPENHO '!C:C,Tabela6[[#This Row],[FICHA]],'EMPENHO '!D:D,Tabela6[[#This Row],[AÇÃO]],'EMPENHO '!E:E,Tabela6[[#This Row],[PROJETO]])</f>
        <v>0</v>
      </c>
      <c r="Q60" s="333">
        <f>Tabela6[[#This Row],[SALDO INICIAL 
COM CONTING.]]-Tabela6[[#This Row],[ANULADO/
CEDIDO]]-Tabela6[[#This Row],[RESERVADO]]-Tabela6[[#This Row],[EMPENHADO]]+Tabela6[[#This Row],[SUPLEMENTADO/
RECEBIDO]]</f>
        <v>0</v>
      </c>
      <c r="S60" s="49"/>
    </row>
    <row r="61" spans="1:19">
      <c r="A61" s="177" t="s">
        <v>171</v>
      </c>
      <c r="B61" s="177">
        <v>32</v>
      </c>
      <c r="C61" s="178">
        <v>314</v>
      </c>
      <c r="D61" s="179" t="s">
        <v>241</v>
      </c>
      <c r="E61" s="178">
        <v>2226</v>
      </c>
      <c r="F61" s="180" t="s">
        <v>186</v>
      </c>
      <c r="G61" s="178">
        <v>2128</v>
      </c>
      <c r="H61" s="180" t="s">
        <v>174</v>
      </c>
      <c r="I61" s="181">
        <v>23000</v>
      </c>
      <c r="J61" s="181"/>
      <c r="K61" s="690"/>
      <c r="L61" s="690">
        <f>Tabela6[[#This Row],[ORÇADO ]]-Tabela6[[#This Row],[CONT.]]</f>
        <v>23000</v>
      </c>
      <c r="M61" s="182">
        <f>SUMIFS('ALT. ORÇ. E PROJ.'!H:H,'ALT. ORÇ. E PROJ.'!E:E,Tabela6[[#This Row],[PROG.]],'ALT. ORÇ. E PROJ.'!F:F,Tabela6[[#This Row],[PROJETO]],'ALT. ORÇ. E PROJ.'!G:G,Tabela6[[#This Row],[FICHA]])</f>
        <v>0</v>
      </c>
      <c r="N61" s="182">
        <f>SUMIFS('ALT. ORÇ. E PROJ.'!H:H,'ALT. ORÇ. E PROJ.'!B:B,Tabela6[[#This Row],[PROG.]],'ALT. ORÇ. E PROJ.'!C:C,Tabela6[[#This Row],[PROJETO]],'ALT. ORÇ. E PROJ.'!D:D,Tabela6[[#This Row],[FICHA]])</f>
        <v>12394.8</v>
      </c>
      <c r="O61" s="183">
        <f>SUMIFS(RESERVA!$M:$M,RESERVA!C:C,Tabela6[[#This Row],[PROG.]],RESERVA!D:D,Tabela6[[#This Row],[FICHA]],RESERVA!E:E,Tabela6[[#This Row],[AÇÃO]],RESERVA!F:F,Tabela6[[#This Row],[PROJETO]])</f>
        <v>0</v>
      </c>
      <c r="P61" s="183">
        <f>SUMIFS('EMPENHO '!L:$L,'EMPENHO '!B:B,Tabela6[[#This Row],[PROG.]],'EMPENHO '!C:C,Tabela6[[#This Row],[FICHA]],'EMPENHO '!D:D,Tabela6[[#This Row],[AÇÃO]],'EMPENHO '!E:E,Tabela6[[#This Row],[PROJETO]])</f>
        <v>10605.2</v>
      </c>
      <c r="Q61" s="333">
        <f>Tabela6[[#This Row],[SALDO INICIAL 
COM CONTING.]]-Tabela6[[#This Row],[ANULADO/
CEDIDO]]-Tabela6[[#This Row],[RESERVADO]]-Tabela6[[#This Row],[EMPENHADO]]+Tabela6[[#This Row],[SUPLEMENTADO/
RECEBIDO]]</f>
        <v>0</v>
      </c>
      <c r="S61" s="49"/>
    </row>
    <row r="62" spans="1:19">
      <c r="A62" s="184" t="s">
        <v>171</v>
      </c>
      <c r="B62" s="184">
        <v>32</v>
      </c>
      <c r="C62" s="185">
        <v>314</v>
      </c>
      <c r="D62" s="186" t="s">
        <v>241</v>
      </c>
      <c r="E62" s="185">
        <v>2229</v>
      </c>
      <c r="F62" s="187" t="s">
        <v>176</v>
      </c>
      <c r="G62" s="185">
        <v>2128</v>
      </c>
      <c r="H62" s="187" t="s">
        <v>174</v>
      </c>
      <c r="I62" s="158">
        <v>55000</v>
      </c>
      <c r="J62" s="158"/>
      <c r="K62" s="158"/>
      <c r="L62" s="158">
        <f>Tabela6[[#This Row],[ORÇADO ]]-Tabela6[[#This Row],[CONT.]]</f>
        <v>55000</v>
      </c>
      <c r="M62" s="182">
        <f>SUMIFS('ALT. ORÇ. E PROJ.'!H:H,'ALT. ORÇ. E PROJ.'!E:E,Tabela6[[#This Row],[PROG.]],'ALT. ORÇ. E PROJ.'!F:F,Tabela6[[#This Row],[PROJETO]],'ALT. ORÇ. E PROJ.'!G:G,Tabela6[[#This Row],[FICHA]])</f>
        <v>9413</v>
      </c>
      <c r="N62" s="182">
        <f>SUMIFS('ALT. ORÇ. E PROJ.'!H:H,'ALT. ORÇ. E PROJ.'!B:B,Tabela6[[#This Row],[PROG.]],'ALT. ORÇ. E PROJ.'!C:C,Tabela6[[#This Row],[PROJETO]],'ALT. ORÇ. E PROJ.'!D:D,Tabela6[[#This Row],[FICHA]])</f>
        <v>32206.5</v>
      </c>
      <c r="O62" s="183">
        <f>SUMIFS(RESERVA!$M:$M,RESERVA!C:C,Tabela6[[#This Row],[PROG.]],RESERVA!D:D,Tabela6[[#This Row],[FICHA]],RESERVA!E:E,Tabela6[[#This Row],[AÇÃO]],RESERVA!F:F,Tabela6[[#This Row],[PROJETO]])</f>
        <v>0</v>
      </c>
      <c r="P62" s="183">
        <f>SUMIFS('EMPENHO '!L:$L,'EMPENHO '!B:B,Tabela6[[#This Row],[PROG.]],'EMPENHO '!C:C,Tabela6[[#This Row],[FICHA]],'EMPENHO '!D:D,Tabela6[[#This Row],[AÇÃO]],'EMPENHO '!E:E,Tabela6[[#This Row],[PROJETO]])</f>
        <v>32206.5</v>
      </c>
      <c r="Q62" s="333">
        <f>Tabela6[[#This Row],[SALDO INICIAL 
COM CONTING.]]-Tabela6[[#This Row],[ANULADO/
CEDIDO]]-Tabela6[[#This Row],[RESERVADO]]-Tabela6[[#This Row],[EMPENHADO]]+Tabela6[[#This Row],[SUPLEMENTADO/
RECEBIDO]]</f>
        <v>0</v>
      </c>
      <c r="S62" s="49"/>
    </row>
    <row r="63" spans="1:19">
      <c r="A63" s="177" t="s">
        <v>171</v>
      </c>
      <c r="B63" s="177">
        <v>32</v>
      </c>
      <c r="C63" s="178">
        <v>314</v>
      </c>
      <c r="D63" s="179" t="s">
        <v>241</v>
      </c>
      <c r="E63" s="178">
        <v>3484</v>
      </c>
      <c r="F63" s="180" t="s">
        <v>392</v>
      </c>
      <c r="G63" s="178">
        <v>2128</v>
      </c>
      <c r="H63" s="180" t="s">
        <v>174</v>
      </c>
      <c r="I63" s="181"/>
      <c r="J63" s="181"/>
      <c r="K63" s="690"/>
      <c r="L63" s="690">
        <f>Tabela6[[#This Row],[ORÇADO ]]-Tabela6[[#This Row],[CONT.]]</f>
        <v>0</v>
      </c>
      <c r="M63" s="776">
        <f>SUMIFS('ALT. ORÇ. E PROJ.'!H:H,'ALT. ORÇ. E PROJ.'!E:E,Tabela6[[#This Row],[PROG.]],'ALT. ORÇ. E PROJ.'!F:F,Tabela6[[#This Row],[PROJETO]],'ALT. ORÇ. E PROJ.'!G:G,Tabela6[[#This Row],[FICHA]])</f>
        <v>13499.01</v>
      </c>
      <c r="N63" s="776">
        <f>SUMIFS('ALT. ORÇ. E PROJ.'!H:H,'ALT. ORÇ. E PROJ.'!B:B,Tabela6[[#This Row],[PROG.]],'ALT. ORÇ. E PROJ.'!C:C,Tabela6[[#This Row],[PROJETO]],'ALT. ORÇ. E PROJ.'!D:D,Tabela6[[#This Row],[FICHA]])</f>
        <v>0</v>
      </c>
      <c r="O63" s="777">
        <f>SUMIFS(RESERVA!$M:$M,RESERVA!C:C,Tabela6[[#This Row],[PROG.]],RESERVA!D:D,Tabela6[[#This Row],[FICHA]],RESERVA!E:E,Tabela6[[#This Row],[AÇÃO]],RESERVA!F:F,Tabela6[[#This Row],[PROJETO]])</f>
        <v>0</v>
      </c>
      <c r="P63" s="777">
        <f>SUMIFS('EMPENHO '!L:$L,'EMPENHO '!B:B,Tabela6[[#This Row],[PROG.]],'EMPENHO '!C:C,Tabela6[[#This Row],[FICHA]],'EMPENHO '!D:D,Tabela6[[#This Row],[AÇÃO]],'EMPENHO '!E:E,Tabela6[[#This Row],[PROJETO]])</f>
        <v>13499.01</v>
      </c>
      <c r="Q63" s="778">
        <f>Tabela6[[#This Row],[SALDO INICIAL 
COM CONTING.]]-Tabela6[[#This Row],[ANULADO/
CEDIDO]]-Tabela6[[#This Row],[RESERVADO]]-Tabela6[[#This Row],[EMPENHADO]]+Tabela6[[#This Row],[SUPLEMENTADO/
RECEBIDO]]</f>
        <v>0</v>
      </c>
      <c r="S63" s="49"/>
    </row>
    <row r="64" spans="1:19">
      <c r="A64" s="781" t="s">
        <v>171</v>
      </c>
      <c r="B64" s="781">
        <v>32</v>
      </c>
      <c r="C64" s="779">
        <v>329</v>
      </c>
      <c r="D64" s="782" t="s">
        <v>242</v>
      </c>
      <c r="E64" s="779">
        <v>2226</v>
      </c>
      <c r="F64" s="783" t="s">
        <v>186</v>
      </c>
      <c r="G64" s="779">
        <v>2128</v>
      </c>
      <c r="H64" s="783" t="s">
        <v>174</v>
      </c>
      <c r="I64" s="784">
        <v>80000</v>
      </c>
      <c r="J64" s="784"/>
      <c r="K64" s="785"/>
      <c r="L64" s="785">
        <f>Tabela6[[#This Row],[ORÇADO ]]-Tabela6[[#This Row],[CONT.]]</f>
        <v>80000</v>
      </c>
      <c r="M64" s="182">
        <f>SUMIFS('ALT. ORÇ. E PROJ.'!H:H,'ALT. ORÇ. E PROJ.'!E:E,Tabela6[[#This Row],[PROG.]],'ALT. ORÇ. E PROJ.'!F:F,Tabela6[[#This Row],[PROJETO]],'ALT. ORÇ. E PROJ.'!G:G,Tabela6[[#This Row],[FICHA]])</f>
        <v>22466.91</v>
      </c>
      <c r="N64" s="182">
        <f>SUMIFS('ALT. ORÇ. E PROJ.'!H:H,'ALT. ORÇ. E PROJ.'!B:B,Tabela6[[#This Row],[PROG.]],'ALT. ORÇ. E PROJ.'!C:C,Tabela6[[#This Row],[PROJETO]],'ALT. ORÇ. E PROJ.'!D:D,Tabela6[[#This Row],[FICHA]])</f>
        <v>102466.91</v>
      </c>
      <c r="O64" s="183">
        <f>SUMIFS(RESERVA!$M:$M,RESERVA!C:C,Tabela6[[#This Row],[PROG.]],RESERVA!D:D,Tabela6[[#This Row],[FICHA]],RESERVA!E:E,Tabela6[[#This Row],[AÇÃO]],RESERVA!F:F,Tabela6[[#This Row],[PROJETO]])</f>
        <v>0</v>
      </c>
      <c r="P64" s="183">
        <f>SUMIFS('EMPENHO '!L:$L,'EMPENHO '!B:B,Tabela6[[#This Row],[PROG.]],'EMPENHO '!C:C,Tabela6[[#This Row],[FICHA]],'EMPENHO '!D:D,Tabela6[[#This Row],[AÇÃO]],'EMPENHO '!E:E,Tabela6[[#This Row],[PROJETO]])</f>
        <v>0</v>
      </c>
      <c r="Q64" s="333">
        <f>Tabela6[[#This Row],[SALDO INICIAL 
COM CONTING.]]-Tabela6[[#This Row],[ANULADO/
CEDIDO]]-Tabela6[[#This Row],[RESERVADO]]-Tabela6[[#This Row],[EMPENHADO]]+Tabela6[[#This Row],[SUPLEMENTADO/
RECEBIDO]]</f>
        <v>0</v>
      </c>
      <c r="S64" s="49"/>
    </row>
    <row r="65" spans="1:19">
      <c r="A65" s="177" t="s">
        <v>171</v>
      </c>
      <c r="B65" s="177">
        <v>32</v>
      </c>
      <c r="C65" s="178">
        <v>329</v>
      </c>
      <c r="D65" s="179" t="s">
        <v>242</v>
      </c>
      <c r="E65" s="178">
        <v>2229</v>
      </c>
      <c r="F65" s="180" t="s">
        <v>176</v>
      </c>
      <c r="G65" s="178">
        <v>2128</v>
      </c>
      <c r="H65" s="180" t="s">
        <v>174</v>
      </c>
      <c r="I65" s="181">
        <v>1000</v>
      </c>
      <c r="J65" s="181">
        <v>500</v>
      </c>
      <c r="K65" s="690"/>
      <c r="L65" s="690">
        <f>Tabela6[[#This Row],[ORÇADO ]]-Tabela6[[#This Row],[CONT.]]</f>
        <v>500</v>
      </c>
      <c r="M65" s="182">
        <f>SUMIFS('ALT. ORÇ. E PROJ.'!H:H,'ALT. ORÇ. E PROJ.'!E:E,Tabela6[[#This Row],[PROG.]],'ALT. ORÇ. E PROJ.'!F:F,Tabela6[[#This Row],[PROJETO]],'ALT. ORÇ. E PROJ.'!G:G,Tabela6[[#This Row],[FICHA]])</f>
        <v>0</v>
      </c>
      <c r="N65" s="182">
        <f>SUMIFS('ALT. ORÇ. E PROJ.'!H:H,'ALT. ORÇ. E PROJ.'!B:B,Tabela6[[#This Row],[PROG.]],'ALT. ORÇ. E PROJ.'!C:C,Tabela6[[#This Row],[PROJETO]],'ALT. ORÇ. E PROJ.'!D:D,Tabela6[[#This Row],[FICHA]])</f>
        <v>500</v>
      </c>
      <c r="O65" s="183">
        <f>SUMIFS(RESERVA!$M:$M,RESERVA!C:C,Tabela6[[#This Row],[PROG.]],RESERVA!D:D,Tabela6[[#This Row],[FICHA]],RESERVA!E:E,Tabela6[[#This Row],[AÇÃO]],RESERVA!F:F,Tabela6[[#This Row],[PROJETO]])</f>
        <v>0</v>
      </c>
      <c r="P65" s="183">
        <f>SUMIFS('EMPENHO '!L:$L,'EMPENHO '!B:B,Tabela6[[#This Row],[PROG.]],'EMPENHO '!C:C,Tabela6[[#This Row],[FICHA]],'EMPENHO '!D:D,Tabela6[[#This Row],[AÇÃO]],'EMPENHO '!E:E,Tabela6[[#This Row],[PROJETO]])</f>
        <v>0</v>
      </c>
      <c r="Q65" s="333">
        <f>Tabela6[[#This Row],[SALDO INICIAL 
COM CONTING.]]-Tabela6[[#This Row],[ANULADO/
CEDIDO]]-Tabela6[[#This Row],[RESERVADO]]-Tabela6[[#This Row],[EMPENHADO]]+Tabela6[[#This Row],[SUPLEMENTADO/
RECEBIDO]]</f>
        <v>0</v>
      </c>
      <c r="S65" s="49"/>
    </row>
    <row r="66" spans="1:19">
      <c r="A66" s="781" t="s">
        <v>171</v>
      </c>
      <c r="B66" s="781">
        <v>32</v>
      </c>
      <c r="C66" s="779">
        <v>420</v>
      </c>
      <c r="D66" s="782" t="s">
        <v>243</v>
      </c>
      <c r="E66" s="779">
        <v>2668</v>
      </c>
      <c r="F66" s="783" t="s">
        <v>246</v>
      </c>
      <c r="G66" s="779">
        <v>2128</v>
      </c>
      <c r="H66" s="783" t="s">
        <v>174</v>
      </c>
      <c r="I66" s="784">
        <v>1000</v>
      </c>
      <c r="J66" s="784">
        <v>500</v>
      </c>
      <c r="K66" s="785"/>
      <c r="L66" s="785">
        <f>Tabela6[[#This Row],[ORÇADO ]]-Tabela6[[#This Row],[CONT.]]</f>
        <v>500</v>
      </c>
      <c r="M66" s="182">
        <f>SUMIFS('ALT. ORÇ. E PROJ.'!H:H,'ALT. ORÇ. E PROJ.'!E:E,Tabela6[[#This Row],[PROG.]],'ALT. ORÇ. E PROJ.'!F:F,Tabela6[[#This Row],[PROJETO]],'ALT. ORÇ. E PROJ.'!G:G,Tabela6[[#This Row],[FICHA]])</f>
        <v>0</v>
      </c>
      <c r="N66" s="182">
        <f>SUMIFS('ALT. ORÇ. E PROJ.'!H:H,'ALT. ORÇ. E PROJ.'!B:B,Tabela6[[#This Row],[PROG.]],'ALT. ORÇ. E PROJ.'!C:C,Tabela6[[#This Row],[PROJETO]],'ALT. ORÇ. E PROJ.'!D:D,Tabela6[[#This Row],[FICHA]])</f>
        <v>500</v>
      </c>
      <c r="O66" s="183">
        <f>SUMIFS(RESERVA!$M:$M,RESERVA!C:C,Tabela6[[#This Row],[PROG.]],RESERVA!D:D,Tabela6[[#This Row],[FICHA]],RESERVA!E:E,Tabela6[[#This Row],[AÇÃO]],RESERVA!F:F,Tabela6[[#This Row],[PROJETO]])</f>
        <v>0</v>
      </c>
      <c r="P66" s="183">
        <f>SUMIFS('EMPENHO '!L:$L,'EMPENHO '!B:B,Tabela6[[#This Row],[PROG.]],'EMPENHO '!C:C,Tabela6[[#This Row],[FICHA]],'EMPENHO '!D:D,Tabela6[[#This Row],[AÇÃO]],'EMPENHO '!E:E,Tabela6[[#This Row],[PROJETO]])</f>
        <v>0</v>
      </c>
      <c r="Q66" s="333">
        <f>Tabela6[[#This Row],[SALDO INICIAL 
COM CONTING.]]-Tabela6[[#This Row],[ANULADO/
CEDIDO]]-Tabela6[[#This Row],[RESERVADO]]-Tabela6[[#This Row],[EMPENHADO]]+Tabela6[[#This Row],[SUPLEMENTADO/
RECEBIDO]]</f>
        <v>0</v>
      </c>
      <c r="R66" s="12"/>
      <c r="S66" s="12"/>
    </row>
    <row r="67" spans="1:19">
      <c r="A67" s="177" t="s">
        <v>171</v>
      </c>
      <c r="B67" s="177">
        <v>32</v>
      </c>
      <c r="C67" s="178">
        <v>436</v>
      </c>
      <c r="D67" s="179" t="s">
        <v>244</v>
      </c>
      <c r="E67" s="178">
        <v>2229</v>
      </c>
      <c r="F67" s="180" t="s">
        <v>176</v>
      </c>
      <c r="G67" s="178">
        <v>2128</v>
      </c>
      <c r="H67" s="180" t="s">
        <v>174</v>
      </c>
      <c r="I67" s="181">
        <v>1000</v>
      </c>
      <c r="J67" s="181">
        <v>500</v>
      </c>
      <c r="K67" s="690"/>
      <c r="L67" s="690">
        <f>Tabela6[[#This Row],[ORÇADO ]]-Tabela6[[#This Row],[CONT.]]</f>
        <v>500</v>
      </c>
      <c r="M67" s="182">
        <f>SUMIFS('ALT. ORÇ. E PROJ.'!H:H,'ALT. ORÇ. E PROJ.'!E:E,Tabela6[[#This Row],[PROG.]],'ALT. ORÇ. E PROJ.'!F:F,Tabela6[[#This Row],[PROJETO]],'ALT. ORÇ. E PROJ.'!G:G,Tabela6[[#This Row],[FICHA]])</f>
        <v>0</v>
      </c>
      <c r="N67" s="182">
        <f>SUMIFS('ALT. ORÇ. E PROJ.'!H:H,'ALT. ORÇ. E PROJ.'!B:B,Tabela6[[#This Row],[PROG.]],'ALT. ORÇ. E PROJ.'!C:C,Tabela6[[#This Row],[PROJETO]],'ALT. ORÇ. E PROJ.'!D:D,Tabela6[[#This Row],[FICHA]])</f>
        <v>500</v>
      </c>
      <c r="O67" s="183">
        <f>SUMIFS(RESERVA!$M:$M,RESERVA!C:C,Tabela6[[#This Row],[PROG.]],RESERVA!D:D,Tabela6[[#This Row],[FICHA]],RESERVA!E:E,Tabela6[[#This Row],[AÇÃO]],RESERVA!F:F,Tabela6[[#This Row],[PROJETO]])</f>
        <v>0</v>
      </c>
      <c r="P67" s="183">
        <f>SUMIFS('EMPENHO '!L:$L,'EMPENHO '!B:B,Tabela6[[#This Row],[PROG.]],'EMPENHO '!C:C,Tabela6[[#This Row],[FICHA]],'EMPENHO '!D:D,Tabela6[[#This Row],[AÇÃO]],'EMPENHO '!E:E,Tabela6[[#This Row],[PROJETO]])</f>
        <v>0</v>
      </c>
      <c r="Q67" s="333">
        <f>Tabela6[[#This Row],[SALDO INICIAL 
COM CONTING.]]-Tabela6[[#This Row],[ANULADO/
CEDIDO]]-Tabela6[[#This Row],[RESERVADO]]-Tabela6[[#This Row],[EMPENHADO]]+Tabela6[[#This Row],[SUPLEMENTADO/
RECEBIDO]]</f>
        <v>0</v>
      </c>
      <c r="S67" s="49"/>
    </row>
    <row r="68" spans="1:19">
      <c r="A68" s="781" t="s">
        <v>171</v>
      </c>
      <c r="B68" s="781">
        <v>32</v>
      </c>
      <c r="C68" s="779">
        <v>443</v>
      </c>
      <c r="D68" s="782" t="s">
        <v>245</v>
      </c>
      <c r="E68" s="779">
        <v>2229</v>
      </c>
      <c r="F68" s="783" t="s">
        <v>176</v>
      </c>
      <c r="G68" s="779">
        <v>2128</v>
      </c>
      <c r="H68" s="783" t="s">
        <v>174</v>
      </c>
      <c r="I68" s="784">
        <v>1000</v>
      </c>
      <c r="J68" s="784">
        <v>500</v>
      </c>
      <c r="K68" s="785"/>
      <c r="L68" s="785">
        <f>Tabela6[[#This Row],[ORÇADO ]]-Tabela6[[#This Row],[CONT.]]</f>
        <v>500</v>
      </c>
      <c r="M68" s="182">
        <f>SUMIFS('ALT. ORÇ. E PROJ.'!H:H,'ALT. ORÇ. E PROJ.'!E:E,Tabela6[[#This Row],[PROG.]],'ALT. ORÇ. E PROJ.'!F:F,Tabela6[[#This Row],[PROJETO]],'ALT. ORÇ. E PROJ.'!G:G,Tabela6[[#This Row],[FICHA]])</f>
        <v>0</v>
      </c>
      <c r="N68" s="182">
        <f>SUMIFS('ALT. ORÇ. E PROJ.'!H:H,'ALT. ORÇ. E PROJ.'!B:B,Tabela6[[#This Row],[PROG.]],'ALT. ORÇ. E PROJ.'!C:C,Tabela6[[#This Row],[PROJETO]],'ALT. ORÇ. E PROJ.'!D:D,Tabela6[[#This Row],[FICHA]])</f>
        <v>500</v>
      </c>
      <c r="O68" s="183">
        <f>SUMIFS(RESERVA!$M:$M,RESERVA!C:C,Tabela6[[#This Row],[PROG.]],RESERVA!D:D,Tabela6[[#This Row],[FICHA]],RESERVA!E:E,Tabela6[[#This Row],[AÇÃO]],RESERVA!F:F,Tabela6[[#This Row],[PROJETO]])</f>
        <v>0</v>
      </c>
      <c r="P68" s="183">
        <f>SUMIFS('EMPENHO '!L:$L,'EMPENHO '!B:B,Tabela6[[#This Row],[PROG.]],'EMPENHO '!C:C,Tabela6[[#This Row],[FICHA]],'EMPENHO '!D:D,Tabela6[[#This Row],[AÇÃO]],'EMPENHO '!E:E,Tabela6[[#This Row],[PROJETO]])</f>
        <v>0</v>
      </c>
      <c r="Q68" s="333">
        <f>Tabela6[[#This Row],[SALDO INICIAL 
COM CONTING.]]-Tabela6[[#This Row],[ANULADO/
CEDIDO]]-Tabela6[[#This Row],[RESERVADO]]-Tabela6[[#This Row],[EMPENHADO]]+Tabela6[[#This Row],[SUPLEMENTADO/
RECEBIDO]]</f>
        <v>0</v>
      </c>
      <c r="S68" s="49"/>
    </row>
    <row r="69" spans="1:19">
      <c r="A69" s="177" t="s">
        <v>260</v>
      </c>
      <c r="B69" s="177">
        <v>33</v>
      </c>
      <c r="C69" s="178">
        <v>520</v>
      </c>
      <c r="D69" s="179" t="s">
        <v>251</v>
      </c>
      <c r="E69" s="178">
        <v>2269</v>
      </c>
      <c r="F69" s="180" t="s">
        <v>252</v>
      </c>
      <c r="G69" s="178">
        <v>2130</v>
      </c>
      <c r="H69" s="180" t="s">
        <v>259</v>
      </c>
      <c r="I69" s="181">
        <v>10000</v>
      </c>
      <c r="J69" s="181"/>
      <c r="K69" s="690"/>
      <c r="L69" s="690">
        <f>Tabela6[[#This Row],[ORÇADO ]]-Tabela6[[#This Row],[CONT.]]</f>
        <v>10000</v>
      </c>
      <c r="M69" s="691">
        <f>SUMIFS('ALT. ORÇ. E PROJ.'!H:H,'ALT. ORÇ. E PROJ.'!E:E,Tabela6[[#This Row],[PROG.]],'ALT. ORÇ. E PROJ.'!F:F,Tabela6[[#This Row],[PROJETO]],'ALT. ORÇ. E PROJ.'!G:G,Tabela6[[#This Row],[FICHA]])</f>
        <v>0</v>
      </c>
      <c r="N69" s="691">
        <f>SUMIFS('ALT. ORÇ. E PROJ.'!H:H,'ALT. ORÇ. E PROJ.'!B:B,Tabela6[[#This Row],[PROG.]],'ALT. ORÇ. E PROJ.'!C:C,Tabela6[[#This Row],[PROJETO]],'ALT. ORÇ. E PROJ.'!D:D,Tabela6[[#This Row],[FICHA]])</f>
        <v>0</v>
      </c>
      <c r="O69" s="692">
        <f>SUMIFS(RESERVA!$M:$M,RESERVA!C:C,Tabela6[[#This Row],[PROG.]],RESERVA!D:D,Tabela6[[#This Row],[FICHA]],RESERVA!E:E,Tabela6[[#This Row],[AÇÃO]],RESERVA!F:F,Tabela6[[#This Row],[PROJETO]])</f>
        <v>0</v>
      </c>
      <c r="P69" s="692">
        <f>SUMIFS('EMPENHO '!L:$L,'EMPENHO '!B:B,Tabela6[[#This Row],[PROG.]],'EMPENHO '!C:C,Tabela6[[#This Row],[FICHA]],'EMPENHO '!D:D,Tabela6[[#This Row],[AÇÃO]],'EMPENHO '!E:E,Tabela6[[#This Row],[PROJETO]])</f>
        <v>0</v>
      </c>
      <c r="Q69" s="333">
        <f>Tabela6[[#This Row],[SALDO INICIAL 
COM CONTING.]]-Tabela6[[#This Row],[ANULADO/
CEDIDO]]-Tabela6[[#This Row],[RESERVADO]]-Tabela6[[#This Row],[EMPENHADO]]+Tabela6[[#This Row],[SUPLEMENTADO/
RECEBIDO]]</f>
        <v>10000</v>
      </c>
      <c r="S69" s="49"/>
    </row>
    <row r="70" spans="1:19">
      <c r="A70" s="781" t="s">
        <v>260</v>
      </c>
      <c r="B70" s="781">
        <v>33</v>
      </c>
      <c r="C70" s="779">
        <v>520</v>
      </c>
      <c r="D70" s="782" t="s">
        <v>251</v>
      </c>
      <c r="E70" s="779">
        <v>2270</v>
      </c>
      <c r="F70" s="783" t="s">
        <v>253</v>
      </c>
      <c r="G70" s="779">
        <v>2130</v>
      </c>
      <c r="H70" s="783" t="s">
        <v>259</v>
      </c>
      <c r="I70" s="785">
        <v>50000</v>
      </c>
      <c r="J70" s="785"/>
      <c r="K70" s="785"/>
      <c r="L70" s="785">
        <f>Tabela6[[#This Row],[ORÇADO ]]-Tabela6[[#This Row],[CONT.]]</f>
        <v>50000</v>
      </c>
      <c r="M70" s="691">
        <f>SUMIFS('ALT. ORÇ. E PROJ.'!H:H,'ALT. ORÇ. E PROJ.'!E:E,Tabela6[[#This Row],[PROG.]],'ALT. ORÇ. E PROJ.'!F:F,Tabela6[[#This Row],[PROJETO]],'ALT. ORÇ. E PROJ.'!G:G,Tabela6[[#This Row],[FICHA]])</f>
        <v>0</v>
      </c>
      <c r="N70" s="691">
        <f>SUMIFS('ALT. ORÇ. E PROJ.'!H:H,'ALT. ORÇ. E PROJ.'!B:B,Tabela6[[#This Row],[PROG.]],'ALT. ORÇ. E PROJ.'!C:C,Tabela6[[#This Row],[PROJETO]],'ALT. ORÇ. E PROJ.'!D:D,Tabela6[[#This Row],[FICHA]])</f>
        <v>0</v>
      </c>
      <c r="O70" s="692">
        <f>SUMIFS(RESERVA!$M:$M,RESERVA!C:C,Tabela6[[#This Row],[PROG.]],RESERVA!D:D,Tabela6[[#This Row],[FICHA]],RESERVA!E:E,Tabela6[[#This Row],[AÇÃO]],RESERVA!F:F,Tabela6[[#This Row],[PROJETO]])</f>
        <v>0</v>
      </c>
      <c r="P70" s="692">
        <f>SUMIFS('EMPENHO '!L:$L,'EMPENHO '!B:B,Tabela6[[#This Row],[PROG.]],'EMPENHO '!C:C,Tabela6[[#This Row],[FICHA]],'EMPENHO '!D:D,Tabela6[[#This Row],[AÇÃO]],'EMPENHO '!E:E,Tabela6[[#This Row],[PROJETO]])</f>
        <v>0</v>
      </c>
      <c r="Q70" s="333">
        <f>Tabela6[[#This Row],[SALDO INICIAL 
COM CONTING.]]-Tabela6[[#This Row],[ANULADO/
CEDIDO]]-Tabela6[[#This Row],[RESERVADO]]-Tabela6[[#This Row],[EMPENHADO]]+Tabela6[[#This Row],[SUPLEMENTADO/
RECEBIDO]]</f>
        <v>50000</v>
      </c>
      <c r="S70" s="49"/>
    </row>
    <row r="71" spans="1:19">
      <c r="A71" s="177" t="s">
        <v>260</v>
      </c>
      <c r="B71" s="177">
        <v>33</v>
      </c>
      <c r="C71" s="178">
        <v>520</v>
      </c>
      <c r="D71" s="179" t="s">
        <v>251</v>
      </c>
      <c r="E71" s="178">
        <v>2271</v>
      </c>
      <c r="F71" s="180" t="s">
        <v>254</v>
      </c>
      <c r="G71" s="178">
        <v>2130</v>
      </c>
      <c r="H71" s="180" t="s">
        <v>259</v>
      </c>
      <c r="I71" s="181">
        <v>6000</v>
      </c>
      <c r="J71" s="181"/>
      <c r="K71" s="690"/>
      <c r="L71" s="690">
        <f>Tabela6[[#This Row],[ORÇADO ]]-Tabela6[[#This Row],[CONT.]]</f>
        <v>6000</v>
      </c>
      <c r="M71" s="691">
        <f>SUMIFS('ALT. ORÇ. E PROJ.'!H:H,'ALT. ORÇ. E PROJ.'!E:E,Tabela6[[#This Row],[PROG.]],'ALT. ORÇ. E PROJ.'!F:F,Tabela6[[#This Row],[PROJETO]],'ALT. ORÇ. E PROJ.'!G:G,Tabela6[[#This Row],[FICHA]])</f>
        <v>0</v>
      </c>
      <c r="N71" s="691">
        <f>SUMIFS('ALT. ORÇ. E PROJ.'!H:H,'ALT. ORÇ. E PROJ.'!B:B,Tabela6[[#This Row],[PROG.]],'ALT. ORÇ. E PROJ.'!C:C,Tabela6[[#This Row],[PROJETO]],'ALT. ORÇ. E PROJ.'!D:D,Tabela6[[#This Row],[FICHA]])</f>
        <v>0</v>
      </c>
      <c r="O71" s="692">
        <f>SUMIFS(RESERVA!$M:$M,RESERVA!C:C,Tabela6[[#This Row],[PROG.]],RESERVA!D:D,Tabela6[[#This Row],[FICHA]],RESERVA!E:E,Tabela6[[#This Row],[AÇÃO]],RESERVA!F:F,Tabela6[[#This Row],[PROJETO]])</f>
        <v>0</v>
      </c>
      <c r="P71" s="692">
        <f>SUMIFS('EMPENHO '!L:$L,'EMPENHO '!B:B,Tabela6[[#This Row],[PROG.]],'EMPENHO '!C:C,Tabela6[[#This Row],[FICHA]],'EMPENHO '!D:D,Tabela6[[#This Row],[AÇÃO]],'EMPENHO '!E:E,Tabela6[[#This Row],[PROJETO]])</f>
        <v>0</v>
      </c>
      <c r="Q71" s="333">
        <f>Tabela6[[#This Row],[SALDO INICIAL 
COM CONTING.]]-Tabela6[[#This Row],[ANULADO/
CEDIDO]]-Tabela6[[#This Row],[RESERVADO]]-Tabela6[[#This Row],[EMPENHADO]]+Tabela6[[#This Row],[SUPLEMENTADO/
RECEBIDO]]</f>
        <v>6000</v>
      </c>
      <c r="S71" s="49"/>
    </row>
    <row r="72" spans="1:19">
      <c r="A72" s="781" t="s">
        <v>260</v>
      </c>
      <c r="B72" s="781">
        <v>33</v>
      </c>
      <c r="C72" s="779">
        <v>520</v>
      </c>
      <c r="D72" s="782" t="s">
        <v>251</v>
      </c>
      <c r="E72" s="779">
        <v>2272</v>
      </c>
      <c r="F72" s="783" t="s">
        <v>255</v>
      </c>
      <c r="G72" s="779">
        <v>2130</v>
      </c>
      <c r="H72" s="783" t="s">
        <v>259</v>
      </c>
      <c r="I72" s="785">
        <v>30000</v>
      </c>
      <c r="J72" s="785"/>
      <c r="K72" s="785"/>
      <c r="L72" s="785">
        <f>Tabela6[[#This Row],[ORÇADO ]]-Tabela6[[#This Row],[CONT.]]</f>
        <v>30000</v>
      </c>
      <c r="M72" s="691">
        <f>SUMIFS('ALT. ORÇ. E PROJ.'!H:H,'ALT. ORÇ. E PROJ.'!E:E,Tabela6[[#This Row],[PROG.]],'ALT. ORÇ. E PROJ.'!F:F,Tabela6[[#This Row],[PROJETO]],'ALT. ORÇ. E PROJ.'!G:G,Tabela6[[#This Row],[FICHA]])</f>
        <v>0</v>
      </c>
      <c r="N72" s="691">
        <f>SUMIFS('ALT. ORÇ. E PROJ.'!H:H,'ALT. ORÇ. E PROJ.'!B:B,Tabela6[[#This Row],[PROG.]],'ALT. ORÇ. E PROJ.'!C:C,Tabela6[[#This Row],[PROJETO]],'ALT. ORÇ. E PROJ.'!D:D,Tabela6[[#This Row],[FICHA]])</f>
        <v>0</v>
      </c>
      <c r="O72" s="692">
        <f>SUMIFS(RESERVA!$M:$M,RESERVA!C:C,Tabela6[[#This Row],[PROG.]],RESERVA!D:D,Tabela6[[#This Row],[FICHA]],RESERVA!E:E,Tabela6[[#This Row],[AÇÃO]],RESERVA!F:F,Tabela6[[#This Row],[PROJETO]])</f>
        <v>0</v>
      </c>
      <c r="P72" s="692">
        <f>SUMIFS('EMPENHO '!L:$L,'EMPENHO '!B:B,Tabela6[[#This Row],[PROG.]],'EMPENHO '!C:C,Tabela6[[#This Row],[FICHA]],'EMPENHO '!D:D,Tabela6[[#This Row],[AÇÃO]],'EMPENHO '!E:E,Tabela6[[#This Row],[PROJETO]])</f>
        <v>0</v>
      </c>
      <c r="Q72" s="333">
        <f>Tabela6[[#This Row],[SALDO INICIAL 
COM CONTING.]]-Tabela6[[#This Row],[ANULADO/
CEDIDO]]-Tabela6[[#This Row],[RESERVADO]]-Tabela6[[#This Row],[EMPENHADO]]+Tabela6[[#This Row],[SUPLEMENTADO/
RECEBIDO]]</f>
        <v>30000</v>
      </c>
      <c r="S72" s="49"/>
    </row>
    <row r="73" spans="1:19">
      <c r="A73" s="177" t="s">
        <v>260</v>
      </c>
      <c r="B73" s="177">
        <v>33</v>
      </c>
      <c r="C73" s="178">
        <v>520</v>
      </c>
      <c r="D73" s="179" t="s">
        <v>251</v>
      </c>
      <c r="E73" s="178">
        <v>2274</v>
      </c>
      <c r="F73" s="180" t="s">
        <v>256</v>
      </c>
      <c r="G73" s="178">
        <v>2130</v>
      </c>
      <c r="H73" s="180" t="s">
        <v>259</v>
      </c>
      <c r="I73" s="181">
        <v>100000</v>
      </c>
      <c r="J73" s="181"/>
      <c r="K73" s="690"/>
      <c r="L73" s="690">
        <f>Tabela6[[#This Row],[ORÇADO ]]-Tabela6[[#This Row],[CONT.]]</f>
        <v>100000</v>
      </c>
      <c r="M73" s="691">
        <f>SUMIFS('ALT. ORÇ. E PROJ.'!H:H,'ALT. ORÇ. E PROJ.'!E:E,Tabela6[[#This Row],[PROG.]],'ALT. ORÇ. E PROJ.'!F:F,Tabela6[[#This Row],[PROJETO]],'ALT. ORÇ. E PROJ.'!G:G,Tabela6[[#This Row],[FICHA]])</f>
        <v>0</v>
      </c>
      <c r="N73" s="691">
        <f>SUMIFS('ALT. ORÇ. E PROJ.'!H:H,'ALT. ORÇ. E PROJ.'!B:B,Tabela6[[#This Row],[PROG.]],'ALT. ORÇ. E PROJ.'!C:C,Tabela6[[#This Row],[PROJETO]],'ALT. ORÇ. E PROJ.'!D:D,Tabela6[[#This Row],[FICHA]])</f>
        <v>0</v>
      </c>
      <c r="O73" s="692">
        <f>SUMIFS(RESERVA!$M:$M,RESERVA!C:C,Tabela6[[#This Row],[PROG.]],RESERVA!D:D,Tabela6[[#This Row],[FICHA]],RESERVA!E:E,Tabela6[[#This Row],[AÇÃO]],RESERVA!F:F,Tabela6[[#This Row],[PROJETO]])</f>
        <v>0</v>
      </c>
      <c r="P73" s="692">
        <f>SUMIFS('EMPENHO '!L:$L,'EMPENHO '!B:B,Tabela6[[#This Row],[PROG.]],'EMPENHO '!C:C,Tabela6[[#This Row],[FICHA]],'EMPENHO '!D:D,Tabela6[[#This Row],[AÇÃO]],'EMPENHO '!E:E,Tabela6[[#This Row],[PROJETO]])</f>
        <v>0</v>
      </c>
      <c r="Q73" s="333">
        <f>Tabela6[[#This Row],[SALDO INICIAL 
COM CONTING.]]-Tabela6[[#This Row],[ANULADO/
CEDIDO]]-Tabela6[[#This Row],[RESERVADO]]-Tabela6[[#This Row],[EMPENHADO]]+Tabela6[[#This Row],[SUPLEMENTADO/
RECEBIDO]]</f>
        <v>100000</v>
      </c>
      <c r="S73" s="49"/>
    </row>
    <row r="74" spans="1:19">
      <c r="A74" s="781" t="s">
        <v>260</v>
      </c>
      <c r="B74" s="781">
        <v>33</v>
      </c>
      <c r="C74" s="779">
        <v>520</v>
      </c>
      <c r="D74" s="782" t="s">
        <v>251</v>
      </c>
      <c r="E74" s="779">
        <v>2275</v>
      </c>
      <c r="F74" s="783" t="s">
        <v>257</v>
      </c>
      <c r="G74" s="779">
        <v>2130</v>
      </c>
      <c r="H74" s="783" t="s">
        <v>259</v>
      </c>
      <c r="I74" s="785">
        <v>280000</v>
      </c>
      <c r="J74" s="785"/>
      <c r="K74" s="785"/>
      <c r="L74" s="785">
        <f>Tabela6[[#This Row],[ORÇADO ]]-Tabela6[[#This Row],[CONT.]]</f>
        <v>280000</v>
      </c>
      <c r="M74" s="691">
        <f>SUMIFS('ALT. ORÇ. E PROJ.'!H:H,'ALT. ORÇ. E PROJ.'!E:E,Tabela6[[#This Row],[PROG.]],'ALT. ORÇ. E PROJ.'!F:F,Tabela6[[#This Row],[PROJETO]],'ALT. ORÇ. E PROJ.'!G:G,Tabela6[[#This Row],[FICHA]])</f>
        <v>0</v>
      </c>
      <c r="N74" s="691">
        <f>SUMIFS('ALT. ORÇ. E PROJ.'!H:H,'ALT. ORÇ. E PROJ.'!B:B,Tabela6[[#This Row],[PROG.]],'ALT. ORÇ. E PROJ.'!C:C,Tabela6[[#This Row],[PROJETO]],'ALT. ORÇ. E PROJ.'!D:D,Tabela6[[#This Row],[FICHA]])</f>
        <v>0</v>
      </c>
      <c r="O74" s="692">
        <f>SUMIFS(RESERVA!$M:$M,RESERVA!C:C,Tabela6[[#This Row],[PROG.]],RESERVA!D:D,Tabela6[[#This Row],[FICHA]],RESERVA!E:E,Tabela6[[#This Row],[AÇÃO]],RESERVA!F:F,Tabela6[[#This Row],[PROJETO]])</f>
        <v>0</v>
      </c>
      <c r="P74" s="692">
        <f>SUMIFS('EMPENHO '!L:$L,'EMPENHO '!B:B,Tabela6[[#This Row],[PROG.]],'EMPENHO '!C:C,Tabela6[[#This Row],[FICHA]],'EMPENHO '!D:D,Tabela6[[#This Row],[AÇÃO]],'EMPENHO '!E:E,Tabela6[[#This Row],[PROJETO]])</f>
        <v>0</v>
      </c>
      <c r="Q74" s="333">
        <f>Tabela6[[#This Row],[SALDO INICIAL 
COM CONTING.]]-Tabela6[[#This Row],[ANULADO/
CEDIDO]]-Tabela6[[#This Row],[RESERVADO]]-Tabela6[[#This Row],[EMPENHADO]]+Tabela6[[#This Row],[SUPLEMENTADO/
RECEBIDO]]</f>
        <v>280000</v>
      </c>
      <c r="S74" s="49"/>
    </row>
    <row r="75" spans="1:19">
      <c r="A75" s="177" t="s">
        <v>166</v>
      </c>
      <c r="B75" s="177">
        <v>30</v>
      </c>
      <c r="C75" s="178">
        <v>520</v>
      </c>
      <c r="D75" s="179" t="s">
        <v>251</v>
      </c>
      <c r="E75" s="178">
        <v>2695</v>
      </c>
      <c r="F75" s="180" t="s">
        <v>258</v>
      </c>
      <c r="G75" s="178">
        <v>1029</v>
      </c>
      <c r="H75" s="180" t="s">
        <v>259</v>
      </c>
      <c r="I75" s="181">
        <v>35000</v>
      </c>
      <c r="J75" s="181"/>
      <c r="K75" s="690"/>
      <c r="L75" s="690">
        <f>Tabela6[[#This Row],[ORÇADO ]]-Tabela6[[#This Row],[CONT.]]</f>
        <v>35000</v>
      </c>
      <c r="M75" s="182">
        <f>SUMIFS('ALT. ORÇ. E PROJ.'!H:H,'ALT. ORÇ. E PROJ.'!E:E,Tabela6[[#This Row],[PROG.]],'ALT. ORÇ. E PROJ.'!F:F,Tabela6[[#This Row],[PROJETO]],'ALT. ORÇ. E PROJ.'!G:G,Tabela6[[#This Row],[FICHA]])</f>
        <v>0</v>
      </c>
      <c r="N75" s="182">
        <f>SUMIFS('ALT. ORÇ. E PROJ.'!H:H,'ALT. ORÇ. E PROJ.'!B:B,Tabela6[[#This Row],[PROG.]],'ALT. ORÇ. E PROJ.'!C:C,Tabela6[[#This Row],[PROJETO]],'ALT. ORÇ. E PROJ.'!D:D,Tabela6[[#This Row],[FICHA]])</f>
        <v>0</v>
      </c>
      <c r="O75" s="183">
        <f>SUMIFS(RESERVA!$M:$M,RESERVA!C:C,Tabela6[[#This Row],[PROG.]],RESERVA!D:D,Tabela6[[#This Row],[FICHA]],RESERVA!E:E,Tabela6[[#This Row],[AÇÃO]],RESERVA!F:F,Tabela6[[#This Row],[PROJETO]])</f>
        <v>0</v>
      </c>
      <c r="P75" s="183">
        <f>SUMIFS('EMPENHO '!L:$L,'EMPENHO '!B:B,Tabela6[[#This Row],[PROG.]],'EMPENHO '!C:C,Tabela6[[#This Row],[FICHA]],'EMPENHO '!D:D,Tabela6[[#This Row],[AÇÃO]],'EMPENHO '!E:E,Tabela6[[#This Row],[PROJETO]])</f>
        <v>0</v>
      </c>
      <c r="Q75" s="333">
        <f>Tabela6[[#This Row],[SALDO INICIAL 
COM CONTING.]]-Tabela6[[#This Row],[ANULADO/
CEDIDO]]-Tabela6[[#This Row],[RESERVADO]]-Tabela6[[#This Row],[EMPENHADO]]+Tabela6[[#This Row],[SUPLEMENTADO/
RECEBIDO]]</f>
        <v>35000</v>
      </c>
      <c r="S75" s="49"/>
    </row>
    <row r="76" spans="1:19">
      <c r="A76" s="781" t="s">
        <v>166</v>
      </c>
      <c r="B76" s="781">
        <v>30</v>
      </c>
      <c r="C76" s="779">
        <v>524</v>
      </c>
      <c r="D76" s="782" t="s">
        <v>247</v>
      </c>
      <c r="E76" s="779">
        <v>2251</v>
      </c>
      <c r="F76" s="783" t="s">
        <v>248</v>
      </c>
      <c r="G76" s="779">
        <v>1029</v>
      </c>
      <c r="H76" s="783" t="s">
        <v>259</v>
      </c>
      <c r="I76" s="785">
        <v>1000</v>
      </c>
      <c r="J76" s="785"/>
      <c r="K76" s="785"/>
      <c r="L76" s="785">
        <f>Tabela6[[#This Row],[ORÇADO ]]-Tabela6[[#This Row],[CONT.]]</f>
        <v>1000</v>
      </c>
      <c r="M76" s="691">
        <f>SUMIFS('ALT. ORÇ. E PROJ.'!H:H,'ALT. ORÇ. E PROJ.'!E:E,Tabela6[[#This Row],[PROG.]],'ALT. ORÇ. E PROJ.'!F:F,Tabela6[[#This Row],[PROJETO]],'ALT. ORÇ. E PROJ.'!G:G,Tabela6[[#This Row],[FICHA]])</f>
        <v>0</v>
      </c>
      <c r="N76" s="691">
        <f>SUMIFS('ALT. ORÇ. E PROJ.'!H:H,'ALT. ORÇ. E PROJ.'!B:B,Tabela6[[#This Row],[PROG.]],'ALT. ORÇ. E PROJ.'!C:C,Tabela6[[#This Row],[PROJETO]],'ALT. ORÇ. E PROJ.'!D:D,Tabela6[[#This Row],[FICHA]])</f>
        <v>500</v>
      </c>
      <c r="O76" s="692">
        <f>SUMIFS(RESERVA!$M:$M,RESERVA!C:C,Tabela6[[#This Row],[PROG.]],RESERVA!D:D,Tabela6[[#This Row],[FICHA]],RESERVA!E:E,Tabela6[[#This Row],[AÇÃO]],RESERVA!F:F,Tabela6[[#This Row],[PROJETO]])</f>
        <v>0</v>
      </c>
      <c r="P76" s="692">
        <f>SUMIFS('EMPENHO '!L:$L,'EMPENHO '!B:B,Tabela6[[#This Row],[PROG.]],'EMPENHO '!C:C,Tabela6[[#This Row],[FICHA]],'EMPENHO '!D:D,Tabela6[[#This Row],[AÇÃO]],'EMPENHO '!E:E,Tabela6[[#This Row],[PROJETO]])</f>
        <v>0</v>
      </c>
      <c r="Q76" s="333">
        <f>Tabela6[[#This Row],[SALDO INICIAL 
COM CONTING.]]-Tabela6[[#This Row],[ANULADO/
CEDIDO]]-Tabela6[[#This Row],[RESERVADO]]-Tabela6[[#This Row],[EMPENHADO]]+Tabela6[[#This Row],[SUPLEMENTADO/
RECEBIDO]]</f>
        <v>500</v>
      </c>
      <c r="S76" s="49"/>
    </row>
    <row r="77" spans="1:19">
      <c r="A77" s="177" t="s">
        <v>166</v>
      </c>
      <c r="B77" s="177">
        <v>30</v>
      </c>
      <c r="C77" s="178">
        <v>524</v>
      </c>
      <c r="D77" s="179" t="s">
        <v>247</v>
      </c>
      <c r="E77" s="178">
        <v>2256</v>
      </c>
      <c r="F77" s="180" t="s">
        <v>249</v>
      </c>
      <c r="G77" s="178">
        <v>2125</v>
      </c>
      <c r="H77" s="180" t="s">
        <v>250</v>
      </c>
      <c r="I77" s="181">
        <v>1000</v>
      </c>
      <c r="J77" s="181"/>
      <c r="K77" s="690"/>
      <c r="L77" s="690">
        <f>Tabela6[[#This Row],[ORÇADO ]]-Tabela6[[#This Row],[CONT.]]</f>
        <v>1000</v>
      </c>
      <c r="M77" s="182">
        <f>SUMIFS('ALT. ORÇ. E PROJ.'!H:H,'ALT. ORÇ. E PROJ.'!E:E,Tabela6[[#This Row],[PROG.]],'ALT. ORÇ. E PROJ.'!F:F,Tabela6[[#This Row],[PROJETO]],'ALT. ORÇ. E PROJ.'!G:G,Tabela6[[#This Row],[FICHA]])</f>
        <v>0</v>
      </c>
      <c r="N77" s="182">
        <f>SUMIFS('ALT. ORÇ. E PROJ.'!H:H,'ALT. ORÇ. E PROJ.'!B:B,Tabela6[[#This Row],[PROG.]],'ALT. ORÇ. E PROJ.'!C:C,Tabela6[[#This Row],[PROJETO]],'ALT. ORÇ. E PROJ.'!D:D,Tabela6[[#This Row],[FICHA]])</f>
        <v>500</v>
      </c>
      <c r="O77" s="183">
        <f>SUMIFS(RESERVA!$M:$M,RESERVA!C:C,Tabela6[[#This Row],[PROG.]],RESERVA!D:D,Tabela6[[#This Row],[FICHA]],RESERVA!E:E,Tabela6[[#This Row],[AÇÃO]],RESERVA!F:F,Tabela6[[#This Row],[PROJETO]])</f>
        <v>0</v>
      </c>
      <c r="P77" s="183">
        <f>SUMIFS('EMPENHO '!L:$L,'EMPENHO '!B:B,Tabela6[[#This Row],[PROG.]],'EMPENHO '!C:C,Tabela6[[#This Row],[FICHA]],'EMPENHO '!D:D,Tabela6[[#This Row],[AÇÃO]],'EMPENHO '!E:E,Tabela6[[#This Row],[PROJETO]])</f>
        <v>0</v>
      </c>
      <c r="Q77" s="333">
        <f>Tabela6[[#This Row],[SALDO INICIAL 
COM CONTING.]]-Tabela6[[#This Row],[ANULADO/
CEDIDO]]-Tabela6[[#This Row],[RESERVADO]]-Tabela6[[#This Row],[EMPENHADO]]+Tabela6[[#This Row],[SUPLEMENTADO/
RECEBIDO]]</f>
        <v>500</v>
      </c>
      <c r="S77" s="49"/>
    </row>
    <row r="78" spans="1:19">
      <c r="A78" s="781" t="s">
        <v>166</v>
      </c>
      <c r="B78" s="781">
        <v>30</v>
      </c>
      <c r="C78" s="779">
        <v>524</v>
      </c>
      <c r="D78" s="782" t="s">
        <v>247</v>
      </c>
      <c r="E78" s="779">
        <v>2262</v>
      </c>
      <c r="F78" s="783" t="s">
        <v>212</v>
      </c>
      <c r="G78" s="779">
        <v>2126</v>
      </c>
      <c r="H78" s="783" t="s">
        <v>214</v>
      </c>
      <c r="I78" s="784">
        <v>1000</v>
      </c>
      <c r="J78" s="784"/>
      <c r="K78" s="784"/>
      <c r="L78" s="784">
        <f>Tabela6[[#This Row],[ORÇADO ]]-Tabela6[[#This Row],[CONT.]]</f>
        <v>1000</v>
      </c>
      <c r="M78" s="182">
        <f>SUMIFS('ALT. ORÇ. E PROJ.'!H:H,'ALT. ORÇ. E PROJ.'!E:E,Tabela6[[#This Row],[PROG.]],'ALT. ORÇ. E PROJ.'!F:F,Tabela6[[#This Row],[PROJETO]],'ALT. ORÇ. E PROJ.'!G:G,Tabela6[[#This Row],[FICHA]])</f>
        <v>0</v>
      </c>
      <c r="N78" s="182">
        <f>SUMIFS('ALT. ORÇ. E PROJ.'!H:H,'ALT. ORÇ. E PROJ.'!B:B,Tabela6[[#This Row],[PROG.]],'ALT. ORÇ. E PROJ.'!C:C,Tabela6[[#This Row],[PROJETO]],'ALT. ORÇ. E PROJ.'!D:D,Tabela6[[#This Row],[FICHA]])</f>
        <v>500</v>
      </c>
      <c r="O78" s="183">
        <f>SUMIFS(RESERVA!$M:$M,RESERVA!C:C,Tabela6[[#This Row],[PROG.]],RESERVA!D:D,Tabela6[[#This Row],[FICHA]],RESERVA!E:E,Tabela6[[#This Row],[AÇÃO]],RESERVA!F:F,Tabela6[[#This Row],[PROJETO]])</f>
        <v>0</v>
      </c>
      <c r="P78" s="183">
        <f>SUMIFS('EMPENHO '!L:$L,'EMPENHO '!B:B,Tabela6[[#This Row],[PROG.]],'EMPENHO '!C:C,Tabela6[[#This Row],[FICHA]],'EMPENHO '!D:D,Tabela6[[#This Row],[AÇÃO]],'EMPENHO '!E:E,Tabela6[[#This Row],[PROJETO]])</f>
        <v>0</v>
      </c>
      <c r="Q78" s="333">
        <f>Tabela6[[#This Row],[SALDO INICIAL 
COM CONTING.]]-Tabela6[[#This Row],[ANULADO/
CEDIDO]]-Tabela6[[#This Row],[RESERVADO]]-Tabela6[[#This Row],[EMPENHADO]]+Tabela6[[#This Row],[SUPLEMENTADO/
RECEBIDO]]</f>
        <v>500</v>
      </c>
      <c r="S78" s="49"/>
    </row>
    <row r="79" spans="1:19">
      <c r="A79" s="177" t="s">
        <v>268</v>
      </c>
      <c r="B79" s="177">
        <v>79</v>
      </c>
      <c r="C79" s="178">
        <v>681</v>
      </c>
      <c r="D79" s="179" t="s">
        <v>261</v>
      </c>
      <c r="E79" s="178">
        <v>3010</v>
      </c>
      <c r="F79" s="180" t="s">
        <v>262</v>
      </c>
      <c r="G79" s="178">
        <v>2225</v>
      </c>
      <c r="H79" s="180" t="s">
        <v>269</v>
      </c>
      <c r="I79" s="181">
        <v>127000</v>
      </c>
      <c r="J79" s="181"/>
      <c r="K79" s="690"/>
      <c r="L79" s="690">
        <f>Tabela6[[#This Row],[ORÇADO ]]-Tabela6[[#This Row],[CONT.]]</f>
        <v>127000</v>
      </c>
      <c r="M79" s="182">
        <f>SUMIFS('ALT. ORÇ. E PROJ.'!H:H,'ALT. ORÇ. E PROJ.'!E:E,Tabela6[[#This Row],[PROG.]],'ALT. ORÇ. E PROJ.'!F:F,Tabela6[[#This Row],[PROJETO]],'ALT. ORÇ. E PROJ.'!G:G,Tabela6[[#This Row],[FICHA]])</f>
        <v>0</v>
      </c>
      <c r="N79" s="182">
        <f>SUMIFS('ALT. ORÇ. E PROJ.'!H:H,'ALT. ORÇ. E PROJ.'!B:B,Tabela6[[#This Row],[PROG.]],'ALT. ORÇ. E PROJ.'!C:C,Tabela6[[#This Row],[PROJETO]],'ALT. ORÇ. E PROJ.'!D:D,Tabela6[[#This Row],[FICHA]])</f>
        <v>0</v>
      </c>
      <c r="O79" s="183">
        <f>SUMIFS(RESERVA!$M:$M,RESERVA!C:C,Tabela6[[#This Row],[PROG.]],RESERVA!D:D,Tabela6[[#This Row],[FICHA]],RESERVA!E:E,Tabela6[[#This Row],[AÇÃO]],RESERVA!F:F,Tabela6[[#This Row],[PROJETO]])</f>
        <v>40433.1</v>
      </c>
      <c r="P79" s="183">
        <f>SUMIFS('EMPENHO '!L:$L,'EMPENHO '!B:B,Tabela6[[#This Row],[PROG.]],'EMPENHO '!C:C,Tabela6[[#This Row],[FICHA]],'EMPENHO '!D:D,Tabela6[[#This Row],[AÇÃO]],'EMPENHO '!E:E,Tabela6[[#This Row],[PROJETO]])</f>
        <v>24845</v>
      </c>
      <c r="Q79" s="333">
        <f>Tabela6[[#This Row],[SALDO INICIAL 
COM CONTING.]]-Tabela6[[#This Row],[ANULADO/
CEDIDO]]-Tabela6[[#This Row],[RESERVADO]]-Tabela6[[#This Row],[EMPENHADO]]+Tabela6[[#This Row],[SUPLEMENTADO/
RECEBIDO]]</f>
        <v>61721.9</v>
      </c>
      <c r="S79" s="49"/>
    </row>
    <row r="80" spans="1:19">
      <c r="A80" s="781" t="s">
        <v>268</v>
      </c>
      <c r="B80" s="781">
        <v>79</v>
      </c>
      <c r="C80" s="779">
        <v>681</v>
      </c>
      <c r="D80" s="782" t="s">
        <v>261</v>
      </c>
      <c r="E80" s="779">
        <v>3011</v>
      </c>
      <c r="F80" s="783" t="s">
        <v>263</v>
      </c>
      <c r="G80" s="779">
        <v>2225</v>
      </c>
      <c r="H80" s="783" t="s">
        <v>269</v>
      </c>
      <c r="I80" s="784">
        <v>3000</v>
      </c>
      <c r="J80" s="784"/>
      <c r="K80" s="785"/>
      <c r="L80" s="785">
        <f>Tabela6[[#This Row],[ORÇADO ]]-Tabela6[[#This Row],[CONT.]]</f>
        <v>3000</v>
      </c>
      <c r="M80" s="182">
        <f>SUMIFS('ALT. ORÇ. E PROJ.'!H:H,'ALT. ORÇ. E PROJ.'!E:E,Tabela6[[#This Row],[PROG.]],'ALT. ORÇ. E PROJ.'!F:F,Tabela6[[#This Row],[PROJETO]],'ALT. ORÇ. E PROJ.'!G:G,Tabela6[[#This Row],[FICHA]])</f>
        <v>0</v>
      </c>
      <c r="N80" s="182">
        <f>SUMIFS('ALT. ORÇ. E PROJ.'!H:H,'ALT. ORÇ. E PROJ.'!B:B,Tabela6[[#This Row],[PROG.]],'ALT. ORÇ. E PROJ.'!C:C,Tabela6[[#This Row],[PROJETO]],'ALT. ORÇ. E PROJ.'!D:D,Tabela6[[#This Row],[FICHA]])</f>
        <v>0</v>
      </c>
      <c r="O80" s="183">
        <f>SUMIFS(RESERVA!$M:$M,RESERVA!C:C,Tabela6[[#This Row],[PROG.]],RESERVA!D:D,Tabela6[[#This Row],[FICHA]],RESERVA!E:E,Tabela6[[#This Row],[AÇÃO]],RESERVA!F:F,Tabela6[[#This Row],[PROJETO]])</f>
        <v>0</v>
      </c>
      <c r="P80" s="183">
        <f>SUMIFS('EMPENHO '!L:$L,'EMPENHO '!B:B,Tabela6[[#This Row],[PROG.]],'EMPENHO '!C:C,Tabela6[[#This Row],[FICHA]],'EMPENHO '!D:D,Tabela6[[#This Row],[AÇÃO]],'EMPENHO '!E:E,Tabela6[[#This Row],[PROJETO]])</f>
        <v>0</v>
      </c>
      <c r="Q80" s="333">
        <f>Tabela6[[#This Row],[SALDO INICIAL 
COM CONTING.]]-Tabela6[[#This Row],[ANULADO/
CEDIDO]]-Tabela6[[#This Row],[RESERVADO]]-Tabela6[[#This Row],[EMPENHADO]]+Tabela6[[#This Row],[SUPLEMENTADO/
RECEBIDO]]</f>
        <v>3000</v>
      </c>
      <c r="R80" t="s">
        <v>773</v>
      </c>
      <c r="S80" s="49"/>
    </row>
    <row r="81" spans="1:19">
      <c r="A81" s="177" t="s">
        <v>268</v>
      </c>
      <c r="B81" s="177">
        <v>79</v>
      </c>
      <c r="C81" s="178">
        <v>681</v>
      </c>
      <c r="D81" s="179" t="s">
        <v>261</v>
      </c>
      <c r="E81" s="178">
        <v>3012</v>
      </c>
      <c r="F81" s="180" t="s">
        <v>264</v>
      </c>
      <c r="G81" s="178">
        <v>2225</v>
      </c>
      <c r="H81" s="180" t="s">
        <v>269</v>
      </c>
      <c r="I81" s="181">
        <v>2000</v>
      </c>
      <c r="J81" s="181"/>
      <c r="K81" s="690"/>
      <c r="L81" s="690">
        <f>Tabela6[[#This Row],[ORÇADO ]]-Tabela6[[#This Row],[CONT.]]</f>
        <v>2000</v>
      </c>
      <c r="M81" s="182">
        <f>SUMIFS('ALT. ORÇ. E PROJ.'!H:H,'ALT. ORÇ. E PROJ.'!E:E,Tabela6[[#This Row],[PROG.]],'ALT. ORÇ. E PROJ.'!F:F,Tabela6[[#This Row],[PROJETO]],'ALT. ORÇ. E PROJ.'!G:G,Tabela6[[#This Row],[FICHA]])</f>
        <v>0</v>
      </c>
      <c r="N81" s="182">
        <f>SUMIFS('ALT. ORÇ. E PROJ.'!H:H,'ALT. ORÇ. E PROJ.'!B:B,Tabela6[[#This Row],[PROG.]],'ALT. ORÇ. E PROJ.'!C:C,Tabela6[[#This Row],[PROJETO]],'ALT. ORÇ. E PROJ.'!D:D,Tabela6[[#This Row],[FICHA]])</f>
        <v>0</v>
      </c>
      <c r="O81" s="183">
        <f>SUMIFS(RESERVA!$M:$M,RESERVA!C:C,Tabela6[[#This Row],[PROG.]],RESERVA!D:D,Tabela6[[#This Row],[FICHA]],RESERVA!E:E,Tabela6[[#This Row],[AÇÃO]],RESERVA!F:F,Tabela6[[#This Row],[PROJETO]])</f>
        <v>0</v>
      </c>
      <c r="P81" s="183">
        <f>SUMIFS('EMPENHO '!L:$L,'EMPENHO '!B:B,Tabela6[[#This Row],[PROG.]],'EMPENHO '!C:C,Tabela6[[#This Row],[FICHA]],'EMPENHO '!D:D,Tabela6[[#This Row],[AÇÃO]],'EMPENHO '!E:E,Tabela6[[#This Row],[PROJETO]])</f>
        <v>0</v>
      </c>
      <c r="Q81" s="333">
        <f>Tabela6[[#This Row],[SALDO INICIAL 
COM CONTING.]]-Tabela6[[#This Row],[ANULADO/
CEDIDO]]-Tabela6[[#This Row],[RESERVADO]]-Tabela6[[#This Row],[EMPENHADO]]+Tabela6[[#This Row],[SUPLEMENTADO/
RECEBIDO]]</f>
        <v>2000</v>
      </c>
      <c r="R81" t="s">
        <v>773</v>
      </c>
      <c r="S81" s="49"/>
    </row>
    <row r="82" spans="1:19">
      <c r="A82" s="781" t="s">
        <v>268</v>
      </c>
      <c r="B82" s="781">
        <v>79</v>
      </c>
      <c r="C82" s="779">
        <v>681</v>
      </c>
      <c r="D82" s="782" t="s">
        <v>261</v>
      </c>
      <c r="E82" s="779">
        <v>3013</v>
      </c>
      <c r="F82" s="783" t="s">
        <v>265</v>
      </c>
      <c r="G82" s="779">
        <v>2225</v>
      </c>
      <c r="H82" s="783" t="s">
        <v>269</v>
      </c>
      <c r="I82" s="784">
        <v>1100000</v>
      </c>
      <c r="J82" s="784"/>
      <c r="K82" s="785"/>
      <c r="L82" s="785">
        <f>Tabela6[[#This Row],[ORÇADO ]]-Tabela6[[#This Row],[CONT.]]</f>
        <v>1100000</v>
      </c>
      <c r="M82" s="182">
        <f>SUMIFS('ALT. ORÇ. E PROJ.'!H:H,'ALT. ORÇ. E PROJ.'!E:E,Tabela6[[#This Row],[PROG.]],'ALT. ORÇ. E PROJ.'!F:F,Tabela6[[#This Row],[PROJETO]],'ALT. ORÇ. E PROJ.'!G:G,Tabela6[[#This Row],[FICHA]])</f>
        <v>0</v>
      </c>
      <c r="N82" s="182">
        <f>SUMIFS('ALT. ORÇ. E PROJ.'!H:H,'ALT. ORÇ. E PROJ.'!B:B,Tabela6[[#This Row],[PROG.]],'ALT. ORÇ. E PROJ.'!C:C,Tabela6[[#This Row],[PROJETO]],'ALT. ORÇ. E PROJ.'!D:D,Tabela6[[#This Row],[FICHA]])</f>
        <v>503842.4</v>
      </c>
      <c r="O82" s="183">
        <f>SUMIFS(RESERVA!$M:$M,RESERVA!C:C,Tabela6[[#This Row],[PROG.]],RESERVA!D:D,Tabela6[[#This Row],[FICHA]],RESERVA!E:E,Tabela6[[#This Row],[AÇÃO]],RESERVA!F:F,Tabela6[[#This Row],[PROJETO]])</f>
        <v>0</v>
      </c>
      <c r="P82" s="183">
        <f>SUMIFS('EMPENHO '!L:$L,'EMPENHO '!B:B,Tabela6[[#This Row],[PROG.]],'EMPENHO '!C:C,Tabela6[[#This Row],[FICHA]],'EMPENHO '!D:D,Tabela6[[#This Row],[AÇÃO]],'EMPENHO '!E:E,Tabela6[[#This Row],[PROJETO]])</f>
        <v>127974</v>
      </c>
      <c r="Q82" s="333">
        <f>Tabela6[[#This Row],[SALDO INICIAL 
COM CONTING.]]-Tabela6[[#This Row],[ANULADO/
CEDIDO]]-Tabela6[[#This Row],[RESERVADO]]-Tabela6[[#This Row],[EMPENHADO]]+Tabela6[[#This Row],[SUPLEMENTADO/
RECEBIDO]]</f>
        <v>468183.6</v>
      </c>
      <c r="R82" t="s">
        <v>773</v>
      </c>
      <c r="S82" s="49"/>
    </row>
    <row r="83" spans="1:19">
      <c r="A83" s="177" t="s">
        <v>268</v>
      </c>
      <c r="B83" s="177">
        <v>79</v>
      </c>
      <c r="C83" s="178">
        <v>681</v>
      </c>
      <c r="D83" s="179" t="s">
        <v>261</v>
      </c>
      <c r="E83" s="178">
        <v>3014</v>
      </c>
      <c r="F83" s="180" t="s">
        <v>266</v>
      </c>
      <c r="G83" s="178">
        <v>2225</v>
      </c>
      <c r="H83" s="180" t="s">
        <v>270</v>
      </c>
      <c r="I83" s="181">
        <v>5000000</v>
      </c>
      <c r="J83" s="181"/>
      <c r="K83" s="690"/>
      <c r="L83" s="690">
        <f>Tabela6[[#This Row],[ORÇADO ]]-Tabela6[[#This Row],[CONT.]]</f>
        <v>5000000</v>
      </c>
      <c r="M83" s="182">
        <f>SUMIFS('ALT. ORÇ. E PROJ.'!H:H,'ALT. ORÇ. E PROJ.'!E:E,Tabela6[[#This Row],[PROG.]],'ALT. ORÇ. E PROJ.'!F:F,Tabela6[[#This Row],[PROJETO]],'ALT. ORÇ. E PROJ.'!G:G,Tabela6[[#This Row],[FICHA]])</f>
        <v>0</v>
      </c>
      <c r="N83" s="182">
        <f>SUMIFS('ALT. ORÇ. E PROJ.'!H:H,'ALT. ORÇ. E PROJ.'!B:B,Tabela6[[#This Row],[PROG.]],'ALT. ORÇ. E PROJ.'!C:C,Tabela6[[#This Row],[PROJETO]],'ALT. ORÇ. E PROJ.'!D:D,Tabela6[[#This Row],[FICHA]])</f>
        <v>0</v>
      </c>
      <c r="O83" s="183">
        <f>SUMIFS(RESERVA!$M:$M,RESERVA!C:C,Tabela6[[#This Row],[PROG.]],RESERVA!D:D,Tabela6[[#This Row],[FICHA]],RESERVA!E:E,Tabela6[[#This Row],[AÇÃO]],RESERVA!F:F,Tabela6[[#This Row],[PROJETO]])</f>
        <v>0</v>
      </c>
      <c r="P83" s="183">
        <f>SUMIFS('EMPENHO '!L:$L,'EMPENHO '!B:B,Tabela6[[#This Row],[PROG.]],'EMPENHO '!C:C,Tabela6[[#This Row],[FICHA]],'EMPENHO '!D:D,Tabela6[[#This Row],[AÇÃO]],'EMPENHO '!E:E,Tabela6[[#This Row],[PROJETO]])</f>
        <v>0</v>
      </c>
      <c r="Q83" s="333">
        <f>Tabela6[[#This Row],[SALDO INICIAL 
COM CONTING.]]-Tabela6[[#This Row],[ANULADO/
CEDIDO]]-Tabela6[[#This Row],[RESERVADO]]-Tabela6[[#This Row],[EMPENHADO]]+Tabela6[[#This Row],[SUPLEMENTADO/
RECEBIDO]]</f>
        <v>5000000</v>
      </c>
      <c r="S83" s="49"/>
    </row>
    <row r="84" spans="1:19">
      <c r="A84" s="781" t="s">
        <v>268</v>
      </c>
      <c r="B84" s="781">
        <v>79</v>
      </c>
      <c r="C84" s="779">
        <v>681</v>
      </c>
      <c r="D84" s="782" t="s">
        <v>261</v>
      </c>
      <c r="E84" s="779">
        <v>3015</v>
      </c>
      <c r="F84" s="783" t="s">
        <v>267</v>
      </c>
      <c r="G84" s="779">
        <v>2225</v>
      </c>
      <c r="H84" s="783" t="s">
        <v>270</v>
      </c>
      <c r="I84" s="784">
        <v>1000</v>
      </c>
      <c r="J84" s="784"/>
      <c r="K84" s="785"/>
      <c r="L84" s="785">
        <f>Tabela6[[#This Row],[ORÇADO ]]-Tabela6[[#This Row],[CONT.]]</f>
        <v>1000</v>
      </c>
      <c r="M84" s="182">
        <f>SUMIFS('ALT. ORÇ. E PROJ.'!H:H,'ALT. ORÇ. E PROJ.'!E:E,Tabela6[[#This Row],[PROG.]],'ALT. ORÇ. E PROJ.'!F:F,Tabela6[[#This Row],[PROJETO]],'ALT. ORÇ. E PROJ.'!G:G,Tabela6[[#This Row],[FICHA]])</f>
        <v>0</v>
      </c>
      <c r="N84" s="182">
        <f>SUMIFS('ALT. ORÇ. E PROJ.'!H:H,'ALT. ORÇ. E PROJ.'!B:B,Tabela6[[#This Row],[PROG.]],'ALT. ORÇ. E PROJ.'!C:C,Tabela6[[#This Row],[PROJETO]],'ALT. ORÇ. E PROJ.'!D:D,Tabela6[[#This Row],[FICHA]])</f>
        <v>0</v>
      </c>
      <c r="O84" s="183">
        <f>SUMIFS(RESERVA!$M:$M,RESERVA!C:C,Tabela6[[#This Row],[PROG.]],RESERVA!D:D,Tabela6[[#This Row],[FICHA]],RESERVA!E:E,Tabela6[[#This Row],[AÇÃO]],RESERVA!F:F,Tabela6[[#This Row],[PROJETO]])</f>
        <v>0</v>
      </c>
      <c r="P84" s="183">
        <f>SUMIFS('EMPENHO '!L:$L,'EMPENHO '!B:B,Tabela6[[#This Row],[PROG.]],'EMPENHO '!C:C,Tabela6[[#This Row],[FICHA]],'EMPENHO '!D:D,Tabela6[[#This Row],[AÇÃO]],'EMPENHO '!E:E,Tabela6[[#This Row],[PROJETO]])</f>
        <v>0</v>
      </c>
      <c r="Q84" s="333">
        <f>Tabela6[[#This Row],[SALDO INICIAL 
COM CONTING.]]-Tabela6[[#This Row],[ANULADO/
CEDIDO]]-Tabela6[[#This Row],[RESERVADO]]-Tabela6[[#This Row],[EMPENHADO]]+Tabela6[[#This Row],[SUPLEMENTADO/
RECEBIDO]]</f>
        <v>1000</v>
      </c>
      <c r="R84" t="s">
        <v>773</v>
      </c>
      <c r="S84" s="49"/>
    </row>
    <row r="85" spans="1:19">
      <c r="A85" s="177" t="s">
        <v>268</v>
      </c>
      <c r="B85" s="177">
        <v>79</v>
      </c>
      <c r="C85" s="178">
        <v>681</v>
      </c>
      <c r="D85" s="179" t="s">
        <v>261</v>
      </c>
      <c r="E85" s="178">
        <v>3757</v>
      </c>
      <c r="F85" s="180" t="s">
        <v>778</v>
      </c>
      <c r="G85" s="178">
        <v>1063</v>
      </c>
      <c r="H85" s="180"/>
      <c r="I85" s="181">
        <v>0</v>
      </c>
      <c r="J85" s="181"/>
      <c r="K85" s="690"/>
      <c r="L85" s="785">
        <f>Tabela6[[#This Row],[ORÇADO ]]-Tabela6[[#This Row],[CONT.]]</f>
        <v>0</v>
      </c>
      <c r="M85" s="182">
        <f>SUMIFS('ALT. ORÇ. E PROJ.'!H:H,'ALT. ORÇ. E PROJ.'!E:E,Tabela6[[#This Row],[PROG.]],'ALT. ORÇ. E PROJ.'!F:F,Tabela6[[#This Row],[PROJETO]],'ALT. ORÇ. E PROJ.'!G:G,Tabela6[[#This Row],[FICHA]])</f>
        <v>430762.4</v>
      </c>
      <c r="N85" s="182">
        <f>SUMIFS('ALT. ORÇ. E PROJ.'!H:H,'ALT. ORÇ. E PROJ.'!B:B,Tabela6[[#This Row],[PROG.]],'ALT. ORÇ. E PROJ.'!C:C,Tabela6[[#This Row],[PROJETO]],'ALT. ORÇ. E PROJ.'!D:D,Tabela6[[#This Row],[FICHA]])</f>
        <v>0</v>
      </c>
      <c r="O85" s="183">
        <f>SUMIFS(RESERVA!$M:$M,RESERVA!C:C,Tabela6[[#This Row],[PROG.]],RESERVA!D:D,Tabela6[[#This Row],[FICHA]],RESERVA!E:E,Tabela6[[#This Row],[AÇÃO]],RESERVA!F:F,Tabela6[[#This Row],[PROJETO]])</f>
        <v>43076.24</v>
      </c>
      <c r="P85" s="183">
        <f>SUMIFS('EMPENHO '!L:$L,'EMPENHO '!B:B,Tabela6[[#This Row],[PROG.]],'EMPENHO '!C:C,Tabela6[[#This Row],[FICHA]],'EMPENHO '!D:D,Tabela6[[#This Row],[AÇÃO]],'EMPENHO '!E:E,Tabela6[[#This Row],[PROJETO]])</f>
        <v>387686.16</v>
      </c>
      <c r="Q85" s="333">
        <f>Tabela6[[#This Row],[SALDO INICIAL 
COM CONTING.]]-Tabela6[[#This Row],[ANULADO/
CEDIDO]]-Tabela6[[#This Row],[RESERVADO]]-Tabela6[[#This Row],[EMPENHADO]]+Tabela6[[#This Row],[SUPLEMENTADO/
RECEBIDO]]</f>
        <v>0</v>
      </c>
      <c r="R85" t="s">
        <v>773</v>
      </c>
      <c r="S85" s="49"/>
    </row>
    <row r="86" spans="1:19">
      <c r="A86" s="781" t="s">
        <v>268</v>
      </c>
      <c r="B86" s="781">
        <v>79</v>
      </c>
      <c r="C86" s="779">
        <v>681</v>
      </c>
      <c r="D86" s="782" t="s">
        <v>261</v>
      </c>
      <c r="E86" s="779">
        <v>3785</v>
      </c>
      <c r="F86" t="s">
        <v>779</v>
      </c>
      <c r="G86" s="779">
        <v>2225</v>
      </c>
      <c r="H86" s="783"/>
      <c r="I86" s="784">
        <v>0</v>
      </c>
      <c r="J86" s="784"/>
      <c r="K86" s="785"/>
      <c r="L86" s="785">
        <f>Tabela6[[#This Row],[ORÇADO ]]-Tabela6[[#This Row],[CONT.]]</f>
        <v>0</v>
      </c>
      <c r="M86" s="182">
        <f>SUMIFS('ALT. ORÇ. E PROJ.'!H:H,'ALT. ORÇ. E PROJ.'!E:E,Tabela6[[#This Row],[PROG.]],'ALT. ORÇ. E PROJ.'!F:F,Tabela6[[#This Row],[PROJETO]],'ALT. ORÇ. E PROJ.'!G:G,Tabela6[[#This Row],[FICHA]])</f>
        <v>73080</v>
      </c>
      <c r="N86" s="182">
        <f>SUMIFS('ALT. ORÇ. E PROJ.'!H:H,'ALT. ORÇ. E PROJ.'!B:B,Tabela6[[#This Row],[PROG.]],'ALT. ORÇ. E PROJ.'!C:C,Tabela6[[#This Row],[PROJETO]],'ALT. ORÇ. E PROJ.'!D:D,Tabela6[[#This Row],[FICHA]])</f>
        <v>0</v>
      </c>
      <c r="O86" s="183">
        <f>SUMIFS(RESERVA!$M:$M,RESERVA!C:C,Tabela6[[#This Row],[PROG.]],RESERVA!D:D,Tabela6[[#This Row],[FICHA]],RESERVA!E:E,Tabela6[[#This Row],[AÇÃO]],RESERVA!F:F,Tabela6[[#This Row],[PROJETO]])</f>
        <v>73080</v>
      </c>
      <c r="P86" s="183">
        <f>SUMIFS('EMPENHO '!L:$L,'EMPENHO '!B:B,Tabela6[[#This Row],[PROG.]],'EMPENHO '!C:C,Tabela6[[#This Row],[FICHA]],'EMPENHO '!D:D,Tabela6[[#This Row],[AÇÃO]],'EMPENHO '!E:E,Tabela6[[#This Row],[PROJETO]])</f>
        <v>0</v>
      </c>
      <c r="Q86" s="333">
        <f>Tabela6[[#This Row],[SALDO INICIAL 
COM CONTING.]]-Tabela6[[#This Row],[ANULADO/
CEDIDO]]-Tabela6[[#This Row],[RESERVADO]]-Tabela6[[#This Row],[EMPENHADO]]+Tabela6[[#This Row],[SUPLEMENTADO/
RECEBIDO]]</f>
        <v>0</v>
      </c>
      <c r="R86" t="s">
        <v>773</v>
      </c>
      <c r="S86" s="49"/>
    </row>
    <row r="87" spans="1:19">
      <c r="A87" s="177"/>
      <c r="B87" s="177"/>
      <c r="C87" s="178"/>
      <c r="D87" s="179"/>
      <c r="E87" s="178"/>
      <c r="F87" s="180"/>
      <c r="G87" s="178"/>
      <c r="H87" s="180"/>
      <c r="I87" s="181"/>
      <c r="J87" s="181"/>
      <c r="K87" s="690"/>
      <c r="L87" s="690">
        <f>Tabela6[[#This Row],[ORÇADO ]]-Tabela6[[#This Row],[CONT.]]</f>
        <v>0</v>
      </c>
      <c r="M87" s="182">
        <f>SUMIFS('ALT. ORÇ. E PROJ.'!H:H,'ALT. ORÇ. E PROJ.'!E:E,Tabela6[[#This Row],[PROG.]],'ALT. ORÇ. E PROJ.'!F:F,Tabela6[[#This Row],[PROJETO]],'ALT. ORÇ. E PROJ.'!G:G,Tabela6[[#This Row],[FICHA]])</f>
        <v>0</v>
      </c>
      <c r="N87" s="182">
        <f>SUMIFS('ALT. ORÇ. E PROJ.'!H:H,'ALT. ORÇ. E PROJ.'!B:B,Tabela6[[#This Row],[PROG.]],'ALT. ORÇ. E PROJ.'!C:C,Tabela6[[#This Row],[PROJETO]],'ALT. ORÇ. E PROJ.'!D:D,Tabela6[[#This Row],[FICHA]])</f>
        <v>0</v>
      </c>
      <c r="O87" s="183">
        <f>SUMIFS(RESERVA!$M:$M,RESERVA!C:C,Tabela6[[#This Row],[PROG.]],RESERVA!D:D,Tabela6[[#This Row],[FICHA]],RESERVA!E:E,Tabela6[[#This Row],[AÇÃO]],RESERVA!F:F,Tabela6[[#This Row],[PROJETO]])</f>
        <v>0</v>
      </c>
      <c r="P87" s="183">
        <f>SUMIFS('EMPENHO '!L:$L,'EMPENHO '!B:B,Tabela6[[#This Row],[PROG.]],'EMPENHO '!C:C,Tabela6[[#This Row],[FICHA]],'EMPENHO '!D:D,Tabela6[[#This Row],[AÇÃO]],'EMPENHO '!E:E,Tabela6[[#This Row],[PROJETO]])</f>
        <v>0</v>
      </c>
      <c r="Q87" s="333">
        <f>Tabela6[[#This Row],[SALDO INICIAL 
COM CONTING.]]-Tabela6[[#This Row],[ANULADO/
CEDIDO]]-Tabela6[[#This Row],[RESERVADO]]-Tabela6[[#This Row],[EMPENHADO]]+Tabela6[[#This Row],[SUPLEMENTADO/
RECEBIDO]]</f>
        <v>0</v>
      </c>
      <c r="S87" s="49"/>
    </row>
    <row r="88" spans="1:19">
      <c r="A88" s="781"/>
      <c r="B88" s="781"/>
      <c r="C88" s="779"/>
      <c r="D88" s="782"/>
      <c r="E88" s="779"/>
      <c r="F88" s="783"/>
      <c r="G88" s="779"/>
      <c r="H88" s="783"/>
      <c r="I88" s="784"/>
      <c r="J88" s="784"/>
      <c r="K88" s="785"/>
      <c r="L88" s="785">
        <f>Tabela6[[#This Row],[ORÇADO ]]-Tabela6[[#This Row],[CONT.]]</f>
        <v>0</v>
      </c>
      <c r="M88" s="182">
        <f>SUMIFS('ALT. ORÇ. E PROJ.'!H:H,'ALT. ORÇ. E PROJ.'!E:E,Tabela6[[#This Row],[PROG.]],'ALT. ORÇ. E PROJ.'!F:F,Tabela6[[#This Row],[PROJETO]],'ALT. ORÇ. E PROJ.'!G:G,Tabela6[[#This Row],[FICHA]])</f>
        <v>0</v>
      </c>
      <c r="N88" s="182">
        <f>SUMIFS('ALT. ORÇ. E PROJ.'!H:H,'ALT. ORÇ. E PROJ.'!B:B,Tabela6[[#This Row],[PROG.]],'ALT. ORÇ. E PROJ.'!C:C,Tabela6[[#This Row],[PROJETO]],'ALT. ORÇ. E PROJ.'!D:D,Tabela6[[#This Row],[FICHA]])</f>
        <v>0</v>
      </c>
      <c r="O88" s="183">
        <f>SUMIFS(RESERVA!$M:$M,RESERVA!C:C,Tabela6[[#This Row],[PROG.]],RESERVA!D:D,Tabela6[[#This Row],[FICHA]],RESERVA!E:E,Tabela6[[#This Row],[AÇÃO]],RESERVA!F:F,Tabela6[[#This Row],[PROJETO]])</f>
        <v>0</v>
      </c>
      <c r="P88" s="183">
        <f>SUMIFS('EMPENHO '!L:$L,'EMPENHO '!B:B,Tabela6[[#This Row],[PROG.]],'EMPENHO '!C:C,Tabela6[[#This Row],[FICHA]],'EMPENHO '!D:D,Tabela6[[#This Row],[AÇÃO]],'EMPENHO '!E:E,Tabela6[[#This Row],[PROJETO]])</f>
        <v>0</v>
      </c>
      <c r="Q88" s="333">
        <f>Tabela6[[#This Row],[SALDO INICIAL 
COM CONTING.]]-Tabela6[[#This Row],[ANULADO/
CEDIDO]]-Tabela6[[#This Row],[RESERVADO]]-Tabela6[[#This Row],[EMPENHADO]]+Tabela6[[#This Row],[SUPLEMENTADO/
RECEBIDO]]</f>
        <v>0</v>
      </c>
      <c r="S88" s="49"/>
    </row>
    <row r="89" spans="1:19">
      <c r="A89" s="177"/>
      <c r="B89" s="177"/>
      <c r="C89" s="178"/>
      <c r="D89" s="179"/>
      <c r="E89" s="178"/>
      <c r="F89" s="180"/>
      <c r="G89" s="178"/>
      <c r="H89" s="180"/>
      <c r="I89" s="181"/>
      <c r="J89" s="181"/>
      <c r="K89" s="690"/>
      <c r="L89" s="690">
        <f>Tabela6[[#This Row],[ORÇADO ]]-Tabela6[[#This Row],[CONT.]]</f>
        <v>0</v>
      </c>
      <c r="M89" s="182">
        <f>SUMIFS('ALT. ORÇ. E PROJ.'!H:H,'ALT. ORÇ. E PROJ.'!E:E,Tabela6[[#This Row],[PROG.]],'ALT. ORÇ. E PROJ.'!F:F,Tabela6[[#This Row],[PROJETO]],'ALT. ORÇ. E PROJ.'!G:G,Tabela6[[#This Row],[FICHA]])</f>
        <v>0</v>
      </c>
      <c r="N89" s="182">
        <f>SUMIFS('ALT. ORÇ. E PROJ.'!H:H,'ALT. ORÇ. E PROJ.'!B:B,Tabela6[[#This Row],[PROG.]],'ALT. ORÇ. E PROJ.'!C:C,Tabela6[[#This Row],[PROJETO]],'ALT. ORÇ. E PROJ.'!D:D,Tabela6[[#This Row],[FICHA]])</f>
        <v>0</v>
      </c>
      <c r="O89" s="183">
        <f>SUMIFS(RESERVA!$M:$M,RESERVA!C:C,Tabela6[[#This Row],[PROG.]],RESERVA!D:D,Tabela6[[#This Row],[FICHA]],RESERVA!E:E,Tabela6[[#This Row],[AÇÃO]],RESERVA!F:F,Tabela6[[#This Row],[PROJETO]])</f>
        <v>0</v>
      </c>
      <c r="P89" s="183">
        <f>SUMIFS('EMPENHO '!L:$L,'EMPENHO '!B:B,Tabela6[[#This Row],[PROG.]],'EMPENHO '!C:C,Tabela6[[#This Row],[FICHA]],'EMPENHO '!D:D,Tabela6[[#This Row],[AÇÃO]],'EMPENHO '!E:E,Tabela6[[#This Row],[PROJETO]])</f>
        <v>0</v>
      </c>
      <c r="Q89" s="333">
        <f>Tabela6[[#This Row],[SALDO INICIAL 
COM CONTING.]]-Tabela6[[#This Row],[ANULADO/
CEDIDO]]-Tabela6[[#This Row],[RESERVADO]]-Tabela6[[#This Row],[EMPENHADO]]+Tabela6[[#This Row],[SUPLEMENTADO/
RECEBIDO]]</f>
        <v>0</v>
      </c>
      <c r="S89" s="49"/>
    </row>
    <row r="90" spans="1:19">
      <c r="A90" s="781"/>
      <c r="B90" s="781"/>
      <c r="C90" s="779"/>
      <c r="D90" s="782"/>
      <c r="E90" s="779"/>
      <c r="F90" s="783"/>
      <c r="G90" s="779"/>
      <c r="H90" s="783"/>
      <c r="I90" s="784"/>
      <c r="J90" s="784"/>
      <c r="K90" s="785"/>
      <c r="L90" s="785">
        <f>Tabela6[[#This Row],[ORÇADO ]]-Tabela6[[#This Row],[CONT.]]</f>
        <v>0</v>
      </c>
      <c r="M90" s="182">
        <f>SUMIFS('ALT. ORÇ. E PROJ.'!H:H,'ALT. ORÇ. E PROJ.'!E:E,Tabela6[[#This Row],[PROG.]],'ALT. ORÇ. E PROJ.'!F:F,Tabela6[[#This Row],[PROJETO]],'ALT. ORÇ. E PROJ.'!G:G,Tabela6[[#This Row],[FICHA]])</f>
        <v>0</v>
      </c>
      <c r="N90" s="182">
        <f>SUMIFS('ALT. ORÇ. E PROJ.'!H:H,'ALT. ORÇ. E PROJ.'!B:B,Tabela6[[#This Row],[PROG.]],'ALT. ORÇ. E PROJ.'!C:C,Tabela6[[#This Row],[PROJETO]],'ALT. ORÇ. E PROJ.'!D:D,Tabela6[[#This Row],[FICHA]])</f>
        <v>0</v>
      </c>
      <c r="O90" s="183">
        <f>SUMIFS(RESERVA!$M:$M,RESERVA!C:C,Tabela6[[#This Row],[PROG.]],RESERVA!D:D,Tabela6[[#This Row],[FICHA]],RESERVA!E:E,Tabela6[[#This Row],[AÇÃO]],RESERVA!F:F,Tabela6[[#This Row],[PROJETO]])</f>
        <v>0</v>
      </c>
      <c r="P90" s="183">
        <f>SUMIFS('EMPENHO '!L:$L,'EMPENHO '!B:B,Tabela6[[#This Row],[PROG.]],'EMPENHO '!C:C,Tabela6[[#This Row],[FICHA]],'EMPENHO '!D:D,Tabela6[[#This Row],[AÇÃO]],'EMPENHO '!E:E,Tabela6[[#This Row],[PROJETO]])</f>
        <v>0</v>
      </c>
      <c r="Q90" s="333">
        <f>Tabela6[[#This Row],[SALDO INICIAL 
COM CONTING.]]-Tabela6[[#This Row],[ANULADO/
CEDIDO]]-Tabela6[[#This Row],[RESERVADO]]-Tabela6[[#This Row],[EMPENHADO]]+Tabela6[[#This Row],[SUPLEMENTADO/
RECEBIDO]]</f>
        <v>0</v>
      </c>
      <c r="S90" s="49"/>
    </row>
    <row r="91" spans="1:19">
      <c r="A91" s="177"/>
      <c r="B91" s="177"/>
      <c r="C91" s="178"/>
      <c r="D91" s="179"/>
      <c r="E91" s="178"/>
      <c r="F91" s="180"/>
      <c r="G91" s="178"/>
      <c r="H91" s="180"/>
      <c r="I91" s="181"/>
      <c r="J91" s="181"/>
      <c r="K91" s="690"/>
      <c r="L91" s="690">
        <f>Tabela6[[#This Row],[ORÇADO ]]-Tabela6[[#This Row],[CONT.]]</f>
        <v>0</v>
      </c>
      <c r="M91" s="182">
        <f>SUMIFS('ALT. ORÇ. E PROJ.'!H:H,'ALT. ORÇ. E PROJ.'!E:E,Tabela6[[#This Row],[PROG.]],'ALT. ORÇ. E PROJ.'!F:F,Tabela6[[#This Row],[PROJETO]],'ALT. ORÇ. E PROJ.'!G:G,Tabela6[[#This Row],[FICHA]])</f>
        <v>0</v>
      </c>
      <c r="N91" s="182">
        <f>SUMIFS('ALT. ORÇ. E PROJ.'!H:H,'ALT. ORÇ. E PROJ.'!B:B,Tabela6[[#This Row],[PROG.]],'ALT. ORÇ. E PROJ.'!C:C,Tabela6[[#This Row],[PROJETO]],'ALT. ORÇ. E PROJ.'!D:D,Tabela6[[#This Row],[FICHA]])</f>
        <v>0</v>
      </c>
      <c r="O91" s="183">
        <f>SUMIFS(RESERVA!$M:$M,RESERVA!C:C,Tabela6[[#This Row],[PROG.]],RESERVA!D:D,Tabela6[[#This Row],[FICHA]],RESERVA!E:E,Tabela6[[#This Row],[AÇÃO]],RESERVA!F:F,Tabela6[[#This Row],[PROJETO]])</f>
        <v>0</v>
      </c>
      <c r="P91" s="183">
        <f>SUMIFS('EMPENHO '!L:$L,'EMPENHO '!B:B,Tabela6[[#This Row],[PROG.]],'EMPENHO '!C:C,Tabela6[[#This Row],[FICHA]],'EMPENHO '!D:D,Tabela6[[#This Row],[AÇÃO]],'EMPENHO '!E:E,Tabela6[[#This Row],[PROJETO]])</f>
        <v>0</v>
      </c>
      <c r="Q91" s="333">
        <f>Tabela6[[#This Row],[SALDO INICIAL 
COM CONTING.]]-Tabela6[[#This Row],[ANULADO/
CEDIDO]]-Tabela6[[#This Row],[RESERVADO]]-Tabela6[[#This Row],[EMPENHADO]]+Tabela6[[#This Row],[SUPLEMENTADO/
RECEBIDO]]</f>
        <v>0</v>
      </c>
      <c r="S91" s="49"/>
    </row>
    <row r="92" spans="1:19">
      <c r="A92" s="781"/>
      <c r="B92" s="781"/>
      <c r="C92" s="779"/>
      <c r="D92" s="782"/>
      <c r="E92" s="779"/>
      <c r="F92" s="783"/>
      <c r="G92" s="779"/>
      <c r="H92" s="783"/>
      <c r="I92" s="784"/>
      <c r="J92" s="784"/>
      <c r="K92" s="785"/>
      <c r="L92" s="785">
        <f>Tabela6[[#This Row],[ORÇADO ]]-Tabela6[[#This Row],[CONT.]]</f>
        <v>0</v>
      </c>
      <c r="M92" s="182">
        <f>SUMIFS('ALT. ORÇ. E PROJ.'!H:H,'ALT. ORÇ. E PROJ.'!E:E,Tabela6[[#This Row],[PROG.]],'ALT. ORÇ. E PROJ.'!F:F,Tabela6[[#This Row],[PROJETO]],'ALT. ORÇ. E PROJ.'!G:G,Tabela6[[#This Row],[FICHA]])</f>
        <v>0</v>
      </c>
      <c r="N92" s="182">
        <f>SUMIFS('ALT. ORÇ. E PROJ.'!H:H,'ALT. ORÇ. E PROJ.'!B:B,Tabela6[[#This Row],[PROG.]],'ALT. ORÇ. E PROJ.'!C:C,Tabela6[[#This Row],[PROJETO]],'ALT. ORÇ. E PROJ.'!D:D,Tabela6[[#This Row],[FICHA]])</f>
        <v>0</v>
      </c>
      <c r="O92" s="183">
        <f>SUMIFS(RESERVA!$M:$M,RESERVA!C:C,Tabela6[[#This Row],[PROG.]],RESERVA!D:D,Tabela6[[#This Row],[FICHA]],RESERVA!E:E,Tabela6[[#This Row],[AÇÃO]],RESERVA!F:F,Tabela6[[#This Row],[PROJETO]])</f>
        <v>0</v>
      </c>
      <c r="P92" s="183">
        <f>SUMIFS('EMPENHO '!L:$L,'EMPENHO '!B:B,Tabela6[[#This Row],[PROG.]],'EMPENHO '!C:C,Tabela6[[#This Row],[FICHA]],'EMPENHO '!D:D,Tabela6[[#This Row],[AÇÃO]],'EMPENHO '!E:E,Tabela6[[#This Row],[PROJETO]])</f>
        <v>0</v>
      </c>
      <c r="Q92" s="333">
        <f>Tabela6[[#This Row],[SALDO INICIAL 
COM CONTING.]]-Tabela6[[#This Row],[ANULADO/
CEDIDO]]-Tabela6[[#This Row],[RESERVADO]]-Tabela6[[#This Row],[EMPENHADO]]+Tabela6[[#This Row],[SUPLEMENTADO/
RECEBIDO]]</f>
        <v>0</v>
      </c>
      <c r="S92" s="49"/>
    </row>
    <row r="93" spans="1:19">
      <c r="A93" s="177"/>
      <c r="B93" s="177"/>
      <c r="C93" s="178"/>
      <c r="D93" s="179"/>
      <c r="E93" s="178"/>
      <c r="F93" s="180"/>
      <c r="G93" s="178"/>
      <c r="H93" s="180"/>
      <c r="I93" s="181"/>
      <c r="J93" s="181"/>
      <c r="K93" s="690"/>
      <c r="L93" s="690">
        <f>Tabela6[[#This Row],[ORÇADO ]]-Tabela6[[#This Row],[CONT.]]</f>
        <v>0</v>
      </c>
      <c r="M93" s="182">
        <f>SUMIFS('ALT. ORÇ. E PROJ.'!H:H,'ALT. ORÇ. E PROJ.'!E:E,Tabela6[[#This Row],[PROG.]],'ALT. ORÇ. E PROJ.'!F:F,Tabela6[[#This Row],[PROJETO]],'ALT. ORÇ. E PROJ.'!G:G,Tabela6[[#This Row],[FICHA]])</f>
        <v>0</v>
      </c>
      <c r="N93" s="182">
        <f>SUMIFS('ALT. ORÇ. E PROJ.'!H:H,'ALT. ORÇ. E PROJ.'!B:B,Tabela6[[#This Row],[PROG.]],'ALT. ORÇ. E PROJ.'!C:C,Tabela6[[#This Row],[PROJETO]],'ALT. ORÇ. E PROJ.'!D:D,Tabela6[[#This Row],[FICHA]])</f>
        <v>0</v>
      </c>
      <c r="O93" s="183">
        <f>SUMIFS(RESERVA!$M:$M,RESERVA!C:C,Tabela6[[#This Row],[PROG.]],RESERVA!D:D,Tabela6[[#This Row],[FICHA]],RESERVA!E:E,Tabela6[[#This Row],[AÇÃO]],RESERVA!F:F,Tabela6[[#This Row],[PROJETO]])</f>
        <v>0</v>
      </c>
      <c r="P93" s="183">
        <f>SUMIFS('EMPENHO '!L:$L,'EMPENHO '!B:B,Tabela6[[#This Row],[PROG.]],'EMPENHO '!C:C,Tabela6[[#This Row],[FICHA]],'EMPENHO '!D:D,Tabela6[[#This Row],[AÇÃO]],'EMPENHO '!E:E,Tabela6[[#This Row],[PROJETO]])</f>
        <v>0</v>
      </c>
      <c r="Q93" s="333">
        <f>Tabela6[[#This Row],[SALDO INICIAL 
COM CONTING.]]-Tabela6[[#This Row],[ANULADO/
CEDIDO]]-Tabela6[[#This Row],[RESERVADO]]-Tabela6[[#This Row],[EMPENHADO]]+Tabela6[[#This Row],[SUPLEMENTADO/
RECEBIDO]]</f>
        <v>0</v>
      </c>
      <c r="S93" s="49"/>
    </row>
    <row r="94" spans="1:19">
      <c r="A94" s="781"/>
      <c r="B94" s="781"/>
      <c r="C94" s="779"/>
      <c r="D94" s="782"/>
      <c r="E94" s="779"/>
      <c r="F94" s="783"/>
      <c r="G94" s="779"/>
      <c r="H94" s="783"/>
      <c r="I94" s="784"/>
      <c r="J94" s="784"/>
      <c r="K94" s="785"/>
      <c r="L94" s="785">
        <f>Tabela6[[#This Row],[ORÇADO ]]-Tabela6[[#This Row],[CONT.]]</f>
        <v>0</v>
      </c>
      <c r="M94" s="182">
        <f>SUMIFS('ALT. ORÇ. E PROJ.'!H:H,'ALT. ORÇ. E PROJ.'!E:E,Tabela6[[#This Row],[PROG.]],'ALT. ORÇ. E PROJ.'!F:F,Tabela6[[#This Row],[PROJETO]],'ALT. ORÇ. E PROJ.'!G:G,Tabela6[[#This Row],[FICHA]])</f>
        <v>0</v>
      </c>
      <c r="N94" s="182">
        <f>SUMIFS('ALT. ORÇ. E PROJ.'!H:H,'ALT. ORÇ. E PROJ.'!B:B,Tabela6[[#This Row],[PROG.]],'ALT. ORÇ. E PROJ.'!C:C,Tabela6[[#This Row],[PROJETO]],'ALT. ORÇ. E PROJ.'!D:D,Tabela6[[#This Row],[FICHA]])</f>
        <v>0</v>
      </c>
      <c r="O94" s="183">
        <f>SUMIFS(RESERVA!$M:$M,RESERVA!C:C,Tabela6[[#This Row],[PROG.]],RESERVA!D:D,Tabela6[[#This Row],[FICHA]],RESERVA!E:E,Tabela6[[#This Row],[AÇÃO]],RESERVA!F:F,Tabela6[[#This Row],[PROJETO]])</f>
        <v>0</v>
      </c>
      <c r="P94" s="183">
        <f>SUMIFS('EMPENHO '!L:$L,'EMPENHO '!B:B,Tabela6[[#This Row],[PROG.]],'EMPENHO '!C:C,Tabela6[[#This Row],[FICHA]],'EMPENHO '!D:D,Tabela6[[#This Row],[AÇÃO]],'EMPENHO '!E:E,Tabela6[[#This Row],[PROJETO]])</f>
        <v>0</v>
      </c>
      <c r="Q94" s="333">
        <f>Tabela6[[#This Row],[SALDO INICIAL 
COM CONTING.]]-Tabela6[[#This Row],[ANULADO/
CEDIDO]]-Tabela6[[#This Row],[RESERVADO]]-Tabela6[[#This Row],[EMPENHADO]]+Tabela6[[#This Row],[SUPLEMENTADO/
RECEBIDO]]</f>
        <v>0</v>
      </c>
      <c r="S94" s="49"/>
    </row>
    <row r="95" spans="1:19">
      <c r="A95" s="177"/>
      <c r="B95" s="177"/>
      <c r="C95" s="178"/>
      <c r="D95" s="179"/>
      <c r="E95" s="178"/>
      <c r="F95" s="180"/>
      <c r="G95" s="178"/>
      <c r="H95" s="180"/>
      <c r="I95" s="181"/>
      <c r="J95" s="181"/>
      <c r="K95" s="690"/>
      <c r="L95" s="690">
        <f>Tabela6[[#This Row],[ORÇADO ]]-Tabela6[[#This Row],[CONT.]]</f>
        <v>0</v>
      </c>
      <c r="M95" s="182">
        <f>SUMIFS('ALT. ORÇ. E PROJ.'!H:H,'ALT. ORÇ. E PROJ.'!E:E,Tabela6[[#This Row],[PROG.]],'ALT. ORÇ. E PROJ.'!F:F,Tabela6[[#This Row],[PROJETO]],'ALT. ORÇ. E PROJ.'!G:G,Tabela6[[#This Row],[FICHA]])</f>
        <v>0</v>
      </c>
      <c r="N95" s="182">
        <f>SUMIFS('ALT. ORÇ. E PROJ.'!H:H,'ALT. ORÇ. E PROJ.'!B:B,Tabela6[[#This Row],[PROG.]],'ALT. ORÇ. E PROJ.'!C:C,Tabela6[[#This Row],[PROJETO]],'ALT. ORÇ. E PROJ.'!D:D,Tabela6[[#This Row],[FICHA]])</f>
        <v>0</v>
      </c>
      <c r="O95" s="183">
        <f>SUMIFS(RESERVA!$M:$M,RESERVA!C:C,Tabela6[[#This Row],[PROG.]],RESERVA!D:D,Tabela6[[#This Row],[FICHA]],RESERVA!E:E,Tabela6[[#This Row],[AÇÃO]],RESERVA!F:F,Tabela6[[#This Row],[PROJETO]])</f>
        <v>0</v>
      </c>
      <c r="P95" s="183">
        <f>SUMIFS('EMPENHO '!L:$L,'EMPENHO '!B:B,Tabela6[[#This Row],[PROG.]],'EMPENHO '!C:C,Tabela6[[#This Row],[FICHA]],'EMPENHO '!D:D,Tabela6[[#This Row],[AÇÃO]],'EMPENHO '!E:E,Tabela6[[#This Row],[PROJETO]])</f>
        <v>0</v>
      </c>
      <c r="Q95" s="333">
        <f>Tabela6[[#This Row],[SALDO INICIAL 
COM CONTING.]]-Tabela6[[#This Row],[ANULADO/
CEDIDO]]-Tabela6[[#This Row],[RESERVADO]]-Tabela6[[#This Row],[EMPENHADO]]+Tabela6[[#This Row],[SUPLEMENTADO/
RECEBIDO]]</f>
        <v>0</v>
      </c>
      <c r="S95" s="49"/>
    </row>
    <row r="96" spans="1:19">
      <c r="A96" s="781"/>
      <c r="B96" s="781"/>
      <c r="C96" s="779"/>
      <c r="D96" s="782"/>
      <c r="E96" s="779"/>
      <c r="F96" s="783"/>
      <c r="G96" s="779"/>
      <c r="H96" s="783"/>
      <c r="I96" s="784"/>
      <c r="J96" s="784"/>
      <c r="K96" s="785"/>
      <c r="L96" s="785">
        <f>Tabela6[[#This Row],[ORÇADO ]]-Tabela6[[#This Row],[CONT.]]</f>
        <v>0</v>
      </c>
      <c r="M96" s="182">
        <f>SUMIFS('ALT. ORÇ. E PROJ.'!H:H,'ALT. ORÇ. E PROJ.'!E:E,Tabela6[[#This Row],[PROG.]],'ALT. ORÇ. E PROJ.'!F:F,Tabela6[[#This Row],[PROJETO]],'ALT. ORÇ. E PROJ.'!G:G,Tabela6[[#This Row],[FICHA]])</f>
        <v>0</v>
      </c>
      <c r="N96" s="182">
        <f>SUMIFS('ALT. ORÇ. E PROJ.'!H:H,'ALT. ORÇ. E PROJ.'!B:B,Tabela6[[#This Row],[PROG.]],'ALT. ORÇ. E PROJ.'!C:C,Tabela6[[#This Row],[PROJETO]],'ALT. ORÇ. E PROJ.'!D:D,Tabela6[[#This Row],[FICHA]])</f>
        <v>0</v>
      </c>
      <c r="O96" s="183">
        <f>SUMIFS(RESERVA!$M:$M,RESERVA!C:C,Tabela6[[#This Row],[PROG.]],RESERVA!D:D,Tabela6[[#This Row],[FICHA]],RESERVA!E:E,Tabela6[[#This Row],[AÇÃO]],RESERVA!F:F,Tabela6[[#This Row],[PROJETO]])</f>
        <v>0</v>
      </c>
      <c r="P96" s="183">
        <f>SUMIFS('EMPENHO '!L:$L,'EMPENHO '!B:B,Tabela6[[#This Row],[PROG.]],'EMPENHO '!C:C,Tabela6[[#This Row],[FICHA]],'EMPENHO '!D:D,Tabela6[[#This Row],[AÇÃO]],'EMPENHO '!E:E,Tabela6[[#This Row],[PROJETO]])</f>
        <v>0</v>
      </c>
      <c r="Q96" s="333">
        <f>Tabela6[[#This Row],[SALDO INICIAL 
COM CONTING.]]-Tabela6[[#This Row],[ANULADO/
CEDIDO]]-Tabela6[[#This Row],[RESERVADO]]-Tabela6[[#This Row],[EMPENHADO]]+Tabela6[[#This Row],[SUPLEMENTADO/
RECEBIDO]]</f>
        <v>0</v>
      </c>
      <c r="S96" s="49"/>
    </row>
    <row r="97" spans="1:20">
      <c r="A97" s="177"/>
      <c r="B97" s="177"/>
      <c r="C97" s="178"/>
      <c r="D97" s="179"/>
      <c r="E97" s="178"/>
      <c r="F97" s="180"/>
      <c r="G97" s="178"/>
      <c r="H97" s="180"/>
      <c r="I97" s="181"/>
      <c r="J97" s="181"/>
      <c r="K97" s="690"/>
      <c r="L97" s="690">
        <f>Tabela6[[#This Row],[ORÇADO ]]-Tabela6[[#This Row],[CONT.]]</f>
        <v>0</v>
      </c>
      <c r="M97" s="182">
        <f>SUMIFS('ALT. ORÇ. E PROJ.'!H:H,'ALT. ORÇ. E PROJ.'!E:E,Tabela6[[#This Row],[PROG.]],'ALT. ORÇ. E PROJ.'!F:F,Tabela6[[#This Row],[PROJETO]],'ALT. ORÇ. E PROJ.'!G:G,Tabela6[[#This Row],[FICHA]])</f>
        <v>0</v>
      </c>
      <c r="N97" s="182">
        <f>SUMIFS('ALT. ORÇ. E PROJ.'!H:H,'ALT. ORÇ. E PROJ.'!B:B,Tabela6[[#This Row],[PROG.]],'ALT. ORÇ. E PROJ.'!C:C,Tabela6[[#This Row],[PROJETO]],'ALT. ORÇ. E PROJ.'!D:D,Tabela6[[#This Row],[FICHA]])</f>
        <v>0</v>
      </c>
      <c r="O97" s="183">
        <f>SUMIFS(RESERVA!$M:$M,RESERVA!C:C,Tabela6[[#This Row],[PROG.]],RESERVA!D:D,Tabela6[[#This Row],[FICHA]],RESERVA!E:E,Tabela6[[#This Row],[AÇÃO]],RESERVA!F:F,Tabela6[[#This Row],[PROJETO]])</f>
        <v>0</v>
      </c>
      <c r="P97" s="183">
        <f>SUMIFS('EMPENHO '!L:$L,'EMPENHO '!B:B,Tabela6[[#This Row],[PROG.]],'EMPENHO '!C:C,Tabela6[[#This Row],[FICHA]],'EMPENHO '!D:D,Tabela6[[#This Row],[AÇÃO]],'EMPENHO '!E:E,Tabela6[[#This Row],[PROJETO]])</f>
        <v>0</v>
      </c>
      <c r="Q97" s="333">
        <f>Tabela6[[#This Row],[SALDO INICIAL 
COM CONTING.]]-Tabela6[[#This Row],[ANULADO/
CEDIDO]]-Tabela6[[#This Row],[RESERVADO]]-Tabela6[[#This Row],[EMPENHADO]]+Tabela6[[#This Row],[SUPLEMENTADO/
RECEBIDO]]</f>
        <v>0</v>
      </c>
      <c r="S97" s="49"/>
    </row>
    <row r="98" spans="1:20">
      <c r="A98" s="781"/>
      <c r="B98" s="781"/>
      <c r="C98" s="779"/>
      <c r="D98" s="782"/>
      <c r="E98" s="779"/>
      <c r="F98" s="783"/>
      <c r="G98" s="779"/>
      <c r="H98" s="783"/>
      <c r="I98" s="784"/>
      <c r="J98" s="784"/>
      <c r="K98" s="785"/>
      <c r="L98" s="785">
        <f>Tabela6[[#This Row],[ORÇADO ]]-Tabela6[[#This Row],[CONT.]]</f>
        <v>0</v>
      </c>
      <c r="M98" s="182">
        <f>SUMIFS('ALT. ORÇ. E PROJ.'!H:H,'ALT. ORÇ. E PROJ.'!E:E,Tabela6[[#This Row],[PROG.]],'ALT. ORÇ. E PROJ.'!F:F,Tabela6[[#This Row],[PROJETO]],'ALT. ORÇ. E PROJ.'!G:G,Tabela6[[#This Row],[FICHA]])</f>
        <v>0</v>
      </c>
      <c r="N98" s="182">
        <f>SUMIFS('ALT. ORÇ. E PROJ.'!H:H,'ALT. ORÇ. E PROJ.'!B:B,Tabela6[[#This Row],[PROG.]],'ALT. ORÇ. E PROJ.'!C:C,Tabela6[[#This Row],[PROJETO]],'ALT. ORÇ. E PROJ.'!D:D,Tabela6[[#This Row],[FICHA]])</f>
        <v>0</v>
      </c>
      <c r="O98" s="183">
        <f>SUMIFS(RESERVA!$M:$M,RESERVA!C:C,Tabela6[[#This Row],[PROG.]],RESERVA!D:D,Tabela6[[#This Row],[FICHA]],RESERVA!E:E,Tabela6[[#This Row],[AÇÃO]],RESERVA!F:F,Tabela6[[#This Row],[PROJETO]])</f>
        <v>0</v>
      </c>
      <c r="P98" s="183">
        <f>SUMIFS('EMPENHO '!L:$L,'EMPENHO '!B:B,Tabela6[[#This Row],[PROG.]],'EMPENHO '!C:C,Tabela6[[#This Row],[FICHA]],'EMPENHO '!D:D,Tabela6[[#This Row],[AÇÃO]],'EMPENHO '!E:E,Tabela6[[#This Row],[PROJETO]])</f>
        <v>0</v>
      </c>
      <c r="Q98" s="333">
        <f>Tabela6[[#This Row],[SALDO INICIAL 
COM CONTING.]]-Tabela6[[#This Row],[ANULADO/
CEDIDO]]-Tabela6[[#This Row],[RESERVADO]]-Tabela6[[#This Row],[EMPENHADO]]+Tabela6[[#This Row],[SUPLEMENTADO/
RECEBIDO]]</f>
        <v>0</v>
      </c>
      <c r="S98" s="49"/>
    </row>
    <row r="99" spans="1:20">
      <c r="A99" s="177"/>
      <c r="B99" s="177"/>
      <c r="C99" s="178"/>
      <c r="D99" s="179"/>
      <c r="E99" s="178"/>
      <c r="F99" s="180"/>
      <c r="G99" s="178"/>
      <c r="H99" s="180"/>
      <c r="I99" s="181"/>
      <c r="J99" s="181"/>
      <c r="K99" s="690"/>
      <c r="L99" s="690">
        <f>Tabela6[[#This Row],[ORÇADO ]]-Tabela6[[#This Row],[CONT.]]</f>
        <v>0</v>
      </c>
      <c r="M99" s="182">
        <f>SUMIFS('ALT. ORÇ. E PROJ.'!H:H,'ALT. ORÇ. E PROJ.'!E:E,Tabela6[[#This Row],[PROG.]],'ALT. ORÇ. E PROJ.'!F:F,Tabela6[[#This Row],[PROJETO]],'ALT. ORÇ. E PROJ.'!G:G,Tabela6[[#This Row],[FICHA]])</f>
        <v>0</v>
      </c>
      <c r="N99" s="182">
        <f>SUMIFS('ALT. ORÇ. E PROJ.'!H:H,'ALT. ORÇ. E PROJ.'!B:B,Tabela6[[#This Row],[PROG.]],'ALT. ORÇ. E PROJ.'!C:C,Tabela6[[#This Row],[PROJETO]],'ALT. ORÇ. E PROJ.'!D:D,Tabela6[[#This Row],[FICHA]])</f>
        <v>0</v>
      </c>
      <c r="O99" s="183">
        <f>SUMIFS(RESERVA!$M:$M,RESERVA!C:C,Tabela6[[#This Row],[PROG.]],RESERVA!D:D,Tabela6[[#This Row],[FICHA]],RESERVA!E:E,Tabela6[[#This Row],[AÇÃO]],RESERVA!F:F,Tabela6[[#This Row],[PROJETO]])</f>
        <v>0</v>
      </c>
      <c r="P99" s="183">
        <f>SUMIFS('EMPENHO '!L:$L,'EMPENHO '!B:B,Tabela6[[#This Row],[PROG.]],'EMPENHO '!C:C,Tabela6[[#This Row],[FICHA]],'EMPENHO '!D:D,Tabela6[[#This Row],[AÇÃO]],'EMPENHO '!E:E,Tabela6[[#This Row],[PROJETO]])</f>
        <v>0</v>
      </c>
      <c r="Q99" s="333">
        <f>Tabela6[[#This Row],[SALDO INICIAL 
COM CONTING.]]-Tabela6[[#This Row],[ANULADO/
CEDIDO]]-Tabela6[[#This Row],[RESERVADO]]-Tabela6[[#This Row],[EMPENHADO]]+Tabela6[[#This Row],[SUPLEMENTADO/
RECEBIDO]]</f>
        <v>0</v>
      </c>
      <c r="S99" s="49"/>
    </row>
    <row r="100" spans="1:20">
      <c r="A100" s="781"/>
      <c r="B100" s="781"/>
      <c r="C100" s="779"/>
      <c r="D100" s="782"/>
      <c r="E100" s="779"/>
      <c r="F100" s="783"/>
      <c r="G100" s="779"/>
      <c r="H100" s="783"/>
      <c r="I100" s="784"/>
      <c r="J100" s="784"/>
      <c r="K100" s="785"/>
      <c r="L100" s="785">
        <f>Tabela6[[#This Row],[ORÇADO ]]-Tabela6[[#This Row],[CONT.]]</f>
        <v>0</v>
      </c>
      <c r="M100" s="182">
        <f>SUMIFS('ALT. ORÇ. E PROJ.'!H:H,'ALT. ORÇ. E PROJ.'!E:E,Tabela6[[#This Row],[PROG.]],'ALT. ORÇ. E PROJ.'!F:F,Tabela6[[#This Row],[PROJETO]],'ALT. ORÇ. E PROJ.'!G:G,Tabela6[[#This Row],[FICHA]])</f>
        <v>0</v>
      </c>
      <c r="N100" s="182">
        <f>SUMIFS('ALT. ORÇ. E PROJ.'!H:H,'ALT. ORÇ. E PROJ.'!B:B,Tabela6[[#This Row],[PROG.]],'ALT. ORÇ. E PROJ.'!C:C,Tabela6[[#This Row],[PROJETO]],'ALT. ORÇ. E PROJ.'!D:D,Tabela6[[#This Row],[FICHA]])</f>
        <v>0</v>
      </c>
      <c r="O100" s="183">
        <f>SUMIFS(RESERVA!$M:$M,RESERVA!C:C,Tabela6[[#This Row],[PROG.]],RESERVA!D:D,Tabela6[[#This Row],[FICHA]],RESERVA!E:E,Tabela6[[#This Row],[AÇÃO]],RESERVA!F:F,Tabela6[[#This Row],[PROJETO]])</f>
        <v>0</v>
      </c>
      <c r="P100" s="183">
        <f>SUMIFS('EMPENHO '!L:$L,'EMPENHO '!B:B,Tabela6[[#This Row],[PROG.]],'EMPENHO '!C:C,Tabela6[[#This Row],[FICHA]],'EMPENHO '!D:D,Tabela6[[#This Row],[AÇÃO]],'EMPENHO '!E:E,Tabela6[[#This Row],[PROJETO]])</f>
        <v>0</v>
      </c>
      <c r="Q100" s="333">
        <f>Tabela6[[#This Row],[SALDO INICIAL 
COM CONTING.]]-Tabela6[[#This Row],[ANULADO/
CEDIDO]]-Tabela6[[#This Row],[RESERVADO]]-Tabela6[[#This Row],[EMPENHADO]]+Tabela6[[#This Row],[SUPLEMENTADO/
RECEBIDO]]</f>
        <v>0</v>
      </c>
      <c r="S100" s="49"/>
      <c r="T100" s="16"/>
    </row>
    <row r="101" spans="1:20">
      <c r="A101" s="781"/>
      <c r="B101" s="781"/>
      <c r="C101" s="779"/>
      <c r="D101" s="782"/>
      <c r="E101" s="779"/>
      <c r="F101" s="783"/>
      <c r="G101" s="779"/>
      <c r="H101" s="783"/>
      <c r="I101" s="784"/>
      <c r="J101" s="784"/>
      <c r="K101" s="784"/>
      <c r="L101" s="784">
        <f>Tabela6[[#This Row],[ORÇADO ]]-Tabela6[[#This Row],[CONT.]]</f>
        <v>0</v>
      </c>
      <c r="M101" s="182">
        <f>SUMIFS('ALT. ORÇ. E PROJ.'!H:H,'ALT. ORÇ. E PROJ.'!E:E,Tabela6[[#This Row],[PROG.]],'ALT. ORÇ. E PROJ.'!F:F,Tabela6[[#This Row],[PROJETO]],'ALT. ORÇ. E PROJ.'!G:G,Tabela6[[#This Row],[FICHA]])</f>
        <v>0</v>
      </c>
      <c r="N101" s="182">
        <f>SUMIFS('ALT. ORÇ. E PROJ.'!H:H,'ALT. ORÇ. E PROJ.'!B:B,Tabela6[[#This Row],[PROG.]],'ALT. ORÇ. E PROJ.'!C:C,Tabela6[[#This Row],[PROJETO]],'ALT. ORÇ. E PROJ.'!D:D,Tabela6[[#This Row],[FICHA]])</f>
        <v>0</v>
      </c>
      <c r="O101" s="183">
        <f>SUMIFS(RESERVA!$M:$M,RESERVA!C:C,Tabela6[[#This Row],[PROG.]],RESERVA!D:D,Tabela6[[#This Row],[FICHA]],RESERVA!E:E,Tabela6[[#This Row],[AÇÃO]],RESERVA!F:F,Tabela6[[#This Row],[PROJETO]])</f>
        <v>0</v>
      </c>
      <c r="P101" s="183">
        <f>SUMIFS('EMPENHO '!L:$L,'EMPENHO '!B:B,Tabela6[[#This Row],[PROG.]],'EMPENHO '!C:C,Tabela6[[#This Row],[FICHA]],'EMPENHO '!D:D,Tabela6[[#This Row],[AÇÃO]],'EMPENHO '!E:E,Tabela6[[#This Row],[PROJETO]])</f>
        <v>0</v>
      </c>
      <c r="Q101" s="333">
        <f>Tabela6[[#This Row],[SALDO INICIAL 
COM CONTING.]]-Tabela6[[#This Row],[ANULADO/
CEDIDO]]-Tabela6[[#This Row],[RESERVADO]]-Tabela6[[#This Row],[EMPENHADO]]+Tabela6[[#This Row],[SUPLEMENTADO/
RECEBIDO]]</f>
        <v>0</v>
      </c>
      <c r="S101" s="49"/>
      <c r="T101" s="62"/>
    </row>
    <row r="102" spans="1:20">
      <c r="A102" s="781"/>
      <c r="B102" s="781"/>
      <c r="C102" s="779"/>
      <c r="D102" s="782"/>
      <c r="E102" s="779"/>
      <c r="F102" s="783"/>
      <c r="G102" s="779"/>
      <c r="H102" s="783"/>
      <c r="I102" s="784"/>
      <c r="J102" s="784"/>
      <c r="K102" s="785"/>
      <c r="L102" s="785">
        <f>Tabela6[[#This Row],[ORÇADO ]]-Tabela6[[#This Row],[CONT.]]</f>
        <v>0</v>
      </c>
      <c r="M102" s="182">
        <f>SUMIFS('ALT. ORÇ. E PROJ.'!H:H,'ALT. ORÇ. E PROJ.'!E:E,Tabela6[[#This Row],[PROG.]],'ALT. ORÇ. E PROJ.'!F:F,Tabela6[[#This Row],[PROJETO]],'ALT. ORÇ. E PROJ.'!G:G,Tabela6[[#This Row],[FICHA]])</f>
        <v>0</v>
      </c>
      <c r="N102" s="182">
        <f>SUMIFS('ALT. ORÇ. E PROJ.'!H:H,'ALT. ORÇ. E PROJ.'!B:B,Tabela6[[#This Row],[PROG.]],'ALT. ORÇ. E PROJ.'!C:C,Tabela6[[#This Row],[PROJETO]],'ALT. ORÇ. E PROJ.'!D:D,Tabela6[[#This Row],[FICHA]])</f>
        <v>0</v>
      </c>
      <c r="O102" s="183">
        <f>SUMIFS(RESERVA!$M:$M,RESERVA!C:C,Tabela6[[#This Row],[PROG.]],RESERVA!D:D,Tabela6[[#This Row],[FICHA]],RESERVA!E:E,Tabela6[[#This Row],[AÇÃO]],RESERVA!F:F,Tabela6[[#This Row],[PROJETO]])</f>
        <v>0</v>
      </c>
      <c r="P102" s="183">
        <f>SUMIFS('EMPENHO '!L:$L,'EMPENHO '!B:B,Tabela6[[#This Row],[PROG.]],'EMPENHO '!C:C,Tabela6[[#This Row],[FICHA]],'EMPENHO '!D:D,Tabela6[[#This Row],[AÇÃO]],'EMPENHO '!E:E,Tabela6[[#This Row],[PROJETO]])</f>
        <v>0</v>
      </c>
      <c r="Q102" s="333">
        <f>Tabela6[[#This Row],[SALDO INICIAL 
COM CONTING.]]-Tabela6[[#This Row],[ANULADO/
CEDIDO]]-Tabela6[[#This Row],[RESERVADO]]-Tabela6[[#This Row],[EMPENHADO]]+Tabela6[[#This Row],[SUPLEMENTADO/
RECEBIDO]]</f>
        <v>0</v>
      </c>
      <c r="S102" s="49"/>
      <c r="T102" s="16"/>
    </row>
    <row r="103" spans="1:20">
      <c r="A103" s="781"/>
      <c r="B103" s="781"/>
      <c r="C103" s="779"/>
      <c r="D103" s="782"/>
      <c r="E103" s="779"/>
      <c r="F103" s="783"/>
      <c r="G103" s="779"/>
      <c r="H103" s="783"/>
      <c r="I103" s="784"/>
      <c r="J103" s="784"/>
      <c r="K103" s="784"/>
      <c r="L103" s="784">
        <f>Tabela6[[#This Row],[ORÇADO ]]-Tabela6[[#This Row],[CONT.]]</f>
        <v>0</v>
      </c>
      <c r="M103" s="182">
        <f>SUMIFS('ALT. ORÇ. E PROJ.'!H:H,'ALT. ORÇ. E PROJ.'!E:E,Tabela6[[#This Row],[PROG.]],'ALT. ORÇ. E PROJ.'!F:F,Tabela6[[#This Row],[PROJETO]],'ALT. ORÇ. E PROJ.'!G:G,Tabela6[[#This Row],[FICHA]])</f>
        <v>0</v>
      </c>
      <c r="N103" s="182">
        <f>SUMIFS('ALT. ORÇ. E PROJ.'!H:H,'ALT. ORÇ. E PROJ.'!B:B,Tabela6[[#This Row],[PROG.]],'ALT. ORÇ. E PROJ.'!C:C,Tabela6[[#This Row],[PROJETO]],'ALT. ORÇ. E PROJ.'!D:D,Tabela6[[#This Row],[FICHA]])</f>
        <v>0</v>
      </c>
      <c r="O103" s="183">
        <f>SUMIFS(RESERVA!$M:$M,RESERVA!C:C,Tabela6[[#This Row],[PROG.]],RESERVA!D:D,Tabela6[[#This Row],[FICHA]],RESERVA!E:E,Tabela6[[#This Row],[AÇÃO]],RESERVA!F:F,Tabela6[[#This Row],[PROJETO]])</f>
        <v>0</v>
      </c>
      <c r="P103" s="183">
        <f>SUMIFS('EMPENHO '!L:$L,'EMPENHO '!B:B,Tabela6[[#This Row],[PROG.]],'EMPENHO '!C:C,Tabela6[[#This Row],[FICHA]],'EMPENHO '!D:D,Tabela6[[#This Row],[AÇÃO]],'EMPENHO '!E:E,Tabela6[[#This Row],[PROJETO]])</f>
        <v>0</v>
      </c>
      <c r="Q103" s="333">
        <f>Tabela6[[#This Row],[SALDO INICIAL 
COM CONTING.]]-Tabela6[[#This Row],[ANULADO/
CEDIDO]]-Tabela6[[#This Row],[RESERVADO]]-Tabela6[[#This Row],[EMPENHADO]]+Tabela6[[#This Row],[SUPLEMENTADO/
RECEBIDO]]</f>
        <v>0</v>
      </c>
      <c r="S103" s="49"/>
      <c r="T103" s="62"/>
    </row>
    <row r="104" spans="1:20">
      <c r="A104" s="781"/>
      <c r="B104" s="781"/>
      <c r="C104" s="779"/>
      <c r="D104" s="782"/>
      <c r="E104" s="779"/>
      <c r="F104" s="783"/>
      <c r="G104" s="779"/>
      <c r="H104" s="783"/>
      <c r="I104" s="784"/>
      <c r="J104" s="784"/>
      <c r="K104" s="785"/>
      <c r="L104" s="785">
        <f>Tabela6[[#This Row],[ORÇADO ]]-Tabela6[[#This Row],[CONT.]]</f>
        <v>0</v>
      </c>
      <c r="M104" s="182">
        <f>SUMIFS('ALT. ORÇ. E PROJ.'!H:H,'ALT. ORÇ. E PROJ.'!E:E,Tabela6[[#This Row],[PROG.]],'ALT. ORÇ. E PROJ.'!F:F,Tabela6[[#This Row],[PROJETO]],'ALT. ORÇ. E PROJ.'!G:G,Tabela6[[#This Row],[FICHA]])</f>
        <v>0</v>
      </c>
      <c r="N104" s="182">
        <f>SUMIFS('ALT. ORÇ. E PROJ.'!H:H,'ALT. ORÇ. E PROJ.'!B:B,Tabela6[[#This Row],[PROG.]],'ALT. ORÇ. E PROJ.'!C:C,Tabela6[[#This Row],[PROJETO]],'ALT. ORÇ. E PROJ.'!D:D,Tabela6[[#This Row],[FICHA]])</f>
        <v>0</v>
      </c>
      <c r="O104" s="183">
        <f>SUMIFS(RESERVA!$M:$M,RESERVA!C:C,Tabela6[[#This Row],[PROG.]],RESERVA!D:D,Tabela6[[#This Row],[FICHA]],RESERVA!E:E,Tabela6[[#This Row],[AÇÃO]],RESERVA!F:F,Tabela6[[#This Row],[PROJETO]])</f>
        <v>0</v>
      </c>
      <c r="P104" s="183">
        <f>SUMIFS('EMPENHO '!L:$L,'EMPENHO '!B:B,Tabela6[[#This Row],[PROG.]],'EMPENHO '!C:C,Tabela6[[#This Row],[FICHA]],'EMPENHO '!D:D,Tabela6[[#This Row],[AÇÃO]],'EMPENHO '!E:E,Tabela6[[#This Row],[PROJETO]])</f>
        <v>0</v>
      </c>
      <c r="Q104" s="333">
        <f>Tabela6[[#This Row],[SALDO INICIAL 
COM CONTING.]]-Tabela6[[#This Row],[ANULADO/
CEDIDO]]-Tabela6[[#This Row],[RESERVADO]]-Tabela6[[#This Row],[EMPENHADO]]+Tabela6[[#This Row],[SUPLEMENTADO/
RECEBIDO]]</f>
        <v>0</v>
      </c>
      <c r="S104" s="49"/>
    </row>
    <row r="105" spans="1:20">
      <c r="A105" s="781"/>
      <c r="B105" s="781"/>
      <c r="C105" s="779"/>
      <c r="D105" s="782"/>
      <c r="E105" s="779"/>
      <c r="F105" s="783"/>
      <c r="G105" s="779"/>
      <c r="H105" s="783"/>
      <c r="I105" s="784"/>
      <c r="J105" s="784"/>
      <c r="K105" s="784"/>
      <c r="L105" s="784">
        <f>Tabela6[[#This Row],[ORÇADO ]]-Tabela6[[#This Row],[CONT.]]</f>
        <v>0</v>
      </c>
      <c r="M105" s="182">
        <f>SUMIFS('ALT. ORÇ. E PROJ.'!H:H,'ALT. ORÇ. E PROJ.'!E:E,Tabela6[[#This Row],[PROG.]],'ALT. ORÇ. E PROJ.'!F:F,Tabela6[[#This Row],[PROJETO]],'ALT. ORÇ. E PROJ.'!G:G,Tabela6[[#This Row],[FICHA]])</f>
        <v>0</v>
      </c>
      <c r="N105" s="182">
        <f>SUMIFS('ALT. ORÇ. E PROJ.'!H:H,'ALT. ORÇ. E PROJ.'!B:B,Tabela6[[#This Row],[PROG.]],'ALT. ORÇ. E PROJ.'!C:C,Tabela6[[#This Row],[PROJETO]],'ALT. ORÇ. E PROJ.'!D:D,Tabela6[[#This Row],[FICHA]])</f>
        <v>0</v>
      </c>
      <c r="O105" s="183">
        <f>SUMIFS(RESERVA!$M:$M,RESERVA!C:C,Tabela6[[#This Row],[PROG.]],RESERVA!D:D,Tabela6[[#This Row],[FICHA]],RESERVA!E:E,Tabela6[[#This Row],[AÇÃO]],RESERVA!F:F,Tabela6[[#This Row],[PROJETO]])</f>
        <v>0</v>
      </c>
      <c r="P105" s="183">
        <f>SUMIFS('EMPENHO '!L:$L,'EMPENHO '!B:B,Tabela6[[#This Row],[PROG.]],'EMPENHO '!C:C,Tabela6[[#This Row],[FICHA]],'EMPENHO '!D:D,Tabela6[[#This Row],[AÇÃO]],'EMPENHO '!E:E,Tabela6[[#This Row],[PROJETO]])</f>
        <v>0</v>
      </c>
      <c r="Q105" s="333">
        <f>Tabela6[[#This Row],[SALDO INICIAL 
COM CONTING.]]-Tabela6[[#This Row],[ANULADO/
CEDIDO]]-Tabela6[[#This Row],[RESERVADO]]-Tabela6[[#This Row],[EMPENHADO]]+Tabela6[[#This Row],[SUPLEMENTADO/
RECEBIDO]]</f>
        <v>0</v>
      </c>
      <c r="S105" s="49"/>
      <c r="T105" s="16"/>
    </row>
    <row r="106" spans="1:20">
      <c r="A106" s="781"/>
      <c r="B106" s="781"/>
      <c r="C106" s="779"/>
      <c r="D106" s="782"/>
      <c r="E106" s="779"/>
      <c r="F106" s="783"/>
      <c r="G106" s="779"/>
      <c r="H106" s="783"/>
      <c r="I106" s="784"/>
      <c r="J106" s="784"/>
      <c r="K106" s="785"/>
      <c r="L106" s="785">
        <f>Tabela6[[#This Row],[ORÇADO ]]-Tabela6[[#This Row],[CONT.]]</f>
        <v>0</v>
      </c>
      <c r="M106" s="182">
        <f>SUMIFS('ALT. ORÇ. E PROJ.'!H:H,'ALT. ORÇ. E PROJ.'!E:E,Tabela6[[#This Row],[PROG.]],'ALT. ORÇ. E PROJ.'!F:F,Tabela6[[#This Row],[PROJETO]],'ALT. ORÇ. E PROJ.'!G:G,Tabela6[[#This Row],[FICHA]])</f>
        <v>0</v>
      </c>
      <c r="N106" s="182">
        <f>SUMIFS('ALT. ORÇ. E PROJ.'!H:H,'ALT. ORÇ. E PROJ.'!B:B,Tabela6[[#This Row],[PROG.]],'ALT. ORÇ. E PROJ.'!C:C,Tabela6[[#This Row],[PROJETO]],'ALT. ORÇ. E PROJ.'!D:D,Tabela6[[#This Row],[FICHA]])</f>
        <v>0</v>
      </c>
      <c r="O106" s="183">
        <f>SUMIFS(RESERVA!$M:$M,RESERVA!C:C,Tabela6[[#This Row],[PROG.]],RESERVA!D:D,Tabela6[[#This Row],[FICHA]],RESERVA!E:E,Tabela6[[#This Row],[AÇÃO]],RESERVA!F:F,Tabela6[[#This Row],[PROJETO]])</f>
        <v>0</v>
      </c>
      <c r="P106" s="183">
        <f>SUMIFS('EMPENHO '!L:$L,'EMPENHO '!B:B,Tabela6[[#This Row],[PROG.]],'EMPENHO '!C:C,Tabela6[[#This Row],[FICHA]],'EMPENHO '!D:D,Tabela6[[#This Row],[AÇÃO]],'EMPENHO '!E:E,Tabela6[[#This Row],[PROJETO]])</f>
        <v>0</v>
      </c>
      <c r="Q106" s="333">
        <f>Tabela6[[#This Row],[SALDO INICIAL 
COM CONTING.]]-Tabela6[[#This Row],[ANULADO/
CEDIDO]]-Tabela6[[#This Row],[RESERVADO]]-Tabela6[[#This Row],[EMPENHADO]]+Tabela6[[#This Row],[SUPLEMENTADO/
RECEBIDO]]</f>
        <v>0</v>
      </c>
      <c r="S106" s="49"/>
      <c r="T106" s="16"/>
    </row>
    <row r="107" spans="1:20">
      <c r="A107" s="781"/>
      <c r="B107" s="781"/>
      <c r="C107" s="779"/>
      <c r="D107" s="782"/>
      <c r="E107" s="779"/>
      <c r="F107" s="783"/>
      <c r="G107" s="779"/>
      <c r="H107" s="783"/>
      <c r="I107" s="784"/>
      <c r="J107" s="784"/>
      <c r="K107" s="784"/>
      <c r="L107" s="784">
        <f>Tabela6[[#This Row],[ORÇADO ]]-Tabela6[[#This Row],[CONT.]]</f>
        <v>0</v>
      </c>
      <c r="M107" s="182">
        <f>SUMIFS('ALT. ORÇ. E PROJ.'!H:H,'ALT. ORÇ. E PROJ.'!E:E,Tabela6[[#This Row],[PROG.]],'ALT. ORÇ. E PROJ.'!F:F,Tabela6[[#This Row],[PROJETO]],'ALT. ORÇ. E PROJ.'!G:G,Tabela6[[#This Row],[FICHA]])</f>
        <v>0</v>
      </c>
      <c r="N107" s="182">
        <f>SUMIFS('ALT. ORÇ. E PROJ.'!H:H,'ALT. ORÇ. E PROJ.'!B:B,Tabela6[[#This Row],[PROG.]],'ALT. ORÇ. E PROJ.'!C:C,Tabela6[[#This Row],[PROJETO]],'ALT. ORÇ. E PROJ.'!D:D,Tabela6[[#This Row],[FICHA]])</f>
        <v>0</v>
      </c>
      <c r="O107" s="183">
        <f>SUMIFS(RESERVA!$M:$M,RESERVA!C:C,Tabela6[[#This Row],[PROG.]],RESERVA!D:D,Tabela6[[#This Row],[FICHA]],RESERVA!E:E,Tabela6[[#This Row],[AÇÃO]],RESERVA!F:F,Tabela6[[#This Row],[PROJETO]])</f>
        <v>0</v>
      </c>
      <c r="P107" s="183">
        <f>SUMIFS('EMPENHO '!L:$L,'EMPENHO '!B:B,Tabela6[[#This Row],[PROG.]],'EMPENHO '!C:C,Tabela6[[#This Row],[FICHA]],'EMPENHO '!D:D,Tabela6[[#This Row],[AÇÃO]],'EMPENHO '!E:E,Tabela6[[#This Row],[PROJETO]])</f>
        <v>0</v>
      </c>
      <c r="Q107" s="333">
        <f>Tabela6[[#This Row],[SALDO INICIAL 
COM CONTING.]]-Tabela6[[#This Row],[ANULADO/
CEDIDO]]-Tabela6[[#This Row],[RESERVADO]]-Tabela6[[#This Row],[EMPENHADO]]+Tabela6[[#This Row],[SUPLEMENTADO/
RECEBIDO]]</f>
        <v>0</v>
      </c>
      <c r="T107" s="16"/>
    </row>
    <row r="108" spans="1:20">
      <c r="A108" s="781"/>
      <c r="B108" s="781"/>
      <c r="C108" s="779"/>
      <c r="D108" s="782"/>
      <c r="E108" s="779"/>
      <c r="F108" s="783"/>
      <c r="G108" s="779"/>
      <c r="H108" s="783"/>
      <c r="I108" s="784"/>
      <c r="J108" s="784"/>
      <c r="K108" s="785"/>
      <c r="L108" s="785">
        <f>Tabela6[[#This Row],[ORÇADO ]]-Tabela6[[#This Row],[CONT.]]</f>
        <v>0</v>
      </c>
      <c r="M108" s="182">
        <f>SUMIFS('ALT. ORÇ. E PROJ.'!H:H,'ALT. ORÇ. E PROJ.'!E:E,Tabela6[[#This Row],[PROG.]],'ALT. ORÇ. E PROJ.'!F:F,Tabela6[[#This Row],[PROJETO]],'ALT. ORÇ. E PROJ.'!G:G,Tabela6[[#This Row],[FICHA]])</f>
        <v>0</v>
      </c>
      <c r="N108" s="182">
        <f>SUMIFS('ALT. ORÇ. E PROJ.'!H:H,'ALT. ORÇ. E PROJ.'!B:B,Tabela6[[#This Row],[PROG.]],'ALT. ORÇ. E PROJ.'!C:C,Tabela6[[#This Row],[PROJETO]],'ALT. ORÇ. E PROJ.'!D:D,Tabela6[[#This Row],[FICHA]])</f>
        <v>0</v>
      </c>
      <c r="O108" s="183">
        <f>SUMIFS(RESERVA!$M:$M,RESERVA!C:C,Tabela6[[#This Row],[PROG.]],RESERVA!D:D,Tabela6[[#This Row],[FICHA]],RESERVA!E:E,Tabela6[[#This Row],[AÇÃO]],RESERVA!F:F,Tabela6[[#This Row],[PROJETO]])</f>
        <v>0</v>
      </c>
      <c r="P108" s="183">
        <f>SUMIFS('EMPENHO '!L:$L,'EMPENHO '!B:B,Tabela6[[#This Row],[PROG.]],'EMPENHO '!C:C,Tabela6[[#This Row],[FICHA]],'EMPENHO '!D:D,Tabela6[[#This Row],[AÇÃO]],'EMPENHO '!E:E,Tabela6[[#This Row],[PROJETO]])</f>
        <v>0</v>
      </c>
      <c r="Q108" s="333">
        <f>Tabela6[[#This Row],[SALDO INICIAL 
COM CONTING.]]-Tabela6[[#This Row],[ANULADO/
CEDIDO]]-Tabela6[[#This Row],[RESERVADO]]-Tabela6[[#This Row],[EMPENHADO]]+Tabela6[[#This Row],[SUPLEMENTADO/
RECEBIDO]]</f>
        <v>0</v>
      </c>
      <c r="T108" s="16"/>
    </row>
    <row r="109" spans="1:20">
      <c r="A109" s="781"/>
      <c r="B109" s="781"/>
      <c r="C109" s="779"/>
      <c r="D109" s="782"/>
      <c r="E109" s="779"/>
      <c r="F109" s="783"/>
      <c r="G109" s="779"/>
      <c r="H109" s="783"/>
      <c r="I109" s="784"/>
      <c r="J109" s="784"/>
      <c r="K109" s="784"/>
      <c r="L109" s="784">
        <f>Tabela6[[#This Row],[ORÇADO ]]-Tabela6[[#This Row],[CONT.]]</f>
        <v>0</v>
      </c>
      <c r="M109" s="182">
        <f>SUMIFS('ALT. ORÇ. E PROJ.'!H:H,'ALT. ORÇ. E PROJ.'!E:E,Tabela6[[#This Row],[PROG.]],'ALT. ORÇ. E PROJ.'!F:F,Tabela6[[#This Row],[PROJETO]],'ALT. ORÇ. E PROJ.'!G:G,Tabela6[[#This Row],[FICHA]])</f>
        <v>0</v>
      </c>
      <c r="N109" s="182">
        <f>SUMIFS('ALT. ORÇ. E PROJ.'!H:H,'ALT. ORÇ. E PROJ.'!B:B,Tabela6[[#This Row],[PROG.]],'ALT. ORÇ. E PROJ.'!C:C,Tabela6[[#This Row],[PROJETO]],'ALT. ORÇ. E PROJ.'!D:D,Tabela6[[#This Row],[FICHA]])</f>
        <v>0</v>
      </c>
      <c r="O109" s="183">
        <f>SUMIFS(RESERVA!$M:$M,RESERVA!C:C,Tabela6[[#This Row],[PROG.]],RESERVA!D:D,Tabela6[[#This Row],[FICHA]],RESERVA!E:E,Tabela6[[#This Row],[AÇÃO]],RESERVA!F:F,Tabela6[[#This Row],[PROJETO]])</f>
        <v>0</v>
      </c>
      <c r="P109" s="183">
        <f>SUMIFS('EMPENHO '!L:$L,'EMPENHO '!B:B,Tabela6[[#This Row],[PROG.]],'EMPENHO '!C:C,Tabela6[[#This Row],[FICHA]],'EMPENHO '!D:D,Tabela6[[#This Row],[AÇÃO]],'EMPENHO '!E:E,Tabela6[[#This Row],[PROJETO]])</f>
        <v>0</v>
      </c>
      <c r="Q109" s="333">
        <f>Tabela6[[#This Row],[SALDO INICIAL 
COM CONTING.]]-Tabela6[[#This Row],[ANULADO/
CEDIDO]]-Tabela6[[#This Row],[RESERVADO]]-Tabela6[[#This Row],[EMPENHADO]]+Tabela6[[#This Row],[SUPLEMENTADO/
RECEBIDO]]</f>
        <v>0</v>
      </c>
      <c r="T109" s="16"/>
    </row>
    <row r="110" spans="1:20" ht="16.5" thickBot="1">
      <c r="I110" s="84">
        <f t="shared" ref="I110:N110" si="0">SUBTOTAL(9,I4:I109)</f>
        <v>188694000</v>
      </c>
      <c r="J110" s="84">
        <f t="shared" si="0"/>
        <v>271500</v>
      </c>
      <c r="K110" s="84">
        <f t="shared" si="0"/>
        <v>0</v>
      </c>
      <c r="L110" s="84">
        <f t="shared" si="0"/>
        <v>188422500</v>
      </c>
      <c r="M110" s="84">
        <f t="shared" si="0"/>
        <v>27826194.210000001</v>
      </c>
      <c r="N110" s="84">
        <f t="shared" si="0"/>
        <v>29113965.989999998</v>
      </c>
      <c r="O110" s="84">
        <f>SUBTOTAL(109,Tabela6[RESERVADO])</f>
        <v>333822.65999999997</v>
      </c>
      <c r="P110" s="473">
        <f>SUBTOTAL(9,P4:P109)</f>
        <v>180228882.50999999</v>
      </c>
      <c r="Q110" s="473">
        <f>SUBTOTAL(9,Q4:Q109)</f>
        <v>6572023.0499999998</v>
      </c>
      <c r="S110" s="10"/>
    </row>
    <row r="111" spans="1:20" ht="16.5" thickTop="1">
      <c r="I111" s="190"/>
      <c r="J111" s="190"/>
      <c r="K111" s="190"/>
      <c r="L111" s="190"/>
      <c r="M111" s="190"/>
      <c r="N111" s="190"/>
      <c r="O111" s="190"/>
      <c r="P111" s="190"/>
      <c r="Q111" s="190"/>
      <c r="S111" s="10"/>
    </row>
    <row r="112" spans="1:20">
      <c r="O112" s="10"/>
    </row>
    <row r="113" spans="18:19">
      <c r="S113" s="62"/>
    </row>
    <row r="114" spans="18:19">
      <c r="S114" s="62"/>
    </row>
    <row r="119" spans="18:19">
      <c r="R119" s="10"/>
    </row>
  </sheetData>
  <sheetProtection selectLockedCells="1" autoFilter="0" selectUnlockedCells="1"/>
  <mergeCells count="2">
    <mergeCell ref="M2:N2"/>
    <mergeCell ref="J2:L2"/>
  </mergeCells>
  <phoneticPr fontId="9" type="noConversion"/>
  <conditionalFormatting sqref="Q4:Q109">
    <cfRule type="cellIs" dxfId="437" priority="18" operator="equal">
      <formula>0</formula>
    </cfRule>
    <cfRule type="cellIs" dxfId="436" priority="19" operator="equal">
      <formula>0</formula>
    </cfRule>
    <cfRule type="cellIs" dxfId="435" priority="20" operator="lessThan">
      <formula>0</formula>
    </cfRule>
    <cfRule type="cellIs" dxfId="434" priority="21" operator="greaterThan">
      <formula>0.001</formula>
    </cfRule>
  </conditionalFormatting>
  <pageMargins left="0.23622047244094491" right="0.23622047244094491" top="0.74803149606299213" bottom="0.74803149606299213" header="0.31496062992125984" footer="0.31496062992125984"/>
  <pageSetup paperSize="9" scale="42" fitToHeight="0"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4">
    <tabColor theme="8" tint="-0.249977111117893"/>
  </sheetPr>
  <dimension ref="A1:P229"/>
  <sheetViews>
    <sheetView showGridLines="0" zoomScale="90" zoomScaleNormal="90" workbookViewId="0">
      <pane ySplit="2" topLeftCell="A3" activePane="bottomLeft" state="frozen"/>
      <selection activeCell="D274" sqref="D274"/>
      <selection pane="bottomLeft" activeCell="A214" sqref="A214"/>
    </sheetView>
  </sheetViews>
  <sheetFormatPr defaultRowHeight="15"/>
  <cols>
    <col min="1" max="1" width="12.28515625" style="37" bestFit="1" customWidth="1"/>
    <col min="2" max="2" width="15.42578125" style="37" customWidth="1"/>
    <col min="3" max="3" width="18.5703125" style="37" bestFit="1" customWidth="1"/>
    <col min="4" max="5" width="12.7109375" style="37" bestFit="1" customWidth="1"/>
    <col min="6" max="6" width="15.5703125" style="37" bestFit="1" customWidth="1"/>
    <col min="7" max="7" width="44.28515625" bestFit="1" customWidth="1"/>
    <col min="8" max="8" width="98.5703125" style="18" customWidth="1"/>
    <col min="9" max="9" width="19.28515625" bestFit="1" customWidth="1"/>
    <col min="10" max="10" width="20" customWidth="1"/>
    <col min="11" max="11" width="17.42578125" style="15" customWidth="1"/>
    <col min="12" max="12" width="21.140625" style="62" customWidth="1"/>
    <col min="13" max="13" width="22.85546875" style="39" bestFit="1" customWidth="1"/>
    <col min="14" max="14" width="17.42578125" style="16" customWidth="1"/>
    <col min="16" max="16" width="19.140625" customWidth="1"/>
  </cols>
  <sheetData>
    <row r="1" spans="1:16" ht="87" customHeight="1">
      <c r="C1" s="790"/>
      <c r="K1" s="867"/>
    </row>
    <row r="2" spans="1:16" ht="31.5">
      <c r="A2" s="111" t="s">
        <v>96</v>
      </c>
      <c r="B2" s="167" t="s">
        <v>42</v>
      </c>
      <c r="C2" s="111" t="s">
        <v>97</v>
      </c>
      <c r="D2" s="74" t="s">
        <v>14</v>
      </c>
      <c r="E2" s="74" t="s">
        <v>16</v>
      </c>
      <c r="F2" s="74" t="s">
        <v>18</v>
      </c>
      <c r="G2" s="168" t="s">
        <v>15</v>
      </c>
      <c r="H2" s="169" t="s">
        <v>78</v>
      </c>
      <c r="I2" s="170" t="s">
        <v>79</v>
      </c>
      <c r="J2" s="170" t="s">
        <v>80</v>
      </c>
      <c r="K2" s="171" t="s">
        <v>81</v>
      </c>
      <c r="L2" s="172" t="s">
        <v>88</v>
      </c>
      <c r="M2" s="173" t="s">
        <v>98</v>
      </c>
      <c r="N2" s="174" t="s">
        <v>89</v>
      </c>
      <c r="P2" s="1009"/>
    </row>
    <row r="3" spans="1:16" hidden="1">
      <c r="A3" s="694">
        <v>45687</v>
      </c>
      <c r="B3" s="167">
        <v>2623</v>
      </c>
      <c r="C3" s="83">
        <v>30</v>
      </c>
      <c r="D3" s="83">
        <v>2261</v>
      </c>
      <c r="E3" s="83">
        <v>2126</v>
      </c>
      <c r="F3" s="83">
        <v>104</v>
      </c>
      <c r="G3" s="175" t="s">
        <v>211</v>
      </c>
      <c r="H3" s="175" t="s">
        <v>292</v>
      </c>
      <c r="I3" s="176">
        <v>3070.32</v>
      </c>
      <c r="J3" s="176">
        <v>3070.32</v>
      </c>
      <c r="K3" s="176"/>
      <c r="L3" s="199">
        <f>SUMIFS('EMPENHO '!J:J,'EMPENHO '!B:B,Tabela96[[#This Row],[PROGRAMA]],'EMPENHO '!C:C,Tabela96[[#This Row],[FICHA]],'EMPENHO '!D:D,Tabela96[[#This Row],[AÇÃO]],'EMPENHO '!E:E,Tabela96[[#This Row],[PROJETO]],'EMPENHO '!F:F,Tabela96[[#This Row],[RESERVA]])</f>
        <v>6140.64</v>
      </c>
      <c r="M3" s="200">
        <f>Tabela96[[#This Row],[VALOR]]+Tabela96[[#This Row],[COMPLEMENTO]]-Tabela96[[#This Row],[DESBLOQUEIO]]-Tabela96[[#This Row],[VALOR
 EMPENHO]]-Tabela96[[#This Row],[SALDO 
CANCELADO]]</f>
        <v>0</v>
      </c>
      <c r="N3" s="200"/>
      <c r="P3" s="1007"/>
    </row>
    <row r="4" spans="1:16" hidden="1">
      <c r="A4" s="694">
        <v>45687</v>
      </c>
      <c r="B4" s="167">
        <v>2624</v>
      </c>
      <c r="C4" s="83">
        <v>29</v>
      </c>
      <c r="D4" s="83">
        <v>2248</v>
      </c>
      <c r="E4" s="83">
        <v>2123</v>
      </c>
      <c r="F4" s="83">
        <v>69</v>
      </c>
      <c r="G4" s="175" t="s">
        <v>191</v>
      </c>
      <c r="H4" s="175" t="s">
        <v>291</v>
      </c>
      <c r="I4" s="176">
        <v>44282</v>
      </c>
      <c r="J4" s="176"/>
      <c r="K4" s="176"/>
      <c r="L4" s="199">
        <f>SUMIFS('EMPENHO '!J:J,'EMPENHO '!B:B,Tabela96[[#This Row],[PROGRAMA]],'EMPENHO '!C:C,Tabela96[[#This Row],[FICHA]],'EMPENHO '!D:D,Tabela96[[#This Row],[AÇÃO]],'EMPENHO '!E:E,Tabela96[[#This Row],[PROJETO]],'EMPENHO '!F:F,Tabela96[[#This Row],[RESERVA]])</f>
        <v>44282</v>
      </c>
      <c r="M4" s="200">
        <f>Tabela96[[#This Row],[VALOR]]+Tabela96[[#This Row],[COMPLEMENTO]]-Tabela96[[#This Row],[DESBLOQUEIO]]-Tabela96[[#This Row],[VALOR
 EMPENHO]]-Tabela96[[#This Row],[SALDO 
CANCELADO]]</f>
        <v>0</v>
      </c>
      <c r="N4" s="200"/>
      <c r="P4" s="1007"/>
    </row>
    <row r="5" spans="1:16" hidden="1">
      <c r="A5" s="694">
        <v>45687</v>
      </c>
      <c r="B5" s="167">
        <v>2626</v>
      </c>
      <c r="C5" s="83">
        <v>32</v>
      </c>
      <c r="D5" s="83">
        <v>2226</v>
      </c>
      <c r="E5" s="83">
        <v>2128</v>
      </c>
      <c r="F5" s="83">
        <v>84</v>
      </c>
      <c r="G5" s="175" t="s">
        <v>186</v>
      </c>
      <c r="H5" s="175" t="s">
        <v>290</v>
      </c>
      <c r="I5" s="176">
        <v>37672.39</v>
      </c>
      <c r="J5" s="176"/>
      <c r="K5" s="176"/>
      <c r="L5" s="199">
        <f>SUMIFS('EMPENHO '!J:J,'EMPENHO '!B:B,Tabela96[[#This Row],[PROGRAMA]],'EMPENHO '!C:C,Tabela96[[#This Row],[FICHA]],'EMPENHO '!D:D,Tabela96[[#This Row],[AÇÃO]],'EMPENHO '!E:E,Tabela96[[#This Row],[PROJETO]],'EMPENHO '!F:F,Tabela96[[#This Row],[RESERVA]])</f>
        <v>33638.620000000003</v>
      </c>
      <c r="M5" s="200">
        <f>Tabela96[[#This Row],[VALOR]]+Tabela96[[#This Row],[COMPLEMENTO]]-Tabela96[[#This Row],[DESBLOQUEIO]]-Tabela96[[#This Row],[VALOR
 EMPENHO]]-Tabela96[[#This Row],[SALDO 
CANCELADO]]</f>
        <v>4033.77</v>
      </c>
      <c r="N5" s="200"/>
      <c r="P5" s="1007"/>
    </row>
    <row r="6" spans="1:16" hidden="1">
      <c r="A6" s="694">
        <v>45687</v>
      </c>
      <c r="B6" s="167">
        <v>2627</v>
      </c>
      <c r="C6" s="83">
        <v>30</v>
      </c>
      <c r="D6" s="83">
        <v>2253</v>
      </c>
      <c r="E6" s="83">
        <v>2124</v>
      </c>
      <c r="F6" s="83">
        <v>25</v>
      </c>
      <c r="G6" s="175" t="s">
        <v>169</v>
      </c>
      <c r="H6" s="175" t="s">
        <v>289</v>
      </c>
      <c r="I6" s="176">
        <v>38011.15</v>
      </c>
      <c r="J6" s="176"/>
      <c r="K6" s="176"/>
      <c r="L6" s="199">
        <f>SUMIFS('EMPENHO '!J:J,'EMPENHO '!B:B,Tabela96[[#This Row],[PROGRAMA]],'EMPENHO '!C:C,Tabela96[[#This Row],[FICHA]],'EMPENHO '!D:D,Tabela96[[#This Row],[AÇÃO]],'EMPENHO '!E:E,Tabela96[[#This Row],[PROJETO]],'EMPENHO '!F:F,Tabela96[[#This Row],[RESERVA]])</f>
        <v>38011.15</v>
      </c>
      <c r="M6" s="791">
        <f>Tabela96[[#This Row],[VALOR]]+Tabela96[[#This Row],[COMPLEMENTO]]-Tabela96[[#This Row],[DESBLOQUEIO]]-Tabela96[[#This Row],[VALOR
 EMPENHO]]-Tabela96[[#This Row],[SALDO 
CANCELADO]]</f>
        <v>0</v>
      </c>
      <c r="N6" s="200"/>
      <c r="P6" s="1007"/>
    </row>
    <row r="7" spans="1:16" hidden="1">
      <c r="A7" s="694">
        <v>45687</v>
      </c>
      <c r="B7" s="167">
        <v>2628</v>
      </c>
      <c r="C7" s="83">
        <v>32</v>
      </c>
      <c r="D7" s="83">
        <v>2226</v>
      </c>
      <c r="E7" s="83">
        <v>2128</v>
      </c>
      <c r="F7" s="83">
        <v>50</v>
      </c>
      <c r="G7" s="175" t="s">
        <v>186</v>
      </c>
      <c r="H7" s="175" t="s">
        <v>288</v>
      </c>
      <c r="I7" s="176">
        <v>2680</v>
      </c>
      <c r="J7" s="176"/>
      <c r="K7" s="176"/>
      <c r="L7" s="199">
        <f>SUMIFS('EMPENHO '!J:J,'EMPENHO '!B:B,Tabela96[[#This Row],[PROGRAMA]],'EMPENHO '!C:C,Tabela96[[#This Row],[FICHA]],'EMPENHO '!D:D,Tabela96[[#This Row],[AÇÃO]],'EMPENHO '!E:E,Tabela96[[#This Row],[PROJETO]],'EMPENHO '!F:F,Tabela96[[#This Row],[RESERVA]])</f>
        <v>2680</v>
      </c>
      <c r="M7" s="200">
        <f>Tabela96[[#This Row],[VALOR]]+Tabela96[[#This Row],[COMPLEMENTO]]-Tabela96[[#This Row],[DESBLOQUEIO]]-Tabela96[[#This Row],[VALOR
 EMPENHO]]-Tabela96[[#This Row],[SALDO 
CANCELADO]]</f>
        <v>0</v>
      </c>
      <c r="N7" s="200"/>
      <c r="P7" s="1007"/>
    </row>
    <row r="8" spans="1:16" hidden="1">
      <c r="A8" s="694">
        <v>45687</v>
      </c>
      <c r="B8" s="167">
        <v>2629</v>
      </c>
      <c r="C8" s="83">
        <v>29</v>
      </c>
      <c r="D8" s="83">
        <v>2244</v>
      </c>
      <c r="E8" s="83">
        <v>2123</v>
      </c>
      <c r="F8" s="83">
        <v>92</v>
      </c>
      <c r="G8" s="175" t="s">
        <v>208</v>
      </c>
      <c r="H8" s="175" t="s">
        <v>287</v>
      </c>
      <c r="I8" s="176">
        <v>16200</v>
      </c>
      <c r="J8" s="176"/>
      <c r="K8" s="176"/>
      <c r="L8" s="199">
        <f>SUMIFS('EMPENHO '!J:J,'EMPENHO '!B:B,Tabela96[[#This Row],[PROGRAMA]],'EMPENHO '!C:C,Tabela96[[#This Row],[FICHA]],'EMPENHO '!D:D,Tabela96[[#This Row],[AÇÃO]],'EMPENHO '!E:E,Tabela96[[#This Row],[PROJETO]],'EMPENHO '!F:F,Tabela96[[#This Row],[RESERVA]])</f>
        <v>16200</v>
      </c>
      <c r="M8" s="200">
        <f>Tabela96[[#This Row],[VALOR]]+Tabela96[[#This Row],[COMPLEMENTO]]-Tabela96[[#This Row],[DESBLOQUEIO]]-Tabela96[[#This Row],[VALOR
 EMPENHO]]-Tabela96[[#This Row],[SALDO 
CANCELADO]]</f>
        <v>0</v>
      </c>
      <c r="N8" s="200"/>
      <c r="P8" s="1007"/>
    </row>
    <row r="9" spans="1:16" ht="12.75" hidden="1" customHeight="1">
      <c r="A9" s="694">
        <v>45687</v>
      </c>
      <c r="B9" s="167">
        <v>2630</v>
      </c>
      <c r="C9" s="83">
        <v>32</v>
      </c>
      <c r="D9" s="83">
        <v>2229</v>
      </c>
      <c r="E9" s="83">
        <v>2128</v>
      </c>
      <c r="F9" s="83">
        <v>104</v>
      </c>
      <c r="G9" s="175" t="s">
        <v>176</v>
      </c>
      <c r="H9" s="693" t="s">
        <v>296</v>
      </c>
      <c r="I9" s="176">
        <v>3601.49</v>
      </c>
      <c r="J9" s="176"/>
      <c r="K9" s="176"/>
      <c r="L9" s="199">
        <f>SUMIFS('EMPENHO '!J:J,'EMPENHO '!B:B,Tabela96[[#This Row],[PROGRAMA]],'EMPENHO '!C:C,Tabela96[[#This Row],[FICHA]],'EMPENHO '!D:D,Tabela96[[#This Row],[AÇÃO]],'EMPENHO '!E:E,Tabela96[[#This Row],[PROJETO]],'EMPENHO '!F:F,Tabela96[[#This Row],[RESERVA]])</f>
        <v>3601.49</v>
      </c>
      <c r="M9" s="200">
        <f>Tabela96[[#This Row],[VALOR]]+Tabela96[[#This Row],[COMPLEMENTO]]-Tabela96[[#This Row],[DESBLOQUEIO]]-Tabela96[[#This Row],[VALOR
 EMPENHO]]-Tabela96[[#This Row],[SALDO 
CANCELADO]]</f>
        <v>0</v>
      </c>
      <c r="N9" s="200"/>
      <c r="P9" s="1007"/>
    </row>
    <row r="10" spans="1:16" hidden="1">
      <c r="A10" s="694">
        <v>45687</v>
      </c>
      <c r="B10" s="167">
        <v>2631</v>
      </c>
      <c r="C10" s="83">
        <v>32</v>
      </c>
      <c r="D10" s="83">
        <v>2226</v>
      </c>
      <c r="E10" s="83">
        <v>2128</v>
      </c>
      <c r="F10" s="83">
        <v>88</v>
      </c>
      <c r="G10" s="175" t="s">
        <v>186</v>
      </c>
      <c r="H10" s="175" t="s">
        <v>286</v>
      </c>
      <c r="I10" s="176">
        <v>3220</v>
      </c>
      <c r="J10" s="176"/>
      <c r="K10" s="176"/>
      <c r="L10" s="199">
        <f>SUMIFS('EMPENHO '!J:J,'EMPENHO '!B:B,Tabela96[[#This Row],[PROGRAMA]],'EMPENHO '!C:C,Tabela96[[#This Row],[FICHA]],'EMPENHO '!D:D,Tabela96[[#This Row],[AÇÃO]],'EMPENHO '!E:E,Tabela96[[#This Row],[PROJETO]],'EMPENHO '!F:F,Tabela96[[#This Row],[RESERVA]])</f>
        <v>3220</v>
      </c>
      <c r="M10" s="188">
        <f>Tabela96[[#This Row],[VALOR]]+Tabela96[[#This Row],[COMPLEMENTO]]-Tabela96[[#This Row],[DESBLOQUEIO]]-Tabela96[[#This Row],[VALOR
 EMPENHO]]-Tabela96[[#This Row],[SALDO 
CANCELADO]]</f>
        <v>0</v>
      </c>
      <c r="N10" s="188"/>
      <c r="P10" s="1007"/>
    </row>
    <row r="11" spans="1:16" hidden="1">
      <c r="A11" s="694">
        <v>45687</v>
      </c>
      <c r="B11" s="167">
        <v>2632</v>
      </c>
      <c r="C11" s="83">
        <v>32</v>
      </c>
      <c r="D11" s="83">
        <v>2229</v>
      </c>
      <c r="E11" s="83">
        <v>2128</v>
      </c>
      <c r="F11" s="83">
        <v>104</v>
      </c>
      <c r="G11" s="175" t="s">
        <v>176</v>
      </c>
      <c r="H11" s="175" t="s">
        <v>285</v>
      </c>
      <c r="I11" s="176">
        <v>3996</v>
      </c>
      <c r="J11" s="176"/>
      <c r="K11" s="176">
        <v>3996</v>
      </c>
      <c r="L11" s="199">
        <f>SUMIFS('EMPENHO '!J:J,'EMPENHO '!B:B,Tabela96[[#This Row],[PROGRAMA]],'EMPENHO '!C:C,Tabela96[[#This Row],[FICHA]],'EMPENHO '!D:D,Tabela96[[#This Row],[AÇÃO]],'EMPENHO '!E:E,Tabela96[[#This Row],[PROJETO]],'EMPENHO '!F:F,Tabela96[[#This Row],[RESERVA]])</f>
        <v>0</v>
      </c>
      <c r="M11" s="188">
        <f>Tabela96[[#This Row],[VALOR]]+Tabela96[[#This Row],[COMPLEMENTO]]-Tabela96[[#This Row],[DESBLOQUEIO]]-Tabela96[[#This Row],[VALOR
 EMPENHO]]-Tabela96[[#This Row],[SALDO 
CANCELADO]]</f>
        <v>0</v>
      </c>
      <c r="N11" s="188"/>
      <c r="P11" s="1007"/>
    </row>
    <row r="12" spans="1:16" hidden="1">
      <c r="A12" s="694">
        <v>45687</v>
      </c>
      <c r="B12" s="167">
        <v>2633</v>
      </c>
      <c r="C12" s="83">
        <v>32</v>
      </c>
      <c r="D12" s="83">
        <v>2231</v>
      </c>
      <c r="E12" s="83">
        <v>2128</v>
      </c>
      <c r="F12" s="83">
        <v>104</v>
      </c>
      <c r="G12" s="175" t="s">
        <v>192</v>
      </c>
      <c r="H12" s="175" t="s">
        <v>284</v>
      </c>
      <c r="I12" s="176">
        <v>12264</v>
      </c>
      <c r="J12" s="176"/>
      <c r="K12" s="176"/>
      <c r="L12" s="199">
        <f>SUMIFS('EMPENHO '!J:J,'EMPENHO '!B:B,Tabela96[[#This Row],[PROGRAMA]],'EMPENHO '!C:C,Tabela96[[#This Row],[FICHA]],'EMPENHO '!D:D,Tabela96[[#This Row],[AÇÃO]],'EMPENHO '!E:E,Tabela96[[#This Row],[PROJETO]],'EMPENHO '!F:F,Tabela96[[#This Row],[RESERVA]])</f>
        <v>0</v>
      </c>
      <c r="M12" s="188">
        <f>Tabela96[[#This Row],[VALOR]]+Tabela96[[#This Row],[COMPLEMENTO]]-Tabela96[[#This Row],[DESBLOQUEIO]]-Tabela96[[#This Row],[VALOR
 EMPENHO]]-Tabela96[[#This Row],[SALDO 
CANCELADO]]</f>
        <v>0</v>
      </c>
      <c r="N12" s="188">
        <v>12264</v>
      </c>
      <c r="P12" s="1007"/>
    </row>
    <row r="13" spans="1:16" hidden="1">
      <c r="A13" s="694">
        <v>45687</v>
      </c>
      <c r="B13" s="167">
        <v>2634</v>
      </c>
      <c r="C13" s="83">
        <v>30</v>
      </c>
      <c r="D13" s="83">
        <v>2253</v>
      </c>
      <c r="E13" s="83">
        <v>2124</v>
      </c>
      <c r="F13" s="83">
        <v>25</v>
      </c>
      <c r="G13" s="175" t="s">
        <v>169</v>
      </c>
      <c r="H13" s="175" t="s">
        <v>283</v>
      </c>
      <c r="I13" s="176">
        <v>2000000</v>
      </c>
      <c r="J13" s="176"/>
      <c r="K13" s="176"/>
      <c r="L13" s="199">
        <f>SUMIFS('EMPENHO '!J:J,'EMPENHO '!B:B,Tabela96[[#This Row],[PROGRAMA]],'EMPENHO '!C:C,Tabela96[[#This Row],[FICHA]],'EMPENHO '!D:D,Tabela96[[#This Row],[AÇÃO]],'EMPENHO '!E:E,Tabela96[[#This Row],[PROJETO]],'EMPENHO '!F:F,Tabela96[[#This Row],[RESERVA]])</f>
        <v>1622000</v>
      </c>
      <c r="M13" s="791">
        <f>Tabela96[[#This Row],[VALOR]]+Tabela96[[#This Row],[COMPLEMENTO]]-Tabela96[[#This Row],[DESBLOQUEIO]]-Tabela96[[#This Row],[VALOR
 EMPENHO]]-Tabela96[[#This Row],[SALDO 
CANCELADO]]</f>
        <v>0</v>
      </c>
      <c r="N13" s="188">
        <v>378000</v>
      </c>
      <c r="P13" s="1007"/>
    </row>
    <row r="14" spans="1:16" hidden="1">
      <c r="A14" s="694">
        <v>45687</v>
      </c>
      <c r="B14" s="167">
        <v>2635</v>
      </c>
      <c r="C14" s="83">
        <v>32</v>
      </c>
      <c r="D14" s="83">
        <v>2226</v>
      </c>
      <c r="E14" s="83">
        <v>2128</v>
      </c>
      <c r="F14" s="83">
        <v>50</v>
      </c>
      <c r="G14" s="175" t="s">
        <v>186</v>
      </c>
      <c r="H14" s="175" t="s">
        <v>282</v>
      </c>
      <c r="I14" s="176">
        <v>9880</v>
      </c>
      <c r="J14" s="176">
        <v>3093.5</v>
      </c>
      <c r="K14" s="176"/>
      <c r="L14" s="199">
        <f>SUMIFS('EMPENHO '!J:J,'EMPENHO '!B:B,Tabela96[[#This Row],[PROGRAMA]],'EMPENHO '!C:C,Tabela96[[#This Row],[FICHA]],'EMPENHO '!D:D,Tabela96[[#This Row],[AÇÃO]],'EMPENHO '!E:E,Tabela96[[#This Row],[PROJETO]],'EMPENHO '!F:F,Tabela96[[#This Row],[RESERVA]])</f>
        <v>12973.5</v>
      </c>
      <c r="M14" s="188">
        <f>Tabela96[[#This Row],[VALOR]]+Tabela96[[#This Row],[COMPLEMENTO]]-Tabela96[[#This Row],[DESBLOQUEIO]]-Tabela96[[#This Row],[VALOR
 EMPENHO]]-Tabela96[[#This Row],[SALDO 
CANCELADO]]</f>
        <v>0</v>
      </c>
      <c r="N14" s="188"/>
      <c r="P14" s="1007"/>
    </row>
    <row r="15" spans="1:16" hidden="1">
      <c r="A15" s="694">
        <v>45687</v>
      </c>
      <c r="B15" s="167">
        <v>2636</v>
      </c>
      <c r="C15" s="83">
        <v>30</v>
      </c>
      <c r="D15" s="83">
        <v>2253</v>
      </c>
      <c r="E15" s="83">
        <v>2124</v>
      </c>
      <c r="F15" s="83">
        <v>25</v>
      </c>
      <c r="G15" s="175" t="s">
        <v>169</v>
      </c>
      <c r="H15" s="175" t="s">
        <v>281</v>
      </c>
      <c r="I15" s="176">
        <v>2100000</v>
      </c>
      <c r="J15" s="176"/>
      <c r="K15" s="176"/>
      <c r="L15" s="199">
        <f>SUMIFS('EMPENHO '!J:J,'EMPENHO '!B:B,Tabela96[[#This Row],[PROGRAMA]],'EMPENHO '!C:C,Tabela96[[#This Row],[FICHA]],'EMPENHO '!D:D,Tabela96[[#This Row],[AÇÃO]],'EMPENHO '!E:E,Tabela96[[#This Row],[PROJETO]],'EMPENHO '!F:F,Tabela96[[#This Row],[RESERVA]])</f>
        <v>1755600</v>
      </c>
      <c r="M15" s="791">
        <f>Tabela96[[#This Row],[VALOR]]+Tabela96[[#This Row],[COMPLEMENTO]]-Tabela96[[#This Row],[DESBLOQUEIO]]-Tabela96[[#This Row],[VALOR
 EMPENHO]]-Tabela96[[#This Row],[SALDO 
CANCELADO]]</f>
        <v>0</v>
      </c>
      <c r="N15" s="188">
        <v>344400</v>
      </c>
      <c r="P15" s="1007"/>
    </row>
    <row r="16" spans="1:16" hidden="1">
      <c r="A16" s="694">
        <v>45687</v>
      </c>
      <c r="B16" s="167">
        <v>2637</v>
      </c>
      <c r="C16" s="83">
        <v>30</v>
      </c>
      <c r="D16" s="83">
        <v>2253</v>
      </c>
      <c r="E16" s="83">
        <v>2124</v>
      </c>
      <c r="F16" s="83">
        <v>25</v>
      </c>
      <c r="G16" s="175" t="s">
        <v>169</v>
      </c>
      <c r="H16" s="175" t="s">
        <v>280</v>
      </c>
      <c r="I16" s="176">
        <v>241000</v>
      </c>
      <c r="J16" s="176"/>
      <c r="K16" s="176"/>
      <c r="L16" s="199">
        <f>SUMIFS('EMPENHO '!J:J,'EMPENHO '!B:B,Tabela96[[#This Row],[PROGRAMA]],'EMPENHO '!C:C,Tabela96[[#This Row],[FICHA]],'EMPENHO '!D:D,Tabela96[[#This Row],[AÇÃO]],'EMPENHO '!E:E,Tabela96[[#This Row],[PROJETO]],'EMPENHO '!F:F,Tabela96[[#This Row],[RESERVA]])</f>
        <v>241000</v>
      </c>
      <c r="M16" s="791">
        <f>Tabela96[[#This Row],[VALOR]]+Tabela96[[#This Row],[COMPLEMENTO]]-Tabela96[[#This Row],[DESBLOQUEIO]]-Tabela96[[#This Row],[VALOR
 EMPENHO]]-Tabela96[[#This Row],[SALDO 
CANCELADO]]</f>
        <v>0</v>
      </c>
      <c r="N16" s="188"/>
      <c r="P16" s="1007"/>
    </row>
    <row r="17" spans="1:16" hidden="1">
      <c r="A17" s="694">
        <v>45687</v>
      </c>
      <c r="B17" s="167">
        <v>2638</v>
      </c>
      <c r="C17" s="83">
        <v>29</v>
      </c>
      <c r="D17" s="83">
        <v>2248</v>
      </c>
      <c r="E17" s="83">
        <v>2123</v>
      </c>
      <c r="F17" s="83">
        <v>69</v>
      </c>
      <c r="G17" s="175" t="s">
        <v>191</v>
      </c>
      <c r="H17" s="175" t="s">
        <v>279</v>
      </c>
      <c r="I17" s="176">
        <v>60500</v>
      </c>
      <c r="J17" s="176"/>
      <c r="K17" s="176"/>
      <c r="L17" s="199">
        <f>SUMIFS('EMPENHO '!J:J,'EMPENHO '!B:B,Tabela96[[#This Row],[PROGRAMA]],'EMPENHO '!C:C,Tabela96[[#This Row],[FICHA]],'EMPENHO '!D:D,Tabela96[[#This Row],[AÇÃO]],'EMPENHO '!E:E,Tabela96[[#This Row],[PROJETO]],'EMPENHO '!F:F,Tabela96[[#This Row],[RESERVA]])</f>
        <v>60500</v>
      </c>
      <c r="M17" s="188">
        <f>Tabela96[[#This Row],[VALOR]]+Tabela96[[#This Row],[COMPLEMENTO]]-Tabela96[[#This Row],[DESBLOQUEIO]]-Tabela96[[#This Row],[VALOR
 EMPENHO]]-Tabela96[[#This Row],[SALDO 
CANCELADO]]</f>
        <v>0</v>
      </c>
      <c r="N17" s="188"/>
      <c r="P17" s="1007"/>
    </row>
    <row r="18" spans="1:16" hidden="1">
      <c r="A18" s="694">
        <v>45687</v>
      </c>
      <c r="B18" s="167">
        <v>2639</v>
      </c>
      <c r="C18" s="83">
        <v>30</v>
      </c>
      <c r="D18" s="83">
        <v>2253</v>
      </c>
      <c r="E18" s="83">
        <v>2124</v>
      </c>
      <c r="F18" s="83">
        <v>25</v>
      </c>
      <c r="G18" s="175" t="s">
        <v>169</v>
      </c>
      <c r="H18" s="175" t="s">
        <v>278</v>
      </c>
      <c r="I18" s="176">
        <v>40000000</v>
      </c>
      <c r="J18" s="176"/>
      <c r="K18" s="176"/>
      <c r="L18" s="199">
        <f>SUMIFS('EMPENHO '!J:J,'EMPENHO '!B:B,Tabela96[[#This Row],[PROGRAMA]],'EMPENHO '!C:C,Tabela96[[#This Row],[FICHA]],'EMPENHO '!D:D,Tabela96[[#This Row],[AÇÃO]],'EMPENHO '!E:E,Tabela96[[#This Row],[PROJETO]],'EMPENHO '!F:F,Tabela96[[#This Row],[RESERVA]])</f>
        <v>40000000</v>
      </c>
      <c r="M18" s="791">
        <f>Tabela96[[#This Row],[VALOR]]+Tabela96[[#This Row],[COMPLEMENTO]]-Tabela96[[#This Row],[DESBLOQUEIO]]-Tabela96[[#This Row],[VALOR
 EMPENHO]]-Tabela96[[#This Row],[SALDO 
CANCELADO]]</f>
        <v>0</v>
      </c>
      <c r="N18" s="188"/>
      <c r="P18" s="1008"/>
    </row>
    <row r="19" spans="1:16" hidden="1">
      <c r="A19" s="694">
        <v>45687</v>
      </c>
      <c r="B19" s="167">
        <v>2640</v>
      </c>
      <c r="C19" s="83">
        <v>30</v>
      </c>
      <c r="D19" s="83">
        <v>2258</v>
      </c>
      <c r="E19" s="83">
        <v>2126</v>
      </c>
      <c r="F19" s="83">
        <v>104</v>
      </c>
      <c r="G19" s="175" t="s">
        <v>210</v>
      </c>
      <c r="H19" s="175" t="s">
        <v>277</v>
      </c>
      <c r="I19" s="176">
        <v>4000</v>
      </c>
      <c r="J19" s="176"/>
      <c r="K19" s="176"/>
      <c r="L19" s="199">
        <f>SUMIFS('EMPENHO '!J:J,'EMPENHO '!B:B,Tabela96[[#This Row],[PROGRAMA]],'EMPENHO '!C:C,Tabela96[[#This Row],[FICHA]],'EMPENHO '!D:D,Tabela96[[#This Row],[AÇÃO]],'EMPENHO '!E:E,Tabela96[[#This Row],[PROJETO]],'EMPENHO '!F:F,Tabela96[[#This Row],[RESERVA]])</f>
        <v>4000</v>
      </c>
      <c r="M19" s="188">
        <f>Tabela96[[#This Row],[VALOR]]+Tabela96[[#This Row],[COMPLEMENTO]]-Tabela96[[#This Row],[DESBLOQUEIO]]-Tabela96[[#This Row],[VALOR
 EMPENHO]]-Tabela96[[#This Row],[SALDO 
CANCELADO]]</f>
        <v>0</v>
      </c>
      <c r="N19" s="188"/>
      <c r="P19" s="1007"/>
    </row>
    <row r="20" spans="1:16" hidden="1">
      <c r="A20" s="694">
        <v>45687</v>
      </c>
      <c r="B20" s="167">
        <v>2641</v>
      </c>
      <c r="C20" s="83">
        <v>32</v>
      </c>
      <c r="D20" s="83">
        <v>2229</v>
      </c>
      <c r="E20" s="83">
        <v>2128</v>
      </c>
      <c r="F20" s="83">
        <v>117</v>
      </c>
      <c r="G20" s="175" t="s">
        <v>176</v>
      </c>
      <c r="H20" s="175" t="s">
        <v>276</v>
      </c>
      <c r="I20" s="176">
        <v>5798</v>
      </c>
      <c r="J20" s="176"/>
      <c r="K20" s="176"/>
      <c r="L20" s="199">
        <f>SUMIFS('EMPENHO '!J:J,'EMPENHO '!B:B,Tabela96[[#This Row],[PROGRAMA]],'EMPENHO '!C:C,Tabela96[[#This Row],[FICHA]],'EMPENHO '!D:D,Tabela96[[#This Row],[AÇÃO]],'EMPENHO '!E:E,Tabela96[[#This Row],[PROJETO]],'EMPENHO '!F:F,Tabela96[[#This Row],[RESERVA]])</f>
        <v>5798</v>
      </c>
      <c r="M20" s="188">
        <f>Tabela96[[#This Row],[VALOR]]+Tabela96[[#This Row],[COMPLEMENTO]]-Tabela96[[#This Row],[DESBLOQUEIO]]-Tabela96[[#This Row],[VALOR
 EMPENHO]]-Tabela96[[#This Row],[SALDO 
CANCELADO]]</f>
        <v>0</v>
      </c>
      <c r="N20" s="188"/>
      <c r="P20" s="1007"/>
    </row>
    <row r="21" spans="1:16" hidden="1">
      <c r="A21" s="694">
        <v>45687</v>
      </c>
      <c r="B21" s="167">
        <v>2642</v>
      </c>
      <c r="C21" s="83">
        <v>30</v>
      </c>
      <c r="D21" s="83">
        <v>2258</v>
      </c>
      <c r="E21" s="83">
        <v>2126</v>
      </c>
      <c r="F21" s="83">
        <v>104</v>
      </c>
      <c r="G21" s="175" t="s">
        <v>210</v>
      </c>
      <c r="H21" s="175" t="s">
        <v>275</v>
      </c>
      <c r="I21" s="176">
        <v>1168.9000000000001</v>
      </c>
      <c r="J21" s="176"/>
      <c r="K21" s="176"/>
      <c r="L21" s="199">
        <f>SUMIFS('EMPENHO '!J:J,'EMPENHO '!B:B,Tabela96[[#This Row],[PROGRAMA]],'EMPENHO '!C:C,Tabela96[[#This Row],[FICHA]],'EMPENHO '!D:D,Tabela96[[#This Row],[AÇÃO]],'EMPENHO '!E:E,Tabela96[[#This Row],[PROJETO]],'EMPENHO '!F:F,Tabela96[[#This Row],[RESERVA]])</f>
        <v>1168.9000000000001</v>
      </c>
      <c r="M21" s="188">
        <f>Tabela96[[#This Row],[VALOR]]+Tabela96[[#This Row],[COMPLEMENTO]]-Tabela96[[#This Row],[DESBLOQUEIO]]-Tabela96[[#This Row],[VALOR
 EMPENHO]]-Tabela96[[#This Row],[SALDO 
CANCELADO]]</f>
        <v>0</v>
      </c>
      <c r="N21" s="188"/>
      <c r="P21" s="1007"/>
    </row>
    <row r="22" spans="1:16" hidden="1">
      <c r="A22" s="694">
        <v>45687</v>
      </c>
      <c r="B22" s="167">
        <v>2643</v>
      </c>
      <c r="C22" s="83">
        <v>29</v>
      </c>
      <c r="D22" s="83">
        <v>2248</v>
      </c>
      <c r="E22" s="83">
        <v>2123</v>
      </c>
      <c r="F22" s="83">
        <v>69</v>
      </c>
      <c r="G22" s="175" t="s">
        <v>191</v>
      </c>
      <c r="H22" s="175" t="s">
        <v>274</v>
      </c>
      <c r="I22" s="176">
        <v>219020</v>
      </c>
      <c r="J22" s="176"/>
      <c r="K22" s="176"/>
      <c r="L22" s="199">
        <f>SUMIFS('EMPENHO '!J:J,'EMPENHO '!B:B,Tabela96[[#This Row],[PROGRAMA]],'EMPENHO '!C:C,Tabela96[[#This Row],[FICHA]],'EMPENHO '!D:D,Tabela96[[#This Row],[AÇÃO]],'EMPENHO '!E:E,Tabela96[[#This Row],[PROJETO]],'EMPENHO '!F:F,Tabela96[[#This Row],[RESERVA]])</f>
        <v>219020</v>
      </c>
      <c r="M22" s="188">
        <f>Tabela96[[#This Row],[VALOR]]+Tabela96[[#This Row],[COMPLEMENTO]]-Tabela96[[#This Row],[DESBLOQUEIO]]-Tabela96[[#This Row],[VALOR
 EMPENHO]]-Tabela96[[#This Row],[SALDO 
CANCELADO]]</f>
        <v>0</v>
      </c>
      <c r="N22" s="188"/>
      <c r="P22" s="1007"/>
    </row>
    <row r="23" spans="1:16" hidden="1">
      <c r="A23" s="694">
        <v>45687</v>
      </c>
      <c r="B23" s="167">
        <v>2644</v>
      </c>
      <c r="C23" s="83">
        <v>32</v>
      </c>
      <c r="D23" s="83">
        <v>2229</v>
      </c>
      <c r="E23" s="83">
        <v>2128</v>
      </c>
      <c r="F23" s="83">
        <v>245</v>
      </c>
      <c r="G23" s="175" t="s">
        <v>176</v>
      </c>
      <c r="H23" s="175" t="s">
        <v>273</v>
      </c>
      <c r="I23" s="176">
        <v>36603</v>
      </c>
      <c r="J23" s="176"/>
      <c r="K23" s="176"/>
      <c r="L23" s="199">
        <f>SUMIFS('EMPENHO '!J:J,'EMPENHO '!B:B,Tabela96[[#This Row],[PROGRAMA]],'EMPENHO '!C:C,Tabela96[[#This Row],[FICHA]],'EMPENHO '!D:D,Tabela96[[#This Row],[AÇÃO]],'EMPENHO '!E:E,Tabela96[[#This Row],[PROJETO]],'EMPENHO '!F:F,Tabela96[[#This Row],[RESERVA]])</f>
        <v>36603</v>
      </c>
      <c r="M23" s="188">
        <f>Tabela96[[#This Row],[VALOR]]+Tabela96[[#This Row],[COMPLEMENTO]]-Tabela96[[#This Row],[DESBLOQUEIO]]-Tabela96[[#This Row],[VALOR
 EMPENHO]]-Tabela96[[#This Row],[SALDO 
CANCELADO]]</f>
        <v>0</v>
      </c>
      <c r="N23" s="188"/>
      <c r="P23" s="1007"/>
    </row>
    <row r="24" spans="1:16" hidden="1">
      <c r="A24" s="694">
        <v>45687</v>
      </c>
      <c r="B24" s="167">
        <v>2645</v>
      </c>
      <c r="C24" s="83">
        <v>30</v>
      </c>
      <c r="D24" s="83">
        <v>2253</v>
      </c>
      <c r="E24" s="83">
        <v>2124</v>
      </c>
      <c r="F24" s="83">
        <v>25</v>
      </c>
      <c r="G24" s="175" t="s">
        <v>169</v>
      </c>
      <c r="H24" s="175" t="s">
        <v>272</v>
      </c>
      <c r="I24" s="176">
        <v>20000000</v>
      </c>
      <c r="J24" s="176">
        <v>24494531.399999999</v>
      </c>
      <c r="K24" s="176"/>
      <c r="L24" s="199">
        <f>SUMIFS('EMPENHO '!J:J,'EMPENHO '!B:B,Tabela96[[#This Row],[PROGRAMA]],'EMPENHO '!C:C,Tabela96[[#This Row],[FICHA]],'EMPENHO '!D:D,Tabela96[[#This Row],[AÇÃO]],'EMPENHO '!E:E,Tabela96[[#This Row],[PROJETO]],'EMPENHO '!F:F,Tabela96[[#This Row],[RESERVA]])</f>
        <v>44494531.399999999</v>
      </c>
      <c r="M24" s="828">
        <f>Tabela96[[#This Row],[VALOR]]+Tabela96[[#This Row],[COMPLEMENTO]]-Tabela96[[#This Row],[DESBLOQUEIO]]-Tabela96[[#This Row],[VALOR
 EMPENHO]]-Tabela96[[#This Row],[SALDO 
CANCELADO]]</f>
        <v>0</v>
      </c>
      <c r="N24" s="188"/>
      <c r="P24" s="1007"/>
    </row>
    <row r="25" spans="1:16" hidden="1">
      <c r="A25" s="694">
        <v>45688</v>
      </c>
      <c r="B25" s="167">
        <v>2995</v>
      </c>
      <c r="C25" s="83">
        <v>30</v>
      </c>
      <c r="D25" s="83">
        <v>2253</v>
      </c>
      <c r="E25" s="83">
        <v>2124</v>
      </c>
      <c r="F25" s="83">
        <v>25</v>
      </c>
      <c r="G25" s="175" t="s">
        <v>169</v>
      </c>
      <c r="H25" s="175" t="s">
        <v>298</v>
      </c>
      <c r="I25" s="176">
        <v>470217.6</v>
      </c>
      <c r="J25" s="176">
        <v>200000</v>
      </c>
      <c r="K25" s="200">
        <v>49815.199999999997</v>
      </c>
      <c r="L25" s="199">
        <f>SUMIFS('EMPENHO '!J:J,'EMPENHO '!B:B,Tabela96[[#This Row],[PROGRAMA]],'EMPENHO '!C:C,Tabela96[[#This Row],[FICHA]],'EMPENHO '!D:D,Tabela96[[#This Row],[AÇÃO]],'EMPENHO '!E:E,Tabela96[[#This Row],[PROJETO]],'EMPENHO '!F:F,Tabela96[[#This Row],[RESERVA]])</f>
        <v>620402.4</v>
      </c>
      <c r="M25" s="200">
        <f>Tabela96[[#This Row],[VALOR]]+Tabela96[[#This Row],[COMPLEMENTO]]-Tabela96[[#This Row],[DESBLOQUEIO]]-Tabela96[[#This Row],[VALOR
 EMPENHO]]-Tabela96[[#This Row],[SALDO 
CANCELADO]]</f>
        <v>0</v>
      </c>
      <c r="N25" s="200"/>
      <c r="P25" s="1007"/>
    </row>
    <row r="26" spans="1:16" hidden="1">
      <c r="A26" s="694">
        <v>45688</v>
      </c>
      <c r="B26" s="167">
        <v>2996</v>
      </c>
      <c r="C26" s="83">
        <v>30</v>
      </c>
      <c r="D26" s="83">
        <v>2253</v>
      </c>
      <c r="E26" s="83">
        <v>2124</v>
      </c>
      <c r="F26" s="83">
        <v>25</v>
      </c>
      <c r="G26" s="175" t="s">
        <v>169</v>
      </c>
      <c r="H26" s="175" t="s">
        <v>299</v>
      </c>
      <c r="I26" s="176">
        <v>283239.59999999998</v>
      </c>
      <c r="J26" s="176">
        <v>60000</v>
      </c>
      <c r="K26" s="176"/>
      <c r="L26" s="199">
        <f>SUMIFS('EMPENHO '!J:J,'EMPENHO '!B:B,Tabela96[[#This Row],[PROGRAMA]],'EMPENHO '!C:C,Tabela96[[#This Row],[FICHA]],'EMPENHO '!D:D,Tabela96[[#This Row],[AÇÃO]],'EMPENHO '!E:E,Tabela96[[#This Row],[PROJETO]],'EMPENHO '!F:F,Tabela96[[#This Row],[RESERVA]])</f>
        <v>337946.2</v>
      </c>
      <c r="M26" s="828">
        <f>Tabela96[[#This Row],[VALOR]]+Tabela96[[#This Row],[COMPLEMENTO]]-Tabela96[[#This Row],[DESBLOQUEIO]]-Tabela96[[#This Row],[VALOR
 EMPENHO]]-Tabela96[[#This Row],[SALDO 
CANCELADO]]</f>
        <v>0</v>
      </c>
      <c r="N26" s="200">
        <v>5293.4</v>
      </c>
      <c r="P26" s="1007"/>
    </row>
    <row r="27" spans="1:16" hidden="1">
      <c r="A27" s="694">
        <v>45688</v>
      </c>
      <c r="B27" s="167">
        <v>2997</v>
      </c>
      <c r="C27" s="83">
        <v>29</v>
      </c>
      <c r="D27" s="83">
        <v>2242</v>
      </c>
      <c r="E27" s="83">
        <v>1028</v>
      </c>
      <c r="F27" s="83">
        <v>184</v>
      </c>
      <c r="G27" s="175" t="s">
        <v>231</v>
      </c>
      <c r="H27" s="175" t="s">
        <v>300</v>
      </c>
      <c r="I27" s="176">
        <v>897454.21</v>
      </c>
      <c r="J27" s="176"/>
      <c r="K27" s="176"/>
      <c r="L27" s="199">
        <f>SUMIFS('EMPENHO '!J:J,'EMPENHO '!B:B,Tabela96[[#This Row],[PROGRAMA]],'EMPENHO '!C:C,Tabela96[[#This Row],[FICHA]],'EMPENHO '!D:D,Tabela96[[#This Row],[AÇÃO]],'EMPENHO '!E:E,Tabela96[[#This Row],[PROJETO]],'EMPENHO '!F:F,Tabela96[[#This Row],[RESERVA]])</f>
        <v>897454.21</v>
      </c>
      <c r="M27" s="200">
        <f>Tabela96[[#This Row],[VALOR]]+Tabela96[[#This Row],[COMPLEMENTO]]-Tabela96[[#This Row],[DESBLOQUEIO]]-Tabela96[[#This Row],[VALOR
 EMPENHO]]-Tabela96[[#This Row],[SALDO 
CANCELADO]]</f>
        <v>0</v>
      </c>
      <c r="N27" s="200"/>
      <c r="P27" s="1007"/>
    </row>
    <row r="28" spans="1:16" hidden="1">
      <c r="A28" s="694">
        <v>45688</v>
      </c>
      <c r="B28" s="167">
        <v>2998</v>
      </c>
      <c r="C28" s="83">
        <v>30</v>
      </c>
      <c r="D28" s="83">
        <v>2253</v>
      </c>
      <c r="E28" s="83">
        <v>2124</v>
      </c>
      <c r="F28" s="83">
        <v>25</v>
      </c>
      <c r="G28" s="175" t="s">
        <v>169</v>
      </c>
      <c r="H28" s="175" t="s">
        <v>301</v>
      </c>
      <c r="I28" s="176">
        <v>283239.59999999998</v>
      </c>
      <c r="J28" s="176">
        <v>10000</v>
      </c>
      <c r="K28" s="176"/>
      <c r="L28" s="199">
        <f>SUMIFS('EMPENHO '!J:J,'EMPENHO '!B:B,Tabela96[[#This Row],[PROGRAMA]],'EMPENHO '!C:C,Tabela96[[#This Row],[FICHA]],'EMPENHO '!D:D,Tabela96[[#This Row],[AÇÃO]],'EMPENHO '!E:E,Tabela96[[#This Row],[PROJETO]],'EMPENHO '!F:F,Tabela96[[#This Row],[RESERVA]])</f>
        <v>271829.40000000002</v>
      </c>
      <c r="M28" s="828">
        <f>Tabela96[[#This Row],[VALOR]]+Tabela96[[#This Row],[COMPLEMENTO]]-Tabela96[[#This Row],[DESBLOQUEIO]]-Tabela96[[#This Row],[VALOR
 EMPENHO]]-Tabela96[[#This Row],[SALDO 
CANCELADO]]</f>
        <v>0</v>
      </c>
      <c r="N28" s="200">
        <v>21410.2</v>
      </c>
      <c r="P28" s="1007"/>
    </row>
    <row r="29" spans="1:16" hidden="1">
      <c r="A29" s="694">
        <v>45688</v>
      </c>
      <c r="B29" s="167">
        <v>2999</v>
      </c>
      <c r="C29" s="83">
        <v>30</v>
      </c>
      <c r="D29" s="83">
        <v>2253</v>
      </c>
      <c r="E29" s="83">
        <v>2124</v>
      </c>
      <c r="F29" s="83">
        <v>25</v>
      </c>
      <c r="G29" s="175" t="s">
        <v>169</v>
      </c>
      <c r="H29" s="175" t="s">
        <v>302</v>
      </c>
      <c r="I29" s="176">
        <v>411942.67</v>
      </c>
      <c r="J29" s="176">
        <v>201663.2</v>
      </c>
      <c r="K29" s="176"/>
      <c r="L29" s="199">
        <f>SUMIFS('EMPENHO '!J:J,'EMPENHO '!B:B,Tabela96[[#This Row],[PROGRAMA]],'EMPENHO '!C:C,Tabela96[[#This Row],[FICHA]],'EMPENHO '!D:D,Tabela96[[#This Row],[AÇÃO]],'EMPENHO '!E:E,Tabela96[[#This Row],[PROJETO]],'EMPENHO '!F:F,Tabela96[[#This Row],[RESERVA]])</f>
        <v>613605.87</v>
      </c>
      <c r="M29" s="791">
        <f>Tabela96[[#This Row],[VALOR]]+Tabela96[[#This Row],[COMPLEMENTO]]-Tabela96[[#This Row],[DESBLOQUEIO]]-Tabela96[[#This Row],[VALOR
 EMPENHO]]-Tabela96[[#This Row],[SALDO 
CANCELADO]]</f>
        <v>0</v>
      </c>
      <c r="N29" s="200"/>
      <c r="P29" s="1007"/>
    </row>
    <row r="30" spans="1:16" hidden="1">
      <c r="A30" s="694">
        <v>45688</v>
      </c>
      <c r="B30" s="167">
        <v>3000</v>
      </c>
      <c r="C30" s="83">
        <v>30</v>
      </c>
      <c r="D30" s="83">
        <v>2253</v>
      </c>
      <c r="E30" s="83">
        <v>2124</v>
      </c>
      <c r="F30" s="83">
        <v>25</v>
      </c>
      <c r="G30" s="175" t="s">
        <v>169</v>
      </c>
      <c r="H30" s="175" t="s">
        <v>303</v>
      </c>
      <c r="I30" s="176">
        <v>283239.59999999998</v>
      </c>
      <c r="J30" s="176">
        <v>64000</v>
      </c>
      <c r="K30" s="176"/>
      <c r="L30" s="199">
        <f>SUMIFS('EMPENHO '!J:J,'EMPENHO '!B:B,Tabela96[[#This Row],[PROGRAMA]],'EMPENHO '!C:C,Tabela96[[#This Row],[FICHA]],'EMPENHO '!D:D,Tabela96[[#This Row],[AÇÃO]],'EMPENHO '!E:E,Tabela96[[#This Row],[PROJETO]],'EMPENHO '!F:F,Tabela96[[#This Row],[RESERVA]])</f>
        <v>347239.6</v>
      </c>
      <c r="M30" s="791">
        <f>Tabela96[[#This Row],[VALOR]]+Tabela96[[#This Row],[COMPLEMENTO]]-Tabela96[[#This Row],[DESBLOQUEIO]]-Tabela96[[#This Row],[VALOR
 EMPENHO]]-Tabela96[[#This Row],[SALDO 
CANCELADO]]</f>
        <v>0</v>
      </c>
      <c r="N30" s="200"/>
      <c r="P30" s="1007"/>
    </row>
    <row r="31" spans="1:16" hidden="1">
      <c r="A31" s="694">
        <v>45688</v>
      </c>
      <c r="B31" s="167">
        <v>3001</v>
      </c>
      <c r="C31" s="83">
        <v>30</v>
      </c>
      <c r="D31" s="83">
        <v>2253</v>
      </c>
      <c r="E31" s="83">
        <v>2124</v>
      </c>
      <c r="F31" s="83">
        <v>25</v>
      </c>
      <c r="G31" s="175" t="s">
        <v>169</v>
      </c>
      <c r="H31" s="175" t="s">
        <v>304</v>
      </c>
      <c r="I31" s="176">
        <v>465285.6</v>
      </c>
      <c r="J31" s="176"/>
      <c r="K31" s="176"/>
      <c r="L31" s="199">
        <f>SUMIFS('EMPENHO '!J:J,'EMPENHO '!B:B,Tabela96[[#This Row],[PROGRAMA]],'EMPENHO '!C:C,Tabela96[[#This Row],[FICHA]],'EMPENHO '!D:D,Tabela96[[#This Row],[AÇÃO]],'EMPENHO '!E:E,Tabela96[[#This Row],[PROJETO]],'EMPENHO '!F:F,Tabela96[[#This Row],[RESERVA]])</f>
        <v>312642.8</v>
      </c>
      <c r="M31" s="791">
        <f>Tabela96[[#This Row],[VALOR]]+Tabela96[[#This Row],[COMPLEMENTO]]-Tabela96[[#This Row],[DESBLOQUEIO]]-Tabela96[[#This Row],[VALOR
 EMPENHO]]-Tabela96[[#This Row],[SALDO 
CANCELADO]]</f>
        <v>0</v>
      </c>
      <c r="N31" s="200">
        <v>152642.79999999999</v>
      </c>
      <c r="P31" s="1007"/>
    </row>
    <row r="32" spans="1:16" hidden="1">
      <c r="A32" s="694">
        <v>45688</v>
      </c>
      <c r="B32" s="167">
        <v>3002</v>
      </c>
      <c r="C32" s="83">
        <v>30</v>
      </c>
      <c r="D32" s="83">
        <v>2253</v>
      </c>
      <c r="E32" s="83">
        <v>2124</v>
      </c>
      <c r="F32" s="83">
        <v>25</v>
      </c>
      <c r="G32" s="175" t="s">
        <v>169</v>
      </c>
      <c r="H32" s="175" t="s">
        <v>305</v>
      </c>
      <c r="I32" s="176">
        <v>2100000</v>
      </c>
      <c r="J32" s="990">
        <v>4280000</v>
      </c>
      <c r="K32" s="176"/>
      <c r="L32" s="199">
        <f>SUMIFS('EMPENHO '!J:J,'EMPENHO '!B:B,Tabela96[[#This Row],[PROGRAMA]],'EMPENHO '!C:C,Tabela96[[#This Row],[FICHA]],'EMPENHO '!D:D,Tabela96[[#This Row],[AÇÃO]],'EMPENHO '!E:E,Tabela96[[#This Row],[PROJETO]],'EMPENHO '!F:F,Tabela96[[#This Row],[RESERVA]])</f>
        <v>6380000</v>
      </c>
      <c r="M32" s="854">
        <f>Tabela96[[#This Row],[VALOR]]+Tabela96[[#This Row],[COMPLEMENTO]]-Tabela96[[#This Row],[DESBLOQUEIO]]-Tabela96[[#This Row],[VALOR
 EMPENHO]]-Tabela96[[#This Row],[SALDO 
CANCELADO]]</f>
        <v>0</v>
      </c>
      <c r="N32" s="200"/>
      <c r="P32" s="1007"/>
    </row>
    <row r="33" spans="1:14" hidden="1">
      <c r="A33" s="694">
        <v>45688</v>
      </c>
      <c r="B33" s="167">
        <v>3003</v>
      </c>
      <c r="C33" s="83">
        <v>30</v>
      </c>
      <c r="D33" s="83">
        <v>2253</v>
      </c>
      <c r="E33" s="83">
        <v>2124</v>
      </c>
      <c r="F33" s="83">
        <v>25</v>
      </c>
      <c r="G33" s="175" t="s">
        <v>169</v>
      </c>
      <c r="H33" s="175" t="s">
        <v>306</v>
      </c>
      <c r="I33" s="176">
        <v>283239.59999999998</v>
      </c>
      <c r="J33" s="498">
        <v>80000</v>
      </c>
      <c r="K33" s="499"/>
      <c r="L33" s="199">
        <f>SUMIFS('EMPENHO '!J:J,'EMPENHO '!B:B,Tabela96[[#This Row],[PROGRAMA]],'EMPENHO '!C:C,Tabela96[[#This Row],[FICHA]],'EMPENHO '!D:D,Tabela96[[#This Row],[AÇÃO]],'EMPENHO '!E:E,Tabela96[[#This Row],[PROJETO]],'EMPENHO '!F:F,Tabela96[[#This Row],[RESERVA]])</f>
        <v>360826.4</v>
      </c>
      <c r="M33" s="997">
        <f>Tabela96[[#This Row],[VALOR]]+Tabela96[[#This Row],[COMPLEMENTO]]-Tabela96[[#This Row],[DESBLOQUEIO]]-Tabela96[[#This Row],[VALOR
 EMPENHO]]-Tabela96[[#This Row],[SALDO 
CANCELADO]]</f>
        <v>0</v>
      </c>
      <c r="N33" s="200">
        <v>2413.1999999999998</v>
      </c>
    </row>
    <row r="34" spans="1:14" hidden="1">
      <c r="A34" s="694">
        <v>45688</v>
      </c>
      <c r="B34" s="167">
        <v>3004</v>
      </c>
      <c r="C34" s="83">
        <v>32</v>
      </c>
      <c r="D34" s="83">
        <v>2229</v>
      </c>
      <c r="E34" s="83">
        <v>2128</v>
      </c>
      <c r="F34" s="83">
        <v>122</v>
      </c>
      <c r="G34" s="175" t="s">
        <v>176</v>
      </c>
      <c r="H34" s="175" t="s">
        <v>307</v>
      </c>
      <c r="I34" s="176">
        <v>37040.9</v>
      </c>
      <c r="J34" s="176"/>
      <c r="K34" s="176"/>
      <c r="L34" s="199">
        <f>SUMIFS('EMPENHO '!J:J,'EMPENHO '!B:B,Tabela96[[#This Row],[PROGRAMA]],'EMPENHO '!C:C,Tabela96[[#This Row],[FICHA]],'EMPENHO '!D:D,Tabela96[[#This Row],[AÇÃO]],'EMPENHO '!E:E,Tabela96[[#This Row],[PROJETO]],'EMPENHO '!F:F,Tabela96[[#This Row],[RESERVA]])</f>
        <v>37040.9</v>
      </c>
      <c r="M34" s="200">
        <f>Tabela96[[#This Row],[VALOR]]+Tabela96[[#This Row],[COMPLEMENTO]]-Tabela96[[#This Row],[DESBLOQUEIO]]-Tabela96[[#This Row],[VALOR
 EMPENHO]]-Tabela96[[#This Row],[SALDO 
CANCELADO]]</f>
        <v>0</v>
      </c>
      <c r="N34" s="200"/>
    </row>
    <row r="35" spans="1:14" hidden="1">
      <c r="A35" s="694">
        <v>45688</v>
      </c>
      <c r="B35" s="167">
        <v>3005</v>
      </c>
      <c r="C35" s="83">
        <v>30</v>
      </c>
      <c r="D35" s="83">
        <v>2253</v>
      </c>
      <c r="E35" s="83">
        <v>2124</v>
      </c>
      <c r="F35" s="83">
        <v>25</v>
      </c>
      <c r="G35" s="175" t="s">
        <v>169</v>
      </c>
      <c r="H35" s="175" t="s">
        <v>308</v>
      </c>
      <c r="I35" s="176">
        <v>451569.6</v>
      </c>
      <c r="J35" s="176"/>
      <c r="K35" s="990">
        <v>218415.6</v>
      </c>
      <c r="L35" s="199">
        <f>SUMIFS('EMPENHO '!J:J,'EMPENHO '!B:B,Tabela96[[#This Row],[PROGRAMA]],'EMPENHO '!C:C,Tabela96[[#This Row],[FICHA]],'EMPENHO '!D:D,Tabela96[[#This Row],[AÇÃO]],'EMPENHO '!E:E,Tabela96[[#This Row],[PROJETO]],'EMPENHO '!F:F,Tabela96[[#This Row],[RESERVA]])</f>
        <v>233154</v>
      </c>
      <c r="M35" s="854">
        <f>Tabela96[[#This Row],[VALOR]]+Tabela96[[#This Row],[COMPLEMENTO]]-Tabela96[[#This Row],[DESBLOQUEIO]]-Tabela96[[#This Row],[VALOR
 EMPENHO]]-Tabela96[[#This Row],[SALDO 
CANCELADO]]</f>
        <v>0</v>
      </c>
      <c r="N35" s="200"/>
    </row>
    <row r="36" spans="1:14" hidden="1">
      <c r="A36" s="694">
        <v>45688</v>
      </c>
      <c r="B36" s="167">
        <v>3006</v>
      </c>
      <c r="C36" s="83">
        <v>32</v>
      </c>
      <c r="D36" s="83">
        <v>2229</v>
      </c>
      <c r="E36" s="83">
        <v>2128</v>
      </c>
      <c r="F36" s="83">
        <v>237</v>
      </c>
      <c r="G36" s="175" t="s">
        <v>176</v>
      </c>
      <c r="H36" s="175" t="s">
        <v>309</v>
      </c>
      <c r="I36" s="176">
        <v>2540376.2400000002</v>
      </c>
      <c r="J36" s="176"/>
      <c r="K36" s="176"/>
      <c r="L36" s="199">
        <f>SUMIFS('EMPENHO '!J:J,'EMPENHO '!B:B,Tabela96[[#This Row],[PROGRAMA]],'EMPENHO '!C:C,Tabela96[[#This Row],[FICHA]],'EMPENHO '!D:D,Tabela96[[#This Row],[AÇÃO]],'EMPENHO '!E:E,Tabela96[[#This Row],[PROJETO]],'EMPENHO '!F:F,Tabela96[[#This Row],[RESERVA]])</f>
        <v>2540376.2400000002</v>
      </c>
      <c r="M36" s="200">
        <f>Tabela96[[#This Row],[VALOR]]+Tabela96[[#This Row],[COMPLEMENTO]]-Tabela96[[#This Row],[DESBLOQUEIO]]-Tabela96[[#This Row],[VALOR
 EMPENHO]]-Tabela96[[#This Row],[SALDO 
CANCELADO]]</f>
        <v>0</v>
      </c>
      <c r="N36" s="200"/>
    </row>
    <row r="37" spans="1:14" hidden="1">
      <c r="A37" s="694">
        <v>45688</v>
      </c>
      <c r="B37" s="167">
        <v>3007</v>
      </c>
      <c r="C37" s="83">
        <v>30</v>
      </c>
      <c r="D37" s="83">
        <v>2253</v>
      </c>
      <c r="E37" s="83">
        <v>2124</v>
      </c>
      <c r="F37" s="83">
        <v>25</v>
      </c>
      <c r="G37" s="175" t="s">
        <v>169</v>
      </c>
      <c r="H37" s="175" t="s">
        <v>310</v>
      </c>
      <c r="I37" s="176">
        <v>283239.59999999998</v>
      </c>
      <c r="J37" s="176"/>
      <c r="K37" s="176"/>
      <c r="L37" s="199">
        <f>SUMIFS('EMPENHO '!J:J,'EMPENHO '!B:B,Tabela96[[#This Row],[PROGRAMA]],'EMPENHO '!C:C,Tabela96[[#This Row],[FICHA]],'EMPENHO '!D:D,Tabela96[[#This Row],[AÇÃO]],'EMPENHO '!E:E,Tabela96[[#This Row],[PROJETO]],'EMPENHO '!F:F,Tabela96[[#This Row],[RESERVA]])</f>
        <v>234829.4</v>
      </c>
      <c r="M37" s="791">
        <f>Tabela96[[#This Row],[VALOR]]+Tabela96[[#This Row],[COMPLEMENTO]]-Tabela96[[#This Row],[DESBLOQUEIO]]-Tabela96[[#This Row],[VALOR
 EMPENHO]]-Tabela96[[#This Row],[SALDO 
CANCELADO]]</f>
        <v>0</v>
      </c>
      <c r="N37" s="200">
        <v>48410.2</v>
      </c>
    </row>
    <row r="38" spans="1:14" hidden="1">
      <c r="A38" s="694">
        <v>45688</v>
      </c>
      <c r="B38" s="167">
        <v>3008</v>
      </c>
      <c r="C38" s="83">
        <v>30</v>
      </c>
      <c r="D38" s="83">
        <v>2253</v>
      </c>
      <c r="E38" s="83">
        <v>2124</v>
      </c>
      <c r="F38" s="83">
        <v>25</v>
      </c>
      <c r="G38" t="s">
        <v>169</v>
      </c>
      <c r="H38" t="s">
        <v>311</v>
      </c>
      <c r="I38" s="176">
        <v>283239.59999999998</v>
      </c>
      <c r="J38" s="176"/>
      <c r="K38" s="176"/>
      <c r="L38" s="199">
        <f>SUMIFS('EMPENHO '!J:J,'EMPENHO '!B:B,Tabela96[[#This Row],[PROGRAMA]],'EMPENHO '!C:C,Tabela96[[#This Row],[FICHA]],'EMPENHO '!D:D,Tabela96[[#This Row],[AÇÃO]],'EMPENHO '!E:E,Tabela96[[#This Row],[PROJETO]],'EMPENHO '!F:F,Tabela96[[#This Row],[RESERVA]])</f>
        <v>181723.09</v>
      </c>
      <c r="M38" s="791">
        <f>Tabela96[[#This Row],[VALOR]]+Tabela96[[#This Row],[COMPLEMENTO]]-Tabela96[[#This Row],[DESBLOQUEIO]]-Tabela96[[#This Row],[VALOR
 EMPENHO]]-Tabela96[[#This Row],[SALDO 
CANCELADO]]</f>
        <v>0.01</v>
      </c>
      <c r="N38" s="200">
        <v>101516.5</v>
      </c>
    </row>
    <row r="39" spans="1:14" hidden="1">
      <c r="A39" s="694">
        <v>45688</v>
      </c>
      <c r="B39" s="167">
        <v>3009</v>
      </c>
      <c r="C39" s="83">
        <v>30</v>
      </c>
      <c r="D39" s="83">
        <v>2253</v>
      </c>
      <c r="E39" s="83">
        <v>2124</v>
      </c>
      <c r="F39" s="83">
        <v>25</v>
      </c>
      <c r="G39" s="175" t="s">
        <v>169</v>
      </c>
      <c r="H39" s="175" t="s">
        <v>312</v>
      </c>
      <c r="I39" s="176">
        <v>8000000</v>
      </c>
      <c r="J39" s="176">
        <v>1000000</v>
      </c>
      <c r="K39" s="176"/>
      <c r="L39" s="199">
        <f>SUMIFS('EMPENHO '!J:J,'EMPENHO '!B:B,Tabela96[[#This Row],[PROGRAMA]],'EMPENHO '!C:C,Tabela96[[#This Row],[FICHA]],'EMPENHO '!D:D,Tabela96[[#This Row],[AÇÃO]],'EMPENHO '!E:E,Tabela96[[#This Row],[PROJETO]],'EMPENHO '!F:F,Tabela96[[#This Row],[RESERVA]])</f>
        <v>9000000</v>
      </c>
      <c r="M39" s="854">
        <f>Tabela96[[#This Row],[VALOR]]+Tabela96[[#This Row],[COMPLEMENTO]]-Tabela96[[#This Row],[DESBLOQUEIO]]-Tabela96[[#This Row],[VALOR
 EMPENHO]]-Tabela96[[#This Row],[SALDO 
CANCELADO]]</f>
        <v>0</v>
      </c>
      <c r="N39" s="200"/>
    </row>
    <row r="40" spans="1:14" hidden="1">
      <c r="A40" s="694">
        <v>45688</v>
      </c>
      <c r="B40" s="167">
        <v>3010</v>
      </c>
      <c r="C40" s="83">
        <v>29</v>
      </c>
      <c r="D40" s="83">
        <v>2242</v>
      </c>
      <c r="E40" s="83">
        <v>1028</v>
      </c>
      <c r="F40" s="83">
        <v>181</v>
      </c>
      <c r="G40" s="175" t="s">
        <v>231</v>
      </c>
      <c r="H40" s="175" t="s">
        <v>313</v>
      </c>
      <c r="I40" s="176">
        <v>1073057.17</v>
      </c>
      <c r="J40" s="176"/>
      <c r="K40" s="176"/>
      <c r="L40" s="199">
        <f>SUMIFS('EMPENHO '!J:J,'EMPENHO '!B:B,Tabela96[[#This Row],[PROGRAMA]],'EMPENHO '!C:C,Tabela96[[#This Row],[FICHA]],'EMPENHO '!D:D,Tabela96[[#This Row],[AÇÃO]],'EMPENHO '!E:E,Tabela96[[#This Row],[PROJETO]],'EMPENHO '!F:F,Tabela96[[#This Row],[RESERVA]])</f>
        <v>1073057.17</v>
      </c>
      <c r="M40" s="200">
        <f>Tabela96[[#This Row],[VALOR]]+Tabela96[[#This Row],[COMPLEMENTO]]-Tabela96[[#This Row],[DESBLOQUEIO]]-Tabela96[[#This Row],[VALOR
 EMPENHO]]-Tabela96[[#This Row],[SALDO 
CANCELADO]]</f>
        <v>0</v>
      </c>
      <c r="N40" s="200"/>
    </row>
    <row r="41" spans="1:14" hidden="1">
      <c r="A41" s="694">
        <v>45688</v>
      </c>
      <c r="B41" s="167">
        <v>3052</v>
      </c>
      <c r="C41" s="83">
        <v>32</v>
      </c>
      <c r="D41" s="83">
        <v>2229</v>
      </c>
      <c r="E41" s="83">
        <v>2128</v>
      </c>
      <c r="F41" s="83">
        <v>242</v>
      </c>
      <c r="G41" s="647" t="s">
        <v>176</v>
      </c>
      <c r="H41" s="647" t="s">
        <v>315</v>
      </c>
      <c r="I41" s="176">
        <v>873149.04</v>
      </c>
      <c r="J41" s="176"/>
      <c r="K41" s="176"/>
      <c r="L41" s="199">
        <f>SUMIFS('EMPENHO '!J:J,'EMPENHO '!B:B,Tabela96[[#This Row],[PROGRAMA]],'EMPENHO '!C:C,Tabela96[[#This Row],[FICHA]],'EMPENHO '!D:D,Tabela96[[#This Row],[AÇÃO]],'EMPENHO '!E:E,Tabela96[[#This Row],[PROJETO]],'EMPENHO '!F:F,Tabela96[[#This Row],[RESERVA]])</f>
        <v>873149.04</v>
      </c>
      <c r="M41" s="200">
        <f>Tabela96[[#This Row],[VALOR]]+Tabela96[[#This Row],[COMPLEMENTO]]-Tabela96[[#This Row],[DESBLOQUEIO]]-Tabela96[[#This Row],[VALOR
 EMPENHO]]-Tabela96[[#This Row],[SALDO 
CANCELADO]]</f>
        <v>0</v>
      </c>
      <c r="N41" s="200"/>
    </row>
    <row r="42" spans="1:14" hidden="1">
      <c r="A42" s="694">
        <v>45688</v>
      </c>
      <c r="B42" s="167">
        <v>3092</v>
      </c>
      <c r="C42" s="83">
        <v>32</v>
      </c>
      <c r="D42" s="83">
        <v>2226</v>
      </c>
      <c r="E42" s="83">
        <v>2128</v>
      </c>
      <c r="F42" s="83">
        <v>88</v>
      </c>
      <c r="G42" t="s">
        <v>186</v>
      </c>
      <c r="H42" t="s">
        <v>318</v>
      </c>
      <c r="I42" s="176">
        <v>7778.67</v>
      </c>
      <c r="J42" s="176"/>
      <c r="K42" s="176"/>
      <c r="L42" s="199">
        <f>SUMIFS('EMPENHO '!J:J,'EMPENHO '!B:B,Tabela96[[#This Row],[PROGRAMA]],'EMPENHO '!C:C,Tabela96[[#This Row],[FICHA]],'EMPENHO '!D:D,Tabela96[[#This Row],[AÇÃO]],'EMPENHO '!E:E,Tabela96[[#This Row],[PROJETO]],'EMPENHO '!F:F,Tabela96[[#This Row],[RESERVA]])</f>
        <v>7778.67</v>
      </c>
      <c r="M42" s="200">
        <f>Tabela96[[#This Row],[VALOR]]+Tabela96[[#This Row],[COMPLEMENTO]]-Tabela96[[#This Row],[DESBLOQUEIO]]-Tabela96[[#This Row],[VALOR
 EMPENHO]]-Tabela96[[#This Row],[SALDO 
CANCELADO]]</f>
        <v>0</v>
      </c>
      <c r="N42" s="200"/>
    </row>
    <row r="43" spans="1:14" hidden="1">
      <c r="A43" s="694">
        <v>45688</v>
      </c>
      <c r="B43" s="167">
        <v>3093</v>
      </c>
      <c r="C43" s="83">
        <v>29</v>
      </c>
      <c r="D43" s="83">
        <v>2242</v>
      </c>
      <c r="E43" s="83">
        <v>1028</v>
      </c>
      <c r="F43" s="83">
        <v>181</v>
      </c>
      <c r="G43" s="175" t="s">
        <v>231</v>
      </c>
      <c r="H43" s="175" t="s">
        <v>317</v>
      </c>
      <c r="I43" s="176">
        <v>350000</v>
      </c>
      <c r="J43" s="176"/>
      <c r="K43" s="176"/>
      <c r="L43" s="199">
        <f>SUMIFS('EMPENHO '!J:J,'EMPENHO '!B:B,Tabela96[[#This Row],[PROGRAMA]],'EMPENHO '!C:C,Tabela96[[#This Row],[FICHA]],'EMPENHO '!D:D,Tabela96[[#This Row],[AÇÃO]],'EMPENHO '!E:E,Tabela96[[#This Row],[PROJETO]],'EMPENHO '!F:F,Tabela96[[#This Row],[RESERVA]])</f>
        <v>350000</v>
      </c>
      <c r="M43" s="200">
        <f>Tabela96[[#This Row],[VALOR]]+Tabela96[[#This Row],[COMPLEMENTO]]-Tabela96[[#This Row],[DESBLOQUEIO]]-Tabela96[[#This Row],[VALOR
 EMPENHO]]-Tabela96[[#This Row],[SALDO 
CANCELADO]]</f>
        <v>0</v>
      </c>
      <c r="N43" s="200"/>
    </row>
    <row r="44" spans="1:14" hidden="1">
      <c r="A44" s="694">
        <v>45688</v>
      </c>
      <c r="B44" s="167">
        <v>3094</v>
      </c>
      <c r="C44" s="83">
        <v>29</v>
      </c>
      <c r="D44" s="83">
        <v>2242</v>
      </c>
      <c r="E44" s="83">
        <v>1028</v>
      </c>
      <c r="F44" s="83">
        <v>184</v>
      </c>
      <c r="G44" s="175" t="s">
        <v>231</v>
      </c>
      <c r="H44" s="175" t="s">
        <v>300</v>
      </c>
      <c r="I44" s="176">
        <v>350000</v>
      </c>
      <c r="J44" s="176"/>
      <c r="K44" s="176"/>
      <c r="L44" s="199">
        <f>SUMIFS('EMPENHO '!J:J,'EMPENHO '!B:B,Tabela96[[#This Row],[PROGRAMA]],'EMPENHO '!C:C,Tabela96[[#This Row],[FICHA]],'EMPENHO '!D:D,Tabela96[[#This Row],[AÇÃO]],'EMPENHO '!E:E,Tabela96[[#This Row],[PROJETO]],'EMPENHO '!F:F,Tabela96[[#This Row],[RESERVA]])</f>
        <v>350000</v>
      </c>
      <c r="M44" s="200">
        <f>Tabela96[[#This Row],[VALOR]]+Tabela96[[#This Row],[COMPLEMENTO]]-Tabela96[[#This Row],[DESBLOQUEIO]]-Tabela96[[#This Row],[VALOR
 EMPENHO]]-Tabela96[[#This Row],[SALDO 
CANCELADO]]</f>
        <v>0</v>
      </c>
      <c r="N44" s="200"/>
    </row>
    <row r="45" spans="1:14" ht="14.25" hidden="1" customHeight="1">
      <c r="A45" s="694">
        <v>45699</v>
      </c>
      <c r="B45" s="167">
        <v>3132</v>
      </c>
      <c r="C45" s="83">
        <v>30</v>
      </c>
      <c r="D45" s="83">
        <v>2253</v>
      </c>
      <c r="E45" s="83">
        <v>2124</v>
      </c>
      <c r="F45" s="83">
        <v>25</v>
      </c>
      <c r="G45" s="175" t="s">
        <v>169</v>
      </c>
      <c r="H45" s="647" t="s">
        <v>320</v>
      </c>
      <c r="I45" s="176">
        <v>78369.600000000006</v>
      </c>
      <c r="J45" s="176"/>
      <c r="K45" s="176"/>
      <c r="L45" s="199">
        <f>SUMIFS('EMPENHO '!J:J,'EMPENHO '!B:B,Tabela96[[#This Row],[PROGRAMA]],'EMPENHO '!C:C,Tabela96[[#This Row],[FICHA]],'EMPENHO '!D:D,Tabela96[[#This Row],[AÇÃO]],'EMPENHO '!E:E,Tabela96[[#This Row],[PROJETO]],'EMPENHO '!F:F,Tabela96[[#This Row],[RESERVA]])</f>
        <v>78369.600000000006</v>
      </c>
      <c r="M45" s="791">
        <f>Tabela96[[#This Row],[VALOR]]+Tabela96[[#This Row],[COMPLEMENTO]]-Tabela96[[#This Row],[DESBLOQUEIO]]-Tabela96[[#This Row],[VALOR
 EMPENHO]]-Tabela96[[#This Row],[SALDO 
CANCELADO]]</f>
        <v>0</v>
      </c>
      <c r="N45" s="200"/>
    </row>
    <row r="46" spans="1:14" hidden="1">
      <c r="A46" s="694">
        <v>45699</v>
      </c>
      <c r="B46" s="167">
        <v>3133</v>
      </c>
      <c r="C46" s="83">
        <v>29</v>
      </c>
      <c r="D46" s="83">
        <v>2244</v>
      </c>
      <c r="E46" s="83">
        <v>2123</v>
      </c>
      <c r="F46" s="83">
        <v>92</v>
      </c>
      <c r="G46" s="175" t="s">
        <v>208</v>
      </c>
      <c r="H46" s="175" t="s">
        <v>321</v>
      </c>
      <c r="I46" s="176">
        <v>261490</v>
      </c>
      <c r="J46" s="176"/>
      <c r="K46" s="176"/>
      <c r="L46" s="199">
        <f>SUMIFS('EMPENHO '!J:J,'EMPENHO '!B:B,Tabela96[[#This Row],[PROGRAMA]],'EMPENHO '!C:C,Tabela96[[#This Row],[FICHA]],'EMPENHO '!D:D,Tabela96[[#This Row],[AÇÃO]],'EMPENHO '!E:E,Tabela96[[#This Row],[PROJETO]],'EMPENHO '!F:F,Tabela96[[#This Row],[RESERVA]])</f>
        <v>261490</v>
      </c>
      <c r="M46" s="200">
        <f>Tabela96[[#This Row],[VALOR]]+Tabela96[[#This Row],[COMPLEMENTO]]-Tabela96[[#This Row],[DESBLOQUEIO]]-Tabela96[[#This Row],[VALOR
 EMPENHO]]-Tabela96[[#This Row],[SALDO 
CANCELADO]]</f>
        <v>0</v>
      </c>
      <c r="N46" s="200"/>
    </row>
    <row r="47" spans="1:14" hidden="1">
      <c r="A47" s="694">
        <v>45699</v>
      </c>
      <c r="B47" s="167">
        <v>3134</v>
      </c>
      <c r="C47" s="83">
        <v>29</v>
      </c>
      <c r="D47" s="83">
        <v>2248</v>
      </c>
      <c r="E47" s="83">
        <v>2123</v>
      </c>
      <c r="F47" s="83">
        <v>69</v>
      </c>
      <c r="G47" s="175" t="s">
        <v>191</v>
      </c>
      <c r="H47" s="175" t="s">
        <v>322</v>
      </c>
      <c r="I47" s="176">
        <v>279200</v>
      </c>
      <c r="J47" s="176"/>
      <c r="K47" s="176"/>
      <c r="L47" s="199">
        <f>SUMIFS('EMPENHO '!J:J,'EMPENHO '!B:B,Tabela96[[#This Row],[PROGRAMA]],'EMPENHO '!C:C,Tabela96[[#This Row],[FICHA]],'EMPENHO '!D:D,Tabela96[[#This Row],[AÇÃO]],'EMPENHO '!E:E,Tabela96[[#This Row],[PROJETO]],'EMPENHO '!F:F,Tabela96[[#This Row],[RESERVA]])</f>
        <v>279200</v>
      </c>
      <c r="M47" s="200">
        <f>Tabela96[[#This Row],[VALOR]]+Tabela96[[#This Row],[COMPLEMENTO]]-Tabela96[[#This Row],[DESBLOQUEIO]]-Tabela96[[#This Row],[VALOR
 EMPENHO]]-Tabela96[[#This Row],[SALDO 
CANCELADO]]</f>
        <v>0</v>
      </c>
      <c r="N47" s="200"/>
    </row>
    <row r="48" spans="1:14" hidden="1">
      <c r="A48" s="694">
        <v>45699</v>
      </c>
      <c r="B48" s="167">
        <v>3135</v>
      </c>
      <c r="C48" s="83">
        <v>32</v>
      </c>
      <c r="D48" s="83">
        <v>2232</v>
      </c>
      <c r="E48" s="83">
        <v>2129</v>
      </c>
      <c r="F48" s="83">
        <v>56</v>
      </c>
      <c r="G48" t="s">
        <v>271</v>
      </c>
      <c r="H48" t="s">
        <v>323</v>
      </c>
      <c r="I48" s="176">
        <v>72000</v>
      </c>
      <c r="J48" s="176">
        <v>20000</v>
      </c>
      <c r="K48" s="176"/>
      <c r="L48" s="199">
        <f>SUMIFS('EMPENHO '!J:J,'EMPENHO '!B:B,Tabela96[[#This Row],[PROGRAMA]],'EMPENHO '!C:C,Tabela96[[#This Row],[FICHA]],'EMPENHO '!D:D,Tabela96[[#This Row],[AÇÃO]],'EMPENHO '!E:E,Tabela96[[#This Row],[PROJETO]],'EMPENHO '!F:F,Tabela96[[#This Row],[RESERVA]])</f>
        <v>92000</v>
      </c>
      <c r="M48" s="868">
        <f>Tabela96[[#This Row],[VALOR]]+Tabela96[[#This Row],[COMPLEMENTO]]-Tabela96[[#This Row],[DESBLOQUEIO]]-Tabela96[[#This Row],[VALOR
 EMPENHO]]-Tabela96[[#This Row],[SALDO 
CANCELADO]]</f>
        <v>0</v>
      </c>
      <c r="N48" s="200"/>
    </row>
    <row r="49" spans="1:14" hidden="1">
      <c r="A49" s="694">
        <v>45701</v>
      </c>
      <c r="B49" s="167">
        <v>3304</v>
      </c>
      <c r="C49" s="83">
        <v>30</v>
      </c>
      <c r="D49" s="83">
        <v>3403</v>
      </c>
      <c r="E49" s="83">
        <v>1029</v>
      </c>
      <c r="F49" s="83">
        <v>153</v>
      </c>
      <c r="G49" s="175" t="s">
        <v>328</v>
      </c>
      <c r="H49" s="175" t="s">
        <v>339</v>
      </c>
      <c r="I49" s="176">
        <v>643019.36</v>
      </c>
      <c r="J49" s="176"/>
      <c r="K49" s="176"/>
      <c r="L49" s="199">
        <f>SUMIFS('EMPENHO '!J:J,'EMPENHO '!B:B,Tabela96[[#This Row],[PROGRAMA]],'EMPENHO '!C:C,Tabela96[[#This Row],[FICHA]],'EMPENHO '!D:D,Tabela96[[#This Row],[AÇÃO]],'EMPENHO '!E:E,Tabela96[[#This Row],[PROJETO]],'EMPENHO '!F:F,Tabela96[[#This Row],[RESERVA]])</f>
        <v>643019.36</v>
      </c>
      <c r="M49" s="200">
        <f>Tabela96[[#This Row],[VALOR]]+Tabela96[[#This Row],[COMPLEMENTO]]-Tabela96[[#This Row],[DESBLOQUEIO]]-Tabela96[[#This Row],[VALOR
 EMPENHO]]-Tabela96[[#This Row],[SALDO 
CANCELADO]]</f>
        <v>0</v>
      </c>
      <c r="N49" s="200"/>
    </row>
    <row r="50" spans="1:14" hidden="1">
      <c r="A50" s="694">
        <v>45712</v>
      </c>
      <c r="B50" s="167">
        <v>3626</v>
      </c>
      <c r="C50" s="83">
        <v>29</v>
      </c>
      <c r="D50" s="83">
        <v>2246</v>
      </c>
      <c r="E50" s="83">
        <v>2123</v>
      </c>
      <c r="F50" s="83">
        <v>123</v>
      </c>
      <c r="G50" s="175" t="s">
        <v>224</v>
      </c>
      <c r="H50" s="175" t="s">
        <v>351</v>
      </c>
      <c r="I50" s="176">
        <v>245710.07999999999</v>
      </c>
      <c r="J50" s="176"/>
      <c r="K50" s="176"/>
      <c r="L50" s="199">
        <f>SUMIFS('EMPENHO '!J:J,'EMPENHO '!B:B,Tabela96[[#This Row],[PROGRAMA]],'EMPENHO '!C:C,Tabela96[[#This Row],[FICHA]],'EMPENHO '!D:D,Tabela96[[#This Row],[AÇÃO]],'EMPENHO '!E:E,Tabela96[[#This Row],[PROJETO]],'EMPENHO '!F:F,Tabela96[[#This Row],[RESERVA]])</f>
        <v>245710.07999999999</v>
      </c>
      <c r="M50" s="200">
        <f>Tabela96[[#This Row],[VALOR]]+Tabela96[[#This Row],[COMPLEMENTO]]-Tabela96[[#This Row],[DESBLOQUEIO]]-Tabela96[[#This Row],[VALOR
 EMPENHO]]-Tabela96[[#This Row],[SALDO 
CANCELADO]]</f>
        <v>0</v>
      </c>
      <c r="N50" s="200"/>
    </row>
    <row r="51" spans="1:14" hidden="1">
      <c r="A51" s="694">
        <v>45714</v>
      </c>
      <c r="B51" s="167">
        <v>3775</v>
      </c>
      <c r="C51" s="83">
        <v>32</v>
      </c>
      <c r="D51" s="83">
        <v>2226</v>
      </c>
      <c r="E51" s="83">
        <v>2128</v>
      </c>
      <c r="F51" s="83">
        <v>84</v>
      </c>
      <c r="G51" s="175" t="s">
        <v>186</v>
      </c>
      <c r="H51" s="175" t="s">
        <v>352</v>
      </c>
      <c r="I51" s="176">
        <v>144990</v>
      </c>
      <c r="J51" s="176"/>
      <c r="K51" s="176"/>
      <c r="L51" s="199">
        <f>SUMIFS('EMPENHO '!J:J,'EMPENHO '!B:B,Tabela96[[#This Row],[PROGRAMA]],'EMPENHO '!C:C,Tabela96[[#This Row],[FICHA]],'EMPENHO '!D:D,Tabela96[[#This Row],[AÇÃO]],'EMPENHO '!E:E,Tabela96[[#This Row],[PROJETO]],'EMPENHO '!F:F,Tabela96[[#This Row],[RESERVA]])</f>
        <v>144990</v>
      </c>
      <c r="M51" s="200">
        <f>Tabela96[[#This Row],[VALOR]]+Tabela96[[#This Row],[COMPLEMENTO]]-Tabela96[[#This Row],[DESBLOQUEIO]]-Tabela96[[#This Row],[VALOR
 EMPENHO]]-Tabela96[[#This Row],[SALDO 
CANCELADO]]</f>
        <v>0</v>
      </c>
      <c r="N51" s="200"/>
    </row>
    <row r="52" spans="1:14" hidden="1">
      <c r="A52" s="694">
        <v>45714</v>
      </c>
      <c r="B52" s="167">
        <v>3788</v>
      </c>
      <c r="C52" s="83">
        <v>30</v>
      </c>
      <c r="D52" s="83">
        <v>2258</v>
      </c>
      <c r="E52" s="83">
        <v>2126</v>
      </c>
      <c r="F52" s="83">
        <v>104</v>
      </c>
      <c r="G52" s="175" t="s">
        <v>210</v>
      </c>
      <c r="H52" s="175" t="s">
        <v>358</v>
      </c>
      <c r="I52" s="176">
        <v>1400</v>
      </c>
      <c r="J52" s="176"/>
      <c r="K52" s="176"/>
      <c r="L52" s="199">
        <f>SUMIFS('EMPENHO '!J:J,'EMPENHO '!B:B,Tabela96[[#This Row],[PROGRAMA]],'EMPENHO '!C:C,Tabela96[[#This Row],[FICHA]],'EMPENHO '!D:D,Tabela96[[#This Row],[AÇÃO]],'EMPENHO '!E:E,Tabela96[[#This Row],[PROJETO]],'EMPENHO '!F:F,Tabela96[[#This Row],[RESERVA]])</f>
        <v>1400</v>
      </c>
      <c r="M52" s="200">
        <f>Tabela96[[#This Row],[VALOR]]+Tabela96[[#This Row],[COMPLEMENTO]]-Tabela96[[#This Row],[DESBLOQUEIO]]-Tabela96[[#This Row],[VALOR
 EMPENHO]]-Tabela96[[#This Row],[SALDO 
CANCELADO]]</f>
        <v>0</v>
      </c>
      <c r="N52" s="200"/>
    </row>
    <row r="53" spans="1:14" hidden="1">
      <c r="A53" s="694">
        <v>45714</v>
      </c>
      <c r="B53" s="167">
        <v>3789</v>
      </c>
      <c r="C53" s="83">
        <v>32</v>
      </c>
      <c r="D53" s="83">
        <v>2229</v>
      </c>
      <c r="E53" s="83">
        <v>2128</v>
      </c>
      <c r="F53" s="83">
        <v>104</v>
      </c>
      <c r="G53" s="175" t="s">
        <v>176</v>
      </c>
      <c r="H53" s="175" t="s">
        <v>357</v>
      </c>
      <c r="I53" s="176">
        <v>900</v>
      </c>
      <c r="J53" s="176"/>
      <c r="K53" s="176"/>
      <c r="L53" s="199">
        <f>SUMIFS('EMPENHO '!J:J,'EMPENHO '!B:B,Tabela96[[#This Row],[PROGRAMA]],'EMPENHO '!C:C,Tabela96[[#This Row],[FICHA]],'EMPENHO '!D:D,Tabela96[[#This Row],[AÇÃO]],'EMPENHO '!E:E,Tabela96[[#This Row],[PROJETO]],'EMPENHO '!F:F,Tabela96[[#This Row],[RESERVA]])</f>
        <v>900</v>
      </c>
      <c r="M53" s="200">
        <f>Tabela96[[#This Row],[VALOR]]+Tabela96[[#This Row],[COMPLEMENTO]]-Tabela96[[#This Row],[DESBLOQUEIO]]-Tabela96[[#This Row],[VALOR
 EMPENHO]]-Tabela96[[#This Row],[SALDO 
CANCELADO]]</f>
        <v>0</v>
      </c>
      <c r="N53" s="200"/>
    </row>
    <row r="54" spans="1:14" hidden="1">
      <c r="A54" s="694">
        <v>45714</v>
      </c>
      <c r="B54" s="167">
        <v>3790</v>
      </c>
      <c r="C54" s="83">
        <v>30</v>
      </c>
      <c r="D54" s="83">
        <v>2253</v>
      </c>
      <c r="E54" s="83">
        <v>2124</v>
      </c>
      <c r="F54" s="83">
        <v>25</v>
      </c>
      <c r="G54" s="175" t="s">
        <v>169</v>
      </c>
      <c r="H54" s="175" t="s">
        <v>356</v>
      </c>
      <c r="I54" s="176">
        <v>700000</v>
      </c>
      <c r="J54" s="176"/>
      <c r="K54" s="176"/>
      <c r="L54" s="199">
        <f>SUMIFS('EMPENHO '!J:J,'EMPENHO '!B:B,Tabela96[[#This Row],[PROGRAMA]],'EMPENHO '!C:C,Tabela96[[#This Row],[FICHA]],'EMPENHO '!D:D,Tabela96[[#This Row],[AÇÃO]],'EMPENHO '!E:E,Tabela96[[#This Row],[PROJETO]],'EMPENHO '!F:F,Tabela96[[#This Row],[RESERVA]])</f>
        <v>700000</v>
      </c>
      <c r="M54" s="791">
        <f>Tabela96[[#This Row],[VALOR]]+Tabela96[[#This Row],[COMPLEMENTO]]-Tabela96[[#This Row],[DESBLOQUEIO]]-Tabela96[[#This Row],[VALOR
 EMPENHO]]-Tabela96[[#This Row],[SALDO 
CANCELADO]]</f>
        <v>0</v>
      </c>
      <c r="N54" s="200"/>
    </row>
    <row r="55" spans="1:14" hidden="1">
      <c r="A55" s="201">
        <v>45727</v>
      </c>
      <c r="B55" s="167">
        <v>4191</v>
      </c>
      <c r="C55" s="167">
        <v>32</v>
      </c>
      <c r="D55" s="167">
        <v>2229</v>
      </c>
      <c r="E55" s="167">
        <v>2128</v>
      </c>
      <c r="F55" s="167">
        <v>237</v>
      </c>
      <c r="G55" s="175" t="s">
        <v>176</v>
      </c>
      <c r="H55" s="175" t="s">
        <v>403</v>
      </c>
      <c r="I55" s="176">
        <v>1232459.76</v>
      </c>
      <c r="J55" s="193">
        <v>1150000</v>
      </c>
      <c r="K55" s="194"/>
      <c r="L55" s="199">
        <f>SUMIFS('EMPENHO '!J:J,'EMPENHO '!B:B,Tabela96[[#This Row],[PROGRAMA]],'EMPENHO '!C:C,Tabela96[[#This Row],[FICHA]],'EMPENHO '!D:D,Tabela96[[#This Row],[AÇÃO]],'EMPENHO '!E:E,Tabela96[[#This Row],[PROJETO]],'EMPENHO '!F:F,Tabela96[[#This Row],[RESERVA]])</f>
        <v>2382459.7599999998</v>
      </c>
      <c r="M55" s="200">
        <f>Tabela96[[#This Row],[VALOR]]+Tabela96[[#This Row],[COMPLEMENTO]]-Tabela96[[#This Row],[DESBLOQUEIO]]-Tabela96[[#This Row],[VALOR
 EMPENHO]]-Tabela96[[#This Row],[SALDO 
CANCELADO]]</f>
        <v>0</v>
      </c>
      <c r="N55" s="200"/>
    </row>
    <row r="56" spans="1:14" hidden="1">
      <c r="A56" s="201">
        <v>45728</v>
      </c>
      <c r="B56" s="167">
        <v>4241</v>
      </c>
      <c r="C56" s="167">
        <v>32</v>
      </c>
      <c r="D56" s="167">
        <v>3484</v>
      </c>
      <c r="E56" s="167">
        <v>2128</v>
      </c>
      <c r="F56" s="167">
        <v>245</v>
      </c>
      <c r="G56" s="175" t="s">
        <v>392</v>
      </c>
      <c r="H56" s="175" t="s">
        <v>402</v>
      </c>
      <c r="I56" s="176">
        <v>4233</v>
      </c>
      <c r="J56" s="193"/>
      <c r="K56" s="194"/>
      <c r="L56" s="199">
        <f>SUMIFS('EMPENHO '!J:J,'EMPENHO '!B:B,Tabela96[[#This Row],[PROGRAMA]],'EMPENHO '!C:C,Tabela96[[#This Row],[FICHA]],'EMPENHO '!D:D,Tabela96[[#This Row],[AÇÃO]],'EMPENHO '!E:E,Tabela96[[#This Row],[PROJETO]],'EMPENHO '!F:F,Tabela96[[#This Row],[RESERVA]])</f>
        <v>4233</v>
      </c>
      <c r="M56" s="200">
        <f>Tabela96[[#This Row],[VALOR]]+Tabela96[[#This Row],[COMPLEMENTO]]-Tabela96[[#This Row],[DESBLOQUEIO]]-Tabela96[[#This Row],[VALOR
 EMPENHO]]-Tabela96[[#This Row],[SALDO 
CANCELADO]]</f>
        <v>0</v>
      </c>
      <c r="N56" s="200"/>
    </row>
    <row r="57" spans="1:14" hidden="1">
      <c r="A57" s="201">
        <v>45728</v>
      </c>
      <c r="B57" s="167">
        <v>4242</v>
      </c>
      <c r="C57" s="167">
        <v>30</v>
      </c>
      <c r="D57" s="167">
        <v>3486</v>
      </c>
      <c r="E57" s="167">
        <v>2126</v>
      </c>
      <c r="F57" s="167">
        <v>104</v>
      </c>
      <c r="G57" s="175" t="s">
        <v>400</v>
      </c>
      <c r="H57" s="175" t="s">
        <v>401</v>
      </c>
      <c r="I57" s="176">
        <v>1826.58</v>
      </c>
      <c r="J57" s="193"/>
      <c r="K57" s="194"/>
      <c r="L57" s="199">
        <f>SUMIFS('EMPENHO '!J:J,'EMPENHO '!B:B,Tabela96[[#This Row],[PROGRAMA]],'EMPENHO '!C:C,Tabela96[[#This Row],[FICHA]],'EMPENHO '!D:D,Tabela96[[#This Row],[AÇÃO]],'EMPENHO '!E:E,Tabela96[[#This Row],[PROJETO]],'EMPENHO '!F:F,Tabela96[[#This Row],[RESERVA]])</f>
        <v>1826.58</v>
      </c>
      <c r="M57" s="200">
        <f>Tabela96[[#This Row],[VALOR]]+Tabela96[[#This Row],[COMPLEMENTO]]-Tabela96[[#This Row],[DESBLOQUEIO]]-Tabela96[[#This Row],[VALOR
 EMPENHO]]-Tabela96[[#This Row],[SALDO 
CANCELADO]]</f>
        <v>0</v>
      </c>
      <c r="N57" s="200"/>
    </row>
    <row r="58" spans="1:14" hidden="1">
      <c r="A58" s="201">
        <v>45728</v>
      </c>
      <c r="B58" s="167">
        <v>4243</v>
      </c>
      <c r="C58" s="167">
        <v>32</v>
      </c>
      <c r="D58" s="167">
        <v>3484</v>
      </c>
      <c r="E58" s="167">
        <v>2128</v>
      </c>
      <c r="F58" s="167">
        <v>122</v>
      </c>
      <c r="G58" s="175" t="s">
        <v>392</v>
      </c>
      <c r="H58" s="175" t="s">
        <v>399</v>
      </c>
      <c r="I58" s="176">
        <v>4265.6499999999996</v>
      </c>
      <c r="J58" s="193"/>
      <c r="K58" s="194"/>
      <c r="L58" s="199">
        <f>SUMIFS('EMPENHO '!J:J,'EMPENHO '!B:B,Tabela96[[#This Row],[PROGRAMA]],'EMPENHO '!C:C,Tabela96[[#This Row],[FICHA]],'EMPENHO '!D:D,Tabela96[[#This Row],[AÇÃO]],'EMPENHO '!E:E,Tabela96[[#This Row],[PROJETO]],'EMPENHO '!F:F,Tabela96[[#This Row],[RESERVA]])</f>
        <v>4265.6499999999996</v>
      </c>
      <c r="M58" s="200">
        <f>Tabela96[[#This Row],[VALOR]]+Tabela96[[#This Row],[COMPLEMENTO]]-Tabela96[[#This Row],[DESBLOQUEIO]]-Tabela96[[#This Row],[VALOR
 EMPENHO]]-Tabela96[[#This Row],[SALDO 
CANCELADO]]</f>
        <v>0</v>
      </c>
      <c r="N58" s="200"/>
    </row>
    <row r="59" spans="1:14" hidden="1">
      <c r="A59" s="566">
        <v>45728</v>
      </c>
      <c r="B59" s="167">
        <v>4244</v>
      </c>
      <c r="C59" s="167">
        <v>32</v>
      </c>
      <c r="D59" s="167">
        <v>3484</v>
      </c>
      <c r="E59" s="167">
        <v>2128</v>
      </c>
      <c r="F59" s="167">
        <v>117</v>
      </c>
      <c r="G59" s="175" t="s">
        <v>392</v>
      </c>
      <c r="H59" s="175" t="s">
        <v>398</v>
      </c>
      <c r="I59" s="176">
        <v>8881.33</v>
      </c>
      <c r="J59" s="188"/>
      <c r="K59" s="189"/>
      <c r="L59" s="199">
        <f>SUMIFS('EMPENHO '!J:J,'EMPENHO '!B:B,Tabela96[[#This Row],[PROGRAMA]],'EMPENHO '!C:C,Tabela96[[#This Row],[FICHA]],'EMPENHO '!D:D,Tabela96[[#This Row],[AÇÃO]],'EMPENHO '!E:E,Tabela96[[#This Row],[PROJETO]],'EMPENHO '!F:F,Tabela96[[#This Row],[RESERVA]])</f>
        <v>8881.33</v>
      </c>
      <c r="M59" s="200">
        <f>Tabela96[[#This Row],[VALOR]]+Tabela96[[#This Row],[COMPLEMENTO]]-Tabela96[[#This Row],[DESBLOQUEIO]]-Tabela96[[#This Row],[VALOR
 EMPENHO]]-Tabela96[[#This Row],[SALDO 
CANCELADO]]</f>
        <v>0</v>
      </c>
      <c r="N59" s="200"/>
    </row>
    <row r="60" spans="1:14" hidden="1">
      <c r="A60" s="566">
        <v>45728</v>
      </c>
      <c r="B60" s="167">
        <v>4245</v>
      </c>
      <c r="C60" s="167">
        <v>32</v>
      </c>
      <c r="D60" s="167">
        <v>3484</v>
      </c>
      <c r="E60" s="167">
        <v>2128</v>
      </c>
      <c r="F60" s="167">
        <v>84</v>
      </c>
      <c r="G60" s="175" t="s">
        <v>392</v>
      </c>
      <c r="H60" s="175" t="s">
        <v>397</v>
      </c>
      <c r="I60" s="176">
        <v>840</v>
      </c>
      <c r="J60" s="188"/>
      <c r="K60" s="189"/>
      <c r="L60" s="199">
        <f>SUMIFS('EMPENHO '!J:J,'EMPENHO '!B:B,Tabela96[[#This Row],[PROGRAMA]],'EMPENHO '!C:C,Tabela96[[#This Row],[FICHA]],'EMPENHO '!D:D,Tabela96[[#This Row],[AÇÃO]],'EMPENHO '!E:E,Tabela96[[#This Row],[PROJETO]],'EMPENHO '!F:F,Tabela96[[#This Row],[RESERVA]])</f>
        <v>840</v>
      </c>
      <c r="M60" s="200">
        <f>Tabela96[[#This Row],[VALOR]]+Tabela96[[#This Row],[COMPLEMENTO]]-Tabela96[[#This Row],[DESBLOQUEIO]]-Tabela96[[#This Row],[VALOR
 EMPENHO]]-Tabela96[[#This Row],[SALDO 
CANCELADO]]</f>
        <v>0</v>
      </c>
      <c r="N60" s="200"/>
    </row>
    <row r="61" spans="1:14" hidden="1">
      <c r="A61" s="566">
        <v>45728</v>
      </c>
      <c r="B61" s="167">
        <v>4246</v>
      </c>
      <c r="C61" s="167">
        <v>30</v>
      </c>
      <c r="D61" s="167">
        <v>3485</v>
      </c>
      <c r="E61" s="167">
        <v>2126</v>
      </c>
      <c r="F61" s="167">
        <v>104</v>
      </c>
      <c r="G61" s="175" t="s">
        <v>395</v>
      </c>
      <c r="H61" s="175" t="s">
        <v>396</v>
      </c>
      <c r="I61" s="176">
        <v>3630.32</v>
      </c>
      <c r="J61" s="188"/>
      <c r="K61" s="189"/>
      <c r="L61" s="199">
        <f>SUMIFS('EMPENHO '!J:J,'EMPENHO '!B:B,Tabela96[[#This Row],[PROGRAMA]],'EMPENHO '!C:C,Tabela96[[#This Row],[FICHA]],'EMPENHO '!D:D,Tabela96[[#This Row],[AÇÃO]],'EMPENHO '!E:E,Tabela96[[#This Row],[PROJETO]],'EMPENHO '!F:F,Tabela96[[#This Row],[RESERVA]])</f>
        <v>3630.32</v>
      </c>
      <c r="M61" s="200">
        <f>Tabela96[[#This Row],[VALOR]]+Tabela96[[#This Row],[COMPLEMENTO]]-Tabela96[[#This Row],[DESBLOQUEIO]]-Tabela96[[#This Row],[VALOR
 EMPENHO]]-Tabela96[[#This Row],[SALDO 
CANCELADO]]</f>
        <v>0</v>
      </c>
      <c r="N61" s="200"/>
    </row>
    <row r="62" spans="1:14" hidden="1">
      <c r="A62" s="565">
        <v>45728</v>
      </c>
      <c r="B62" s="167">
        <v>4247</v>
      </c>
      <c r="C62" s="83">
        <v>32</v>
      </c>
      <c r="D62" s="83">
        <v>3484</v>
      </c>
      <c r="E62" s="83">
        <v>2128</v>
      </c>
      <c r="F62" s="83">
        <v>138</v>
      </c>
      <c r="G62" s="175" t="s">
        <v>392</v>
      </c>
      <c r="H62" s="175" t="s">
        <v>394</v>
      </c>
      <c r="I62" s="176">
        <v>2738</v>
      </c>
      <c r="J62" s="176"/>
      <c r="K62" s="176"/>
      <c r="L62" s="199">
        <f>SUMIFS('EMPENHO '!J:J,'EMPENHO '!B:B,Tabela96[[#This Row],[PROGRAMA]],'EMPENHO '!C:C,Tabela96[[#This Row],[FICHA]],'EMPENHO '!D:D,Tabela96[[#This Row],[AÇÃO]],'EMPENHO '!E:E,Tabela96[[#This Row],[PROJETO]],'EMPENHO '!F:F,Tabela96[[#This Row],[RESERVA]])</f>
        <v>2738</v>
      </c>
      <c r="M62" s="200">
        <f>Tabela96[[#This Row],[VALOR]]+Tabela96[[#This Row],[COMPLEMENTO]]-Tabela96[[#This Row],[DESBLOQUEIO]]-Tabela96[[#This Row],[VALOR
 EMPENHO]]-Tabela96[[#This Row],[SALDO 
CANCELADO]]</f>
        <v>0</v>
      </c>
      <c r="N62" s="200"/>
    </row>
    <row r="63" spans="1:14" hidden="1">
      <c r="A63" s="565">
        <v>45728</v>
      </c>
      <c r="B63" s="167">
        <v>4248</v>
      </c>
      <c r="C63" s="83">
        <v>32</v>
      </c>
      <c r="D63" s="83">
        <v>3484</v>
      </c>
      <c r="E63" s="83">
        <v>2128</v>
      </c>
      <c r="F63" s="83">
        <v>88</v>
      </c>
      <c r="G63" s="175" t="s">
        <v>392</v>
      </c>
      <c r="H63" s="175" t="s">
        <v>393</v>
      </c>
      <c r="I63" s="176">
        <v>3220</v>
      </c>
      <c r="J63" s="176"/>
      <c r="K63" s="176"/>
      <c r="L63" s="199">
        <f>SUMIFS('EMPENHO '!J:J,'EMPENHO '!B:B,Tabela96[[#This Row],[PROGRAMA]],'EMPENHO '!C:C,Tabela96[[#This Row],[FICHA]],'EMPENHO '!D:D,Tabela96[[#This Row],[AÇÃO]],'EMPENHO '!E:E,Tabela96[[#This Row],[PROJETO]],'EMPENHO '!F:F,Tabela96[[#This Row],[RESERVA]])</f>
        <v>3220</v>
      </c>
      <c r="M63" s="200">
        <f>Tabela96[[#This Row],[VALOR]]+Tabela96[[#This Row],[COMPLEMENTO]]-Tabela96[[#This Row],[DESBLOQUEIO]]-Tabela96[[#This Row],[VALOR
 EMPENHO]]-Tabela96[[#This Row],[SALDO 
CANCELADO]]</f>
        <v>0</v>
      </c>
      <c r="N63" s="200"/>
    </row>
    <row r="64" spans="1:14" hidden="1">
      <c r="A64" s="565">
        <v>45728</v>
      </c>
      <c r="B64" s="167">
        <v>4249</v>
      </c>
      <c r="C64" s="83">
        <v>30</v>
      </c>
      <c r="D64" s="83">
        <v>2253</v>
      </c>
      <c r="E64" s="83">
        <v>2124</v>
      </c>
      <c r="F64" s="83">
        <v>25</v>
      </c>
      <c r="G64" s="175" t="s">
        <v>169</v>
      </c>
      <c r="H64" s="175" t="s">
        <v>391</v>
      </c>
      <c r="I64" s="176">
        <v>82754.2</v>
      </c>
      <c r="J64" s="176"/>
      <c r="K64" s="176"/>
      <c r="L64" s="199">
        <f>SUMIFS('EMPENHO '!J:J,'EMPENHO '!B:B,Tabela96[[#This Row],[PROGRAMA]],'EMPENHO '!C:C,Tabela96[[#This Row],[FICHA]],'EMPENHO '!D:D,Tabela96[[#This Row],[AÇÃO]],'EMPENHO '!E:E,Tabela96[[#This Row],[PROJETO]],'EMPENHO '!F:F,Tabela96[[#This Row],[RESERVA]])</f>
        <v>82754.2</v>
      </c>
      <c r="M64" s="791">
        <f>Tabela96[[#This Row],[VALOR]]+Tabela96[[#This Row],[COMPLEMENTO]]-Tabela96[[#This Row],[DESBLOQUEIO]]-Tabela96[[#This Row],[VALOR
 EMPENHO]]-Tabela96[[#This Row],[SALDO 
CANCELADO]]</f>
        <v>0</v>
      </c>
      <c r="N64" s="200"/>
    </row>
    <row r="65" spans="1:14" hidden="1">
      <c r="A65" s="201">
        <v>45728</v>
      </c>
      <c r="B65" s="167">
        <v>4250</v>
      </c>
      <c r="C65" s="167">
        <v>30</v>
      </c>
      <c r="D65" s="167">
        <v>3487</v>
      </c>
      <c r="E65" s="167">
        <v>2124</v>
      </c>
      <c r="F65" s="167">
        <v>25</v>
      </c>
      <c r="G65" s="640" t="s">
        <v>390</v>
      </c>
      <c r="H65" s="600" t="s">
        <v>616</v>
      </c>
      <c r="I65" s="821">
        <v>56768.35</v>
      </c>
      <c r="J65" s="821"/>
      <c r="K65" s="821">
        <v>37826.370000000003</v>
      </c>
      <c r="L65" s="822">
        <f>SUMIFS('EMPENHO '!J:J,'EMPENHO '!B:B,Tabela96[[#This Row],[PROGRAMA]],'EMPENHO '!C:C,Tabela96[[#This Row],[FICHA]],'EMPENHO '!D:D,Tabela96[[#This Row],[AÇÃO]],'EMPENHO '!E:E,Tabela96[[#This Row],[PROJETO]],'EMPENHO '!F:F,Tabela96[[#This Row],[RESERVA]])</f>
        <v>18941.98</v>
      </c>
      <c r="M65" s="829">
        <f>Tabela96[[#This Row],[VALOR]]+Tabela96[[#This Row],[COMPLEMENTO]]-Tabela96[[#This Row],[DESBLOQUEIO]]-Tabela96[[#This Row],[VALOR
 EMPENHO]]-Tabela96[[#This Row],[SALDO 
CANCELADO]]</f>
        <v>0</v>
      </c>
      <c r="N65" s="821"/>
    </row>
    <row r="66" spans="1:14" hidden="1">
      <c r="A66" s="566">
        <v>45736</v>
      </c>
      <c r="B66" s="167">
        <v>4579</v>
      </c>
      <c r="C66" s="167">
        <v>29</v>
      </c>
      <c r="D66" s="167">
        <v>2244</v>
      </c>
      <c r="E66" s="167">
        <v>2123</v>
      </c>
      <c r="F66" s="167">
        <v>92</v>
      </c>
      <c r="G66" s="175" t="s">
        <v>208</v>
      </c>
      <c r="H66" s="175" t="s">
        <v>427</v>
      </c>
      <c r="I66" s="176">
        <v>165040</v>
      </c>
      <c r="J66" s="193"/>
      <c r="K66" s="176"/>
      <c r="L66" s="199">
        <f>SUMIFS('EMPENHO '!J:J,'EMPENHO '!B:B,Tabela96[[#This Row],[PROGRAMA]],'EMPENHO '!C:C,Tabela96[[#This Row],[FICHA]],'EMPENHO '!D:D,Tabela96[[#This Row],[AÇÃO]],'EMPENHO '!E:E,Tabela96[[#This Row],[PROJETO]],'EMPENHO '!F:F,Tabela96[[#This Row],[RESERVA]])</f>
        <v>165040</v>
      </c>
      <c r="M66" s="200">
        <f>Tabela96[[#This Row],[VALOR]]+Tabela96[[#This Row],[COMPLEMENTO]]-Tabela96[[#This Row],[DESBLOQUEIO]]-Tabela96[[#This Row],[VALOR
 EMPENHO]]-Tabela96[[#This Row],[SALDO 
CANCELADO]]</f>
        <v>0</v>
      </c>
      <c r="N66" s="200"/>
    </row>
    <row r="67" spans="1:14" hidden="1">
      <c r="A67" s="566">
        <v>45736</v>
      </c>
      <c r="B67" s="167">
        <v>4580</v>
      </c>
      <c r="C67" s="167">
        <v>29</v>
      </c>
      <c r="D67" s="167">
        <v>2248</v>
      </c>
      <c r="E67" s="167">
        <v>2123</v>
      </c>
      <c r="F67" s="167">
        <v>69</v>
      </c>
      <c r="G67" s="175" t="s">
        <v>191</v>
      </c>
      <c r="H67" s="175" t="s">
        <v>427</v>
      </c>
      <c r="I67" s="176">
        <v>48062</v>
      </c>
      <c r="J67" s="193"/>
      <c r="K67" s="194"/>
      <c r="L67" s="199">
        <f>SUMIFS('EMPENHO '!J:J,'EMPENHO '!B:B,Tabela96[[#This Row],[PROGRAMA]],'EMPENHO '!C:C,Tabela96[[#This Row],[FICHA]],'EMPENHO '!D:D,Tabela96[[#This Row],[AÇÃO]],'EMPENHO '!E:E,Tabela96[[#This Row],[PROJETO]],'EMPENHO '!F:F,Tabela96[[#This Row],[RESERVA]])</f>
        <v>48062</v>
      </c>
      <c r="M67" s="200">
        <f>Tabela96[[#This Row],[VALOR]]+Tabela96[[#This Row],[COMPLEMENTO]]-Tabela96[[#This Row],[DESBLOQUEIO]]-Tabela96[[#This Row],[VALOR
 EMPENHO]]-Tabela96[[#This Row],[SALDO 
CANCELADO]]</f>
        <v>0</v>
      </c>
      <c r="N67" s="200"/>
    </row>
    <row r="68" spans="1:14" hidden="1">
      <c r="A68" s="566">
        <v>45736</v>
      </c>
      <c r="B68" s="167">
        <v>4581</v>
      </c>
      <c r="C68" s="167">
        <v>29</v>
      </c>
      <c r="D68" s="167">
        <v>2248</v>
      </c>
      <c r="E68" s="167">
        <v>2123</v>
      </c>
      <c r="F68" s="167">
        <v>69</v>
      </c>
      <c r="G68" s="175" t="s">
        <v>191</v>
      </c>
      <c r="H68" s="175" t="s">
        <v>428</v>
      </c>
      <c r="I68" s="176">
        <v>176550</v>
      </c>
      <c r="J68" s="193"/>
      <c r="K68" s="194"/>
      <c r="L68" s="199">
        <f>SUMIFS('EMPENHO '!J:J,'EMPENHO '!B:B,Tabela96[[#This Row],[PROGRAMA]],'EMPENHO '!C:C,Tabela96[[#This Row],[FICHA]],'EMPENHO '!D:D,Tabela96[[#This Row],[AÇÃO]],'EMPENHO '!E:E,Tabela96[[#This Row],[PROJETO]],'EMPENHO '!F:F,Tabela96[[#This Row],[RESERVA]])</f>
        <v>176550</v>
      </c>
      <c r="M68" s="200">
        <f>Tabela96[[#This Row],[VALOR]]+Tabela96[[#This Row],[COMPLEMENTO]]-Tabela96[[#This Row],[DESBLOQUEIO]]-Tabela96[[#This Row],[VALOR
 EMPENHO]]-Tabela96[[#This Row],[SALDO 
CANCELADO]]</f>
        <v>0</v>
      </c>
      <c r="N68" s="200"/>
    </row>
    <row r="69" spans="1:14" hidden="1">
      <c r="A69" s="566">
        <v>45740</v>
      </c>
      <c r="B69" s="167">
        <v>4734</v>
      </c>
      <c r="C69" s="167">
        <v>32</v>
      </c>
      <c r="D69" s="167">
        <v>2226</v>
      </c>
      <c r="E69" s="167">
        <v>2128</v>
      </c>
      <c r="F69" s="167">
        <v>84</v>
      </c>
      <c r="G69" s="504" t="s">
        <v>186</v>
      </c>
      <c r="H69" s="505" t="s">
        <v>488</v>
      </c>
      <c r="I69" s="752">
        <v>62346.14</v>
      </c>
      <c r="J69" s="752"/>
      <c r="K69" s="753"/>
      <c r="L69" s="754">
        <f>SUMIFS('EMPENHO '!J:J,'EMPENHO '!B:B,Tabela96[[#This Row],[PROGRAMA]],'EMPENHO '!C:C,Tabela96[[#This Row],[FICHA]],'EMPENHO '!D:D,Tabela96[[#This Row],[AÇÃO]],'EMPENHO '!E:E,Tabela96[[#This Row],[PROJETO]],'EMPENHO '!F:F,Tabela96[[#This Row],[RESERVA]])</f>
        <v>0</v>
      </c>
      <c r="M69" s="755">
        <f>Tabela96[[#This Row],[VALOR]]+Tabela96[[#This Row],[COMPLEMENTO]]-Tabela96[[#This Row],[DESBLOQUEIO]]-Tabela96[[#This Row],[VALOR
 EMPENHO]]-Tabela96[[#This Row],[SALDO 
CANCELADO]]</f>
        <v>0</v>
      </c>
      <c r="N69" s="752">
        <v>62346.14</v>
      </c>
    </row>
    <row r="70" spans="1:14" hidden="1">
      <c r="A70" s="566">
        <v>45740</v>
      </c>
      <c r="B70" s="167">
        <v>4735</v>
      </c>
      <c r="C70" s="167">
        <v>29</v>
      </c>
      <c r="D70" s="167">
        <v>2248</v>
      </c>
      <c r="E70" s="167">
        <v>2123</v>
      </c>
      <c r="F70" s="167">
        <v>69</v>
      </c>
      <c r="G70" s="175" t="s">
        <v>191</v>
      </c>
      <c r="H70" s="175" t="s">
        <v>435</v>
      </c>
      <c r="I70" s="176">
        <v>2400</v>
      </c>
      <c r="J70" s="188"/>
      <c r="K70" s="189"/>
      <c r="L70" s="199">
        <f>SUMIFS('EMPENHO '!J:J,'EMPENHO '!B:B,Tabela96[[#This Row],[PROGRAMA]],'EMPENHO '!C:C,Tabela96[[#This Row],[FICHA]],'EMPENHO '!D:D,Tabela96[[#This Row],[AÇÃO]],'EMPENHO '!E:E,Tabela96[[#This Row],[PROJETO]],'EMPENHO '!F:F,Tabela96[[#This Row],[RESERVA]])</f>
        <v>2400</v>
      </c>
      <c r="M70" s="200">
        <f>Tabela96[[#This Row],[VALOR]]+Tabela96[[#This Row],[COMPLEMENTO]]-Tabela96[[#This Row],[DESBLOQUEIO]]-Tabela96[[#This Row],[VALOR
 EMPENHO]]-Tabela96[[#This Row],[SALDO 
CANCELADO]]</f>
        <v>0</v>
      </c>
      <c r="N70" s="200"/>
    </row>
    <row r="71" spans="1:14" hidden="1">
      <c r="A71" s="566">
        <v>45740</v>
      </c>
      <c r="B71" s="167">
        <v>4736</v>
      </c>
      <c r="C71" s="167">
        <v>29</v>
      </c>
      <c r="D71" s="167">
        <v>2244</v>
      </c>
      <c r="E71" s="167">
        <v>2123</v>
      </c>
      <c r="F71" s="167">
        <v>92</v>
      </c>
      <c r="G71" s="175" t="s">
        <v>208</v>
      </c>
      <c r="H71" s="175" t="s">
        <v>434</v>
      </c>
      <c r="I71" s="176">
        <v>2200</v>
      </c>
      <c r="J71" s="193"/>
      <c r="K71" s="194"/>
      <c r="L71" s="199">
        <f>SUMIFS('EMPENHO '!J:J,'EMPENHO '!B:B,Tabela96[[#This Row],[PROGRAMA]],'EMPENHO '!C:C,Tabela96[[#This Row],[FICHA]],'EMPENHO '!D:D,Tabela96[[#This Row],[AÇÃO]],'EMPENHO '!E:E,Tabela96[[#This Row],[PROJETO]],'EMPENHO '!F:F,Tabela96[[#This Row],[RESERVA]])</f>
        <v>2200</v>
      </c>
      <c r="M71" s="200">
        <f>Tabela96[[#This Row],[VALOR]]+Tabela96[[#This Row],[COMPLEMENTO]]-Tabela96[[#This Row],[DESBLOQUEIO]]-Tabela96[[#This Row],[VALOR
 EMPENHO]]-Tabela96[[#This Row],[SALDO 
CANCELADO]]</f>
        <v>0</v>
      </c>
      <c r="N71" s="200"/>
    </row>
    <row r="72" spans="1:14" ht="15" hidden="1" customHeight="1">
      <c r="A72" s="566">
        <v>45741</v>
      </c>
      <c r="B72" s="167">
        <v>4798</v>
      </c>
      <c r="C72" s="167">
        <v>30</v>
      </c>
      <c r="D72" s="167">
        <v>2253</v>
      </c>
      <c r="E72" s="167">
        <v>2124</v>
      </c>
      <c r="F72" s="167">
        <v>25</v>
      </c>
      <c r="G72" s="175" t="s">
        <v>169</v>
      </c>
      <c r="H72" s="175" t="s">
        <v>432</v>
      </c>
      <c r="I72" s="176">
        <v>12000</v>
      </c>
      <c r="J72" s="193"/>
      <c r="K72" s="194"/>
      <c r="L72" s="822">
        <f>SUMIFS('EMPENHO '!J:J,'EMPENHO '!B:B,Tabela96[[#This Row],[PROGRAMA]],'EMPENHO '!C:C,Tabela96[[#This Row],[FICHA]],'EMPENHO '!D:D,Tabela96[[#This Row],[AÇÃO]],'EMPENHO '!E:E,Tabela96[[#This Row],[PROJETO]],'EMPENHO '!F:F,Tabela96[[#This Row],[RESERVA]])</f>
        <v>12000</v>
      </c>
      <c r="M72" s="791">
        <f>Tabela96[[#This Row],[VALOR]]+Tabela96[[#This Row],[COMPLEMENTO]]-Tabela96[[#This Row],[DESBLOQUEIO]]-Tabela96[[#This Row],[VALOR
 EMPENHO]]-Tabela96[[#This Row],[SALDO 
CANCELADO]]</f>
        <v>0</v>
      </c>
      <c r="N72" s="200"/>
    </row>
    <row r="73" spans="1:14" hidden="1">
      <c r="A73" s="566">
        <v>45747</v>
      </c>
      <c r="B73" s="167">
        <v>5025</v>
      </c>
      <c r="C73" s="167">
        <v>32</v>
      </c>
      <c r="D73" s="167">
        <v>2229</v>
      </c>
      <c r="E73" s="167">
        <v>2128</v>
      </c>
      <c r="F73" s="167">
        <v>122</v>
      </c>
      <c r="G73" s="175" t="s">
        <v>176</v>
      </c>
      <c r="H73" s="175" t="s">
        <v>438</v>
      </c>
      <c r="I73" s="176">
        <v>28081.55</v>
      </c>
      <c r="J73" s="188"/>
      <c r="K73" s="189"/>
      <c r="L73" s="199">
        <f>SUMIFS('EMPENHO '!J:J,'EMPENHO '!B:B,Tabela96[[#This Row],[PROGRAMA]],'EMPENHO '!C:C,Tabela96[[#This Row],[FICHA]],'EMPENHO '!D:D,Tabela96[[#This Row],[AÇÃO]],'EMPENHO '!E:E,Tabela96[[#This Row],[PROJETO]],'EMPENHO '!F:F,Tabela96[[#This Row],[RESERVA]])</f>
        <v>9523.2999999999993</v>
      </c>
      <c r="M73" s="188">
        <f>Tabela96[[#This Row],[VALOR]]+Tabela96[[#This Row],[COMPLEMENTO]]-Tabela96[[#This Row],[DESBLOQUEIO]]-Tabela96[[#This Row],[VALOR
 EMPENHO]]-Tabela96[[#This Row],[SALDO 
CANCELADO]]</f>
        <v>18558.25</v>
      </c>
      <c r="N73" s="188"/>
    </row>
    <row r="74" spans="1:14" hidden="1">
      <c r="A74" s="566">
        <v>45747</v>
      </c>
      <c r="B74" s="167">
        <v>5026</v>
      </c>
      <c r="C74" s="167">
        <v>32</v>
      </c>
      <c r="D74" s="167">
        <v>2229</v>
      </c>
      <c r="E74" s="167">
        <v>2128</v>
      </c>
      <c r="F74" s="167">
        <v>245</v>
      </c>
      <c r="G74" s="175" t="s">
        <v>176</v>
      </c>
      <c r="H74" s="175" t="s">
        <v>439</v>
      </c>
      <c r="I74" s="176">
        <v>12700</v>
      </c>
      <c r="J74" s="231"/>
      <c r="K74" s="176">
        <v>748</v>
      </c>
      <c r="L74" s="199">
        <f>SUMIFS('EMPENHO '!J:J,'EMPENHO '!B:B,Tabela96[[#This Row],[PROGRAMA]],'EMPENHO '!C:C,Tabela96[[#This Row],[FICHA]],'EMPENHO '!D:D,Tabela96[[#This Row],[AÇÃO]],'EMPENHO '!E:E,Tabela96[[#This Row],[PROJETO]],'EMPENHO '!F:F,Tabela96[[#This Row],[RESERVA]])</f>
        <v>11952</v>
      </c>
      <c r="M74" s="200">
        <f>Tabela96[[#This Row],[VALOR]]+Tabela96[[#This Row],[COMPLEMENTO]]-Tabela96[[#This Row],[DESBLOQUEIO]]-Tabela96[[#This Row],[VALOR
 EMPENHO]]-Tabela96[[#This Row],[SALDO 
CANCELADO]]</f>
        <v>0</v>
      </c>
      <c r="N74" s="200"/>
    </row>
    <row r="75" spans="1:14" hidden="1">
      <c r="A75" s="566">
        <v>45755</v>
      </c>
      <c r="B75" s="167">
        <v>5698</v>
      </c>
      <c r="C75" s="167">
        <v>30</v>
      </c>
      <c r="D75" s="167">
        <v>2258</v>
      </c>
      <c r="E75" s="167">
        <v>2126</v>
      </c>
      <c r="F75" s="167">
        <v>104</v>
      </c>
      <c r="G75" s="175" t="s">
        <v>210</v>
      </c>
      <c r="H75" s="175" t="s">
        <v>468</v>
      </c>
      <c r="I75" s="176">
        <v>4675.57</v>
      </c>
      <c r="J75" s="231"/>
      <c r="K75" s="232"/>
      <c r="L75" s="199">
        <f>SUMIFS('EMPENHO '!J:J,'EMPENHO '!B:B,Tabela96[[#This Row],[PROGRAMA]],'EMPENHO '!C:C,Tabela96[[#This Row],[FICHA]],'EMPENHO '!D:D,Tabela96[[#This Row],[AÇÃO]],'EMPENHO '!E:E,Tabela96[[#This Row],[PROJETO]],'EMPENHO '!F:F,Tabela96[[#This Row],[RESERVA]])</f>
        <v>4675.57</v>
      </c>
      <c r="M75" s="200">
        <f>Tabela96[[#This Row],[VALOR]]+Tabela96[[#This Row],[COMPLEMENTO]]-Tabela96[[#This Row],[DESBLOQUEIO]]-Tabela96[[#This Row],[VALOR
 EMPENHO]]-Tabela96[[#This Row],[SALDO 
CANCELADO]]</f>
        <v>0</v>
      </c>
      <c r="N75" s="200"/>
    </row>
    <row r="76" spans="1:14" hidden="1">
      <c r="A76" s="566">
        <v>45755</v>
      </c>
      <c r="B76" s="167">
        <v>5699</v>
      </c>
      <c r="C76" s="167">
        <v>30</v>
      </c>
      <c r="D76" s="167">
        <v>2261</v>
      </c>
      <c r="E76" s="167">
        <v>2126</v>
      </c>
      <c r="F76" s="167">
        <v>104</v>
      </c>
      <c r="G76" s="175" t="s">
        <v>211</v>
      </c>
      <c r="H76" s="175" t="s">
        <v>467</v>
      </c>
      <c r="I76" s="176">
        <v>12281.28</v>
      </c>
      <c r="J76" s="231"/>
      <c r="K76" s="231"/>
      <c r="L76" s="199">
        <f>SUMIFS('EMPENHO '!J:J,'EMPENHO '!B:B,Tabela96[[#This Row],[PROGRAMA]],'EMPENHO '!C:C,Tabela96[[#This Row],[FICHA]],'EMPENHO '!D:D,Tabela96[[#This Row],[AÇÃO]],'EMPENHO '!E:E,Tabela96[[#This Row],[PROJETO]],'EMPENHO '!F:F,Tabela96[[#This Row],[RESERVA]])</f>
        <v>12281.28</v>
      </c>
      <c r="M76" s="200">
        <f>Tabela96[[#This Row],[VALOR]]+Tabela96[[#This Row],[COMPLEMENTO]]-Tabela96[[#This Row],[DESBLOQUEIO]]-Tabela96[[#This Row],[VALOR
 EMPENHO]]-Tabela96[[#This Row],[SALDO 
CANCELADO]]</f>
        <v>0</v>
      </c>
      <c r="N76" s="200"/>
    </row>
    <row r="77" spans="1:14" hidden="1">
      <c r="A77" s="823">
        <v>45757</v>
      </c>
      <c r="B77" s="167">
        <v>5786</v>
      </c>
      <c r="C77" s="167">
        <v>30</v>
      </c>
      <c r="D77" s="167">
        <v>2253</v>
      </c>
      <c r="E77" s="167">
        <v>2124</v>
      </c>
      <c r="F77" s="167">
        <v>25</v>
      </c>
      <c r="G77" s="175" t="s">
        <v>169</v>
      </c>
      <c r="H77" s="175" t="s">
        <v>466</v>
      </c>
      <c r="I77" s="176">
        <v>231500</v>
      </c>
      <c r="J77" s="244"/>
      <c r="K77" s="247"/>
      <c r="L77" s="199">
        <f>SUMIFS('EMPENHO '!J:J,'EMPENHO '!B:B,Tabela96[[#This Row],[PROGRAMA]],'EMPENHO '!C:C,Tabela96[[#This Row],[FICHA]],'EMPENHO '!D:D,Tabela96[[#This Row],[AÇÃO]],'EMPENHO '!E:E,Tabela96[[#This Row],[PROJETO]],'EMPENHO '!F:F,Tabela96[[#This Row],[RESERVA]])</f>
        <v>231500</v>
      </c>
      <c r="M77" s="791">
        <f>Tabela96[[#This Row],[VALOR]]+Tabela96[[#This Row],[COMPLEMENTO]]-Tabela96[[#This Row],[DESBLOQUEIO]]-Tabela96[[#This Row],[VALOR
 EMPENHO]]-Tabela96[[#This Row],[SALDO 
CANCELADO]]</f>
        <v>0</v>
      </c>
      <c r="N77" s="200"/>
    </row>
    <row r="78" spans="1:14" hidden="1">
      <c r="A78" s="201">
        <v>45763</v>
      </c>
      <c r="B78" s="167">
        <v>6048</v>
      </c>
      <c r="C78" s="167">
        <v>30</v>
      </c>
      <c r="D78" s="167">
        <v>2261</v>
      </c>
      <c r="E78" s="167">
        <v>2126</v>
      </c>
      <c r="F78" s="167">
        <v>104</v>
      </c>
      <c r="G78" s="647" t="s">
        <v>211</v>
      </c>
      <c r="H78" s="647" t="s">
        <v>619</v>
      </c>
      <c r="I78" s="176">
        <v>12281.28</v>
      </c>
      <c r="J78" s="472"/>
      <c r="K78" s="340">
        <v>12281.28</v>
      </c>
      <c r="L78" s="199">
        <f>SUMIFS('EMPENHO '!J:J,'EMPENHO '!B:B,Tabela96[[#This Row],[PROGRAMA]],'EMPENHO '!C:C,Tabela96[[#This Row],[FICHA]],'EMPENHO '!D:D,Tabela96[[#This Row],[AÇÃO]],'EMPENHO '!E:E,Tabela96[[#This Row],[PROJETO]],'EMPENHO '!F:F,Tabela96[[#This Row],[RESERVA]])</f>
        <v>0</v>
      </c>
      <c r="M78" s="440">
        <f>Tabela96[[#This Row],[VALOR]]+Tabela96[[#This Row],[COMPLEMENTO]]-Tabela96[[#This Row],[DESBLOQUEIO]]-Tabela96[[#This Row],[VALOR
 EMPENHO]]-Tabela96[[#This Row],[SALDO 
CANCELADO]]</f>
        <v>0</v>
      </c>
      <c r="N78" s="440"/>
    </row>
    <row r="79" spans="1:14" hidden="1">
      <c r="A79" s="566">
        <v>45763</v>
      </c>
      <c r="B79" s="167">
        <v>6049</v>
      </c>
      <c r="C79" s="167">
        <v>30</v>
      </c>
      <c r="D79" s="167">
        <v>2253</v>
      </c>
      <c r="E79" s="167">
        <v>2124</v>
      </c>
      <c r="F79" s="167">
        <v>25</v>
      </c>
      <c r="G79" s="175" t="s">
        <v>169</v>
      </c>
      <c r="H79" s="175" t="s">
        <v>465</v>
      </c>
      <c r="I79" s="176">
        <v>48871.51</v>
      </c>
      <c r="J79" s="231"/>
      <c r="K79" s="232"/>
      <c r="L79" s="199">
        <f>SUMIFS('EMPENHO '!J:J,'EMPENHO '!B:B,Tabela96[[#This Row],[PROGRAMA]],'EMPENHO '!C:C,Tabela96[[#This Row],[FICHA]],'EMPENHO '!D:D,Tabela96[[#This Row],[AÇÃO]],'EMPENHO '!E:E,Tabela96[[#This Row],[PROJETO]],'EMPENHO '!F:F,Tabela96[[#This Row],[RESERVA]])</f>
        <v>48871.51</v>
      </c>
      <c r="M79" s="791">
        <f>Tabela96[[#This Row],[VALOR]]+Tabela96[[#This Row],[COMPLEMENTO]]-Tabela96[[#This Row],[DESBLOQUEIO]]-Tabela96[[#This Row],[VALOR
 EMPENHO]]-Tabela96[[#This Row],[SALDO 
CANCELADO]]</f>
        <v>0</v>
      </c>
      <c r="N79" s="200"/>
    </row>
    <row r="80" spans="1:14" hidden="1">
      <c r="A80" s="566">
        <v>45763</v>
      </c>
      <c r="B80" s="167">
        <v>6050</v>
      </c>
      <c r="C80" s="167">
        <v>32</v>
      </c>
      <c r="D80" s="167">
        <v>2231</v>
      </c>
      <c r="E80" s="167">
        <v>2128</v>
      </c>
      <c r="F80" s="167">
        <v>104</v>
      </c>
      <c r="G80" s="175" t="s">
        <v>192</v>
      </c>
      <c r="H80" s="175" t="s">
        <v>464</v>
      </c>
      <c r="I80" s="176">
        <v>113176.84</v>
      </c>
      <c r="J80" s="231"/>
      <c r="K80" s="232"/>
      <c r="L80" s="199">
        <f>SUMIFS('EMPENHO '!J:J,'EMPENHO '!B:B,Tabela96[[#This Row],[PROGRAMA]],'EMPENHO '!C:C,Tabela96[[#This Row],[FICHA]],'EMPENHO '!D:D,Tabela96[[#This Row],[AÇÃO]],'EMPENHO '!E:E,Tabela96[[#This Row],[PROJETO]],'EMPENHO '!F:F,Tabela96[[#This Row],[RESERVA]])</f>
        <v>0</v>
      </c>
      <c r="M80" s="200">
        <f>Tabela96[[#This Row],[VALOR]]+Tabela96[[#This Row],[COMPLEMENTO]]-Tabela96[[#This Row],[DESBLOQUEIO]]-Tabela96[[#This Row],[VALOR
 EMPENHO]]-Tabela96[[#This Row],[SALDO 
CANCELADO]]</f>
        <v>0</v>
      </c>
      <c r="N80" s="200">
        <v>113176.84</v>
      </c>
    </row>
    <row r="81" spans="1:14" hidden="1">
      <c r="A81" s="201">
        <v>45763</v>
      </c>
      <c r="B81" s="167">
        <v>6051</v>
      </c>
      <c r="C81" s="167">
        <v>30</v>
      </c>
      <c r="D81" s="167">
        <v>2258</v>
      </c>
      <c r="E81" s="167">
        <v>2126</v>
      </c>
      <c r="F81" s="167">
        <v>104</v>
      </c>
      <c r="G81" s="647" t="s">
        <v>210</v>
      </c>
      <c r="H81" s="647" t="s">
        <v>618</v>
      </c>
      <c r="I81" s="803">
        <v>4675.57</v>
      </c>
      <c r="J81" s="472"/>
      <c r="K81" s="340">
        <v>4675.57</v>
      </c>
      <c r="L81" s="199">
        <f>SUMIFS('EMPENHO '!J:J,'EMPENHO '!B:B,Tabela96[[#This Row],[PROGRAMA]],'EMPENHO '!C:C,Tabela96[[#This Row],[FICHA]],'EMPENHO '!D:D,Tabela96[[#This Row],[AÇÃO]],'EMPENHO '!E:E,Tabela96[[#This Row],[PROJETO]],'EMPENHO '!F:F,Tabela96[[#This Row],[RESERVA]])</f>
        <v>0</v>
      </c>
      <c r="M81" s="440">
        <f>Tabela96[[#This Row],[VALOR]]+Tabela96[[#This Row],[COMPLEMENTO]]-Tabela96[[#This Row],[DESBLOQUEIO]]-Tabela96[[#This Row],[VALOR
 EMPENHO]]-Tabela96[[#This Row],[SALDO 
CANCELADO]]</f>
        <v>0</v>
      </c>
      <c r="N81" s="440"/>
    </row>
    <row r="82" spans="1:14" hidden="1">
      <c r="A82" s="566">
        <v>45771</v>
      </c>
      <c r="B82" s="167">
        <v>6266</v>
      </c>
      <c r="C82" s="167">
        <v>32</v>
      </c>
      <c r="D82" s="167">
        <v>2226</v>
      </c>
      <c r="E82" s="167">
        <v>2128</v>
      </c>
      <c r="F82" s="167">
        <v>84</v>
      </c>
      <c r="G82" s="175" t="s">
        <v>186</v>
      </c>
      <c r="H82" s="175" t="s">
        <v>475</v>
      </c>
      <c r="I82" s="176">
        <v>3090</v>
      </c>
      <c r="J82" s="231"/>
      <c r="K82" s="231"/>
      <c r="L82" s="199">
        <f>SUMIFS('EMPENHO '!J:J,'EMPENHO '!B:B,Tabela96[[#This Row],[PROGRAMA]],'EMPENHO '!C:C,Tabela96[[#This Row],[FICHA]],'EMPENHO '!D:D,Tabela96[[#This Row],[AÇÃO]],'EMPENHO '!E:E,Tabela96[[#This Row],[PROJETO]],'EMPENHO '!F:F,Tabela96[[#This Row],[RESERVA]])</f>
        <v>3090</v>
      </c>
      <c r="M82" s="200">
        <f>Tabela96[[#This Row],[VALOR]]+Tabela96[[#This Row],[COMPLEMENTO]]-Tabela96[[#This Row],[DESBLOQUEIO]]-Tabela96[[#This Row],[VALOR
 EMPENHO]]-Tabela96[[#This Row],[SALDO 
CANCELADO]]</f>
        <v>0</v>
      </c>
      <c r="N82" s="200"/>
    </row>
    <row r="83" spans="1:14" hidden="1">
      <c r="A83" s="565">
        <v>45771</v>
      </c>
      <c r="B83" s="167">
        <v>6268</v>
      </c>
      <c r="C83" s="835">
        <v>32</v>
      </c>
      <c r="D83" s="835">
        <v>3484</v>
      </c>
      <c r="E83" s="835">
        <v>2128</v>
      </c>
      <c r="F83" s="835">
        <v>84</v>
      </c>
      <c r="G83" s="175" t="s">
        <v>392</v>
      </c>
      <c r="H83" s="175" t="s">
        <v>476</v>
      </c>
      <c r="I83" s="176">
        <v>7829.9</v>
      </c>
      <c r="J83" s="231"/>
      <c r="K83" s="231"/>
      <c r="L83" s="199">
        <f>SUMIFS('EMPENHO '!J:J,'EMPENHO '!B:B,Tabela96[[#This Row],[PROGRAMA]],'EMPENHO '!C:C,Tabela96[[#This Row],[FICHA]],'EMPENHO '!D:D,Tabela96[[#This Row],[AÇÃO]],'EMPENHO '!E:E,Tabela96[[#This Row],[PROJETO]],'EMPENHO '!F:F,Tabela96[[#This Row],[RESERVA]])</f>
        <v>7829.9</v>
      </c>
      <c r="M83" s="200">
        <f>Tabela96[[#This Row],[VALOR]]+Tabela96[[#This Row],[COMPLEMENTO]]-Tabela96[[#This Row],[DESBLOQUEIO]]-Tabela96[[#This Row],[VALOR
 EMPENHO]]-Tabela96[[#This Row],[SALDO 
CANCELADO]]</f>
        <v>0</v>
      </c>
      <c r="N83" s="200"/>
    </row>
    <row r="84" spans="1:14" hidden="1">
      <c r="A84" s="566">
        <v>45771</v>
      </c>
      <c r="B84" s="167">
        <v>6269</v>
      </c>
      <c r="C84" s="243">
        <v>30</v>
      </c>
      <c r="D84" s="243">
        <v>3485</v>
      </c>
      <c r="E84" s="243">
        <v>2126</v>
      </c>
      <c r="F84" s="243">
        <v>104</v>
      </c>
      <c r="G84" s="175" t="s">
        <v>395</v>
      </c>
      <c r="H84" s="175" t="s">
        <v>477</v>
      </c>
      <c r="I84" s="176">
        <v>1535.16</v>
      </c>
      <c r="J84" s="231"/>
      <c r="K84" s="232"/>
      <c r="L84" s="199">
        <f>SUMIFS('EMPENHO '!J:J,'EMPENHO '!B:B,Tabela96[[#This Row],[PROGRAMA]],'EMPENHO '!C:C,Tabela96[[#This Row],[FICHA]],'EMPENHO '!D:D,Tabela96[[#This Row],[AÇÃO]],'EMPENHO '!E:E,Tabela96[[#This Row],[PROJETO]],'EMPENHO '!F:F,Tabela96[[#This Row],[RESERVA]])</f>
        <v>1535.16</v>
      </c>
      <c r="M84" s="200">
        <f>Tabela96[[#This Row],[VALOR]]+Tabela96[[#This Row],[COMPLEMENTO]]-Tabela96[[#This Row],[DESBLOQUEIO]]-Tabela96[[#This Row],[VALOR
 EMPENHO]]-Tabela96[[#This Row],[SALDO 
CANCELADO]]</f>
        <v>0</v>
      </c>
      <c r="N84" s="200"/>
    </row>
    <row r="85" spans="1:14" hidden="1">
      <c r="A85" s="565">
        <v>45771</v>
      </c>
      <c r="B85" s="167">
        <v>6270</v>
      </c>
      <c r="C85" s="243">
        <v>32</v>
      </c>
      <c r="D85" s="243">
        <v>3590</v>
      </c>
      <c r="E85" s="243">
        <v>2129</v>
      </c>
      <c r="F85" s="243">
        <v>56</v>
      </c>
      <c r="G85" t="s">
        <v>474</v>
      </c>
      <c r="H85" s="175" t="s">
        <v>478</v>
      </c>
      <c r="I85" s="176">
        <v>18282.599999999999</v>
      </c>
      <c r="J85" s="231"/>
      <c r="K85" s="232"/>
      <c r="L85" s="199">
        <f>SUMIFS('EMPENHO '!J:J,'EMPENHO '!B:B,Tabela96[[#This Row],[PROGRAMA]],'EMPENHO '!C:C,Tabela96[[#This Row],[FICHA]],'EMPENHO '!D:D,Tabela96[[#This Row],[AÇÃO]],'EMPENHO '!E:E,Tabela96[[#This Row],[PROJETO]],'EMPENHO '!F:F,Tabela96[[#This Row],[RESERVA]])</f>
        <v>18282.599999999999</v>
      </c>
      <c r="M85" s="200">
        <f>Tabela96[[#This Row],[VALOR]]+Tabela96[[#This Row],[COMPLEMENTO]]-Tabela96[[#This Row],[DESBLOQUEIO]]-Tabela96[[#This Row],[VALOR
 EMPENHO]]-Tabela96[[#This Row],[SALDO 
CANCELADO]]</f>
        <v>0</v>
      </c>
      <c r="N85" s="200"/>
    </row>
    <row r="86" spans="1:14" hidden="1">
      <c r="A86" s="566">
        <v>45771</v>
      </c>
      <c r="B86" s="167">
        <v>6271</v>
      </c>
      <c r="C86" s="243">
        <v>32</v>
      </c>
      <c r="D86" s="243">
        <v>2226</v>
      </c>
      <c r="E86" s="243">
        <v>2128</v>
      </c>
      <c r="F86" s="243">
        <v>84</v>
      </c>
      <c r="G86" t="s">
        <v>186</v>
      </c>
      <c r="H86" s="175" t="s">
        <v>479</v>
      </c>
      <c r="I86" s="176">
        <v>5500</v>
      </c>
      <c r="J86" s="188"/>
      <c r="K86" s="189"/>
      <c r="L86" s="199">
        <f>SUMIFS('EMPENHO '!J:J,'EMPENHO '!B:B,Tabela96[[#This Row],[PROGRAMA]],'EMPENHO '!C:C,Tabela96[[#This Row],[FICHA]],'EMPENHO '!D:D,Tabela96[[#This Row],[AÇÃO]],'EMPENHO '!E:E,Tabela96[[#This Row],[PROJETO]],'EMPENHO '!F:F,Tabela96[[#This Row],[RESERVA]])</f>
        <v>5500</v>
      </c>
      <c r="M86" s="200">
        <f>Tabela96[[#This Row],[VALOR]]+Tabela96[[#This Row],[COMPLEMENTO]]-Tabela96[[#This Row],[DESBLOQUEIO]]-Tabela96[[#This Row],[VALOR
 EMPENHO]]-Tabela96[[#This Row],[SALDO 
CANCELADO]]</f>
        <v>0</v>
      </c>
      <c r="N86" s="200"/>
    </row>
    <row r="87" spans="1:14" hidden="1">
      <c r="A87" s="566">
        <v>45771</v>
      </c>
      <c r="B87" s="167">
        <v>6272</v>
      </c>
      <c r="C87" s="243">
        <v>32</v>
      </c>
      <c r="D87" s="243">
        <v>2226</v>
      </c>
      <c r="E87" s="243">
        <v>2128</v>
      </c>
      <c r="F87" s="243">
        <v>84</v>
      </c>
      <c r="G87" t="s">
        <v>186</v>
      </c>
      <c r="H87" s="175" t="s">
        <v>480</v>
      </c>
      <c r="I87" s="176">
        <v>5940</v>
      </c>
      <c r="J87" s="188"/>
      <c r="K87" s="189"/>
      <c r="L87" s="199">
        <f>SUMIFS('EMPENHO '!J:J,'EMPENHO '!B:B,Tabela96[[#This Row],[PROGRAMA]],'EMPENHO '!C:C,Tabela96[[#This Row],[FICHA]],'EMPENHO '!D:D,Tabela96[[#This Row],[AÇÃO]],'EMPENHO '!E:E,Tabela96[[#This Row],[PROJETO]],'EMPENHO '!F:F,Tabela96[[#This Row],[RESERVA]])</f>
        <v>5940</v>
      </c>
      <c r="M87" s="200">
        <f>Tabela96[[#This Row],[VALOR]]+Tabela96[[#This Row],[COMPLEMENTO]]-Tabela96[[#This Row],[DESBLOQUEIO]]-Tabela96[[#This Row],[VALOR
 EMPENHO]]-Tabela96[[#This Row],[SALDO 
CANCELADO]]</f>
        <v>0</v>
      </c>
      <c r="N87" s="200"/>
    </row>
    <row r="88" spans="1:14" hidden="1">
      <c r="A88" s="201">
        <v>45777</v>
      </c>
      <c r="B88" s="167">
        <v>6574</v>
      </c>
      <c r="C88" s="167">
        <v>29</v>
      </c>
      <c r="D88" s="167">
        <v>2244</v>
      </c>
      <c r="E88" s="167">
        <v>2123</v>
      </c>
      <c r="F88" s="167">
        <v>92</v>
      </c>
      <c r="G88" s="175" t="s">
        <v>208</v>
      </c>
      <c r="H88" s="175" t="s">
        <v>493</v>
      </c>
      <c r="I88" s="176">
        <v>23900</v>
      </c>
      <c r="J88" s="231"/>
      <c r="K88" s="231"/>
      <c r="L88" s="199">
        <f>SUMIFS('EMPENHO '!J:J,'EMPENHO '!B:B,Tabela96[[#This Row],[PROGRAMA]],'EMPENHO '!C:C,Tabela96[[#This Row],[FICHA]],'EMPENHO '!D:D,Tabela96[[#This Row],[AÇÃO]],'EMPENHO '!E:E,Tabela96[[#This Row],[PROJETO]],'EMPENHO '!F:F,Tabela96[[#This Row],[RESERVA]])</f>
        <v>23900</v>
      </c>
      <c r="M88" s="200">
        <f>Tabela96[[#This Row],[VALOR]]+Tabela96[[#This Row],[COMPLEMENTO]]-Tabela96[[#This Row],[DESBLOQUEIO]]-Tabela96[[#This Row],[VALOR
 EMPENHO]]-Tabela96[[#This Row],[SALDO 
CANCELADO]]</f>
        <v>0</v>
      </c>
      <c r="N88" s="200"/>
    </row>
    <row r="89" spans="1:14" hidden="1">
      <c r="A89" s="566">
        <v>45777</v>
      </c>
      <c r="B89" s="167">
        <v>6575</v>
      </c>
      <c r="C89" s="167">
        <v>29</v>
      </c>
      <c r="D89" s="167">
        <v>2248</v>
      </c>
      <c r="E89" s="167">
        <v>2123</v>
      </c>
      <c r="F89" s="167">
        <v>69</v>
      </c>
      <c r="G89" s="175" t="s">
        <v>191</v>
      </c>
      <c r="H89" s="175" t="s">
        <v>492</v>
      </c>
      <c r="I89" s="176">
        <v>25000</v>
      </c>
      <c r="J89" s="188"/>
      <c r="K89" s="189"/>
      <c r="L89" s="199">
        <f>SUMIFS('EMPENHO '!J:J,'EMPENHO '!B:B,Tabela96[[#This Row],[PROGRAMA]],'EMPENHO '!C:C,Tabela96[[#This Row],[FICHA]],'EMPENHO '!D:D,Tabela96[[#This Row],[AÇÃO]],'EMPENHO '!E:E,Tabela96[[#This Row],[PROJETO]],'EMPENHO '!F:F,Tabela96[[#This Row],[RESERVA]])</f>
        <v>25000</v>
      </c>
      <c r="M89" s="200">
        <f>Tabela96[[#This Row],[VALOR]]+Tabela96[[#This Row],[COMPLEMENTO]]-Tabela96[[#This Row],[DESBLOQUEIO]]-Tabela96[[#This Row],[VALOR
 EMPENHO]]-Tabela96[[#This Row],[SALDO 
CANCELADO]]</f>
        <v>0</v>
      </c>
      <c r="N89" s="200"/>
    </row>
    <row r="90" spans="1:14" hidden="1">
      <c r="A90" s="566">
        <v>45777</v>
      </c>
      <c r="B90" s="167">
        <v>6576</v>
      </c>
      <c r="C90" s="167">
        <v>29</v>
      </c>
      <c r="D90" s="167">
        <v>2244</v>
      </c>
      <c r="E90" s="167">
        <v>2123</v>
      </c>
      <c r="F90" s="167">
        <v>92</v>
      </c>
      <c r="G90" s="175" t="s">
        <v>208</v>
      </c>
      <c r="H90" s="175" t="s">
        <v>491</v>
      </c>
      <c r="I90" s="176">
        <v>22240</v>
      </c>
      <c r="J90" s="188"/>
      <c r="K90" s="189"/>
      <c r="L90" s="199">
        <f>SUMIFS('EMPENHO '!J:J,'EMPENHO '!B:B,Tabela96[[#This Row],[PROGRAMA]],'EMPENHO '!C:C,Tabela96[[#This Row],[FICHA]],'EMPENHO '!D:D,Tabela96[[#This Row],[AÇÃO]],'EMPENHO '!E:E,Tabela96[[#This Row],[PROJETO]],'EMPENHO '!F:F,Tabela96[[#This Row],[RESERVA]])</f>
        <v>22240</v>
      </c>
      <c r="M90" s="200">
        <f>Tabela96[[#This Row],[VALOR]]+Tabela96[[#This Row],[COMPLEMENTO]]-Tabela96[[#This Row],[DESBLOQUEIO]]-Tabela96[[#This Row],[VALOR
 EMPENHO]]-Tabela96[[#This Row],[SALDO 
CANCELADO]]</f>
        <v>0</v>
      </c>
      <c r="N90" s="200"/>
    </row>
    <row r="91" spans="1:14" hidden="1">
      <c r="A91" s="201">
        <v>45798</v>
      </c>
      <c r="B91" s="167">
        <v>7050</v>
      </c>
      <c r="C91" s="167">
        <v>32</v>
      </c>
      <c r="D91" s="167">
        <v>2226</v>
      </c>
      <c r="E91" s="167">
        <v>2128</v>
      </c>
      <c r="F91" s="167">
        <v>84</v>
      </c>
      <c r="G91" s="175" t="s">
        <v>186</v>
      </c>
      <c r="H91" s="175" t="s">
        <v>509</v>
      </c>
      <c r="I91" s="176">
        <v>22400</v>
      </c>
      <c r="J91" s="306"/>
      <c r="K91" s="311"/>
      <c r="L91" s="199">
        <f>SUMIFS('EMPENHO '!J:J,'EMPENHO '!B:B,Tabela96[[#This Row],[PROGRAMA]],'EMPENHO '!C:C,Tabela96[[#This Row],[FICHA]],'EMPENHO '!D:D,Tabela96[[#This Row],[AÇÃO]],'EMPENHO '!E:E,Tabela96[[#This Row],[PROJETO]],'EMPENHO '!F:F,Tabela96[[#This Row],[RESERVA]])</f>
        <v>22400</v>
      </c>
      <c r="M91" s="200">
        <f>Tabela96[[#This Row],[VALOR]]+Tabela96[[#This Row],[COMPLEMENTO]]-Tabela96[[#This Row],[DESBLOQUEIO]]-Tabela96[[#This Row],[VALOR
 EMPENHO]]-Tabela96[[#This Row],[SALDO 
CANCELADO]]</f>
        <v>0</v>
      </c>
      <c r="N91" s="200"/>
    </row>
    <row r="92" spans="1:14" hidden="1">
      <c r="A92" s="201">
        <v>45798</v>
      </c>
      <c r="B92" s="167">
        <v>7051</v>
      </c>
      <c r="C92" s="167">
        <v>32</v>
      </c>
      <c r="D92" s="167">
        <v>3484</v>
      </c>
      <c r="E92" s="167">
        <v>2128</v>
      </c>
      <c r="F92" s="167">
        <v>314</v>
      </c>
      <c r="G92" s="175" t="s">
        <v>392</v>
      </c>
      <c r="H92" s="175" t="s">
        <v>508</v>
      </c>
      <c r="I92" s="176">
        <v>13499.01</v>
      </c>
      <c r="J92" s="306"/>
      <c r="K92" s="311"/>
      <c r="L92" s="199">
        <f>SUMIFS('EMPENHO '!J:J,'EMPENHO '!B:B,Tabela96[[#This Row],[PROGRAMA]],'EMPENHO '!C:C,Tabela96[[#This Row],[FICHA]],'EMPENHO '!D:D,Tabela96[[#This Row],[AÇÃO]],'EMPENHO '!E:E,Tabela96[[#This Row],[PROJETO]],'EMPENHO '!F:F,Tabela96[[#This Row],[RESERVA]])</f>
        <v>13499.01</v>
      </c>
      <c r="M92" s="200">
        <f>Tabela96[[#This Row],[VALOR]]+Tabela96[[#This Row],[COMPLEMENTO]]-Tabela96[[#This Row],[DESBLOQUEIO]]-Tabela96[[#This Row],[VALOR
 EMPENHO]]-Tabela96[[#This Row],[SALDO 
CANCELADO]]</f>
        <v>0</v>
      </c>
      <c r="N92" s="200"/>
    </row>
    <row r="93" spans="1:14" hidden="1">
      <c r="A93" s="201">
        <v>45798</v>
      </c>
      <c r="B93" s="167">
        <v>7052</v>
      </c>
      <c r="C93" s="167">
        <v>30</v>
      </c>
      <c r="D93" s="167">
        <v>3485</v>
      </c>
      <c r="E93" s="167">
        <v>2126</v>
      </c>
      <c r="F93" s="167">
        <v>104</v>
      </c>
      <c r="G93" s="175" t="s">
        <v>395</v>
      </c>
      <c r="H93" s="175" t="s">
        <v>507</v>
      </c>
      <c r="I93" s="176">
        <v>4290</v>
      </c>
      <c r="J93" s="306"/>
      <c r="K93" s="311"/>
      <c r="L93" s="199">
        <f>SUMIFS('EMPENHO '!J:J,'EMPENHO '!B:B,Tabela96[[#This Row],[PROGRAMA]],'EMPENHO '!C:C,Tabela96[[#This Row],[FICHA]],'EMPENHO '!D:D,Tabela96[[#This Row],[AÇÃO]],'EMPENHO '!E:E,Tabela96[[#This Row],[PROJETO]],'EMPENHO '!F:F,Tabela96[[#This Row],[RESERVA]])</f>
        <v>4290</v>
      </c>
      <c r="M93" s="200">
        <f>Tabela96[[#This Row],[VALOR]]+Tabela96[[#This Row],[COMPLEMENTO]]-Tabela96[[#This Row],[DESBLOQUEIO]]-Tabela96[[#This Row],[VALOR
 EMPENHO]]-Tabela96[[#This Row],[SALDO 
CANCELADO]]</f>
        <v>0</v>
      </c>
      <c r="N93" s="200"/>
    </row>
    <row r="94" spans="1:14" hidden="1">
      <c r="A94" s="201">
        <v>45798</v>
      </c>
      <c r="B94" s="167">
        <v>7053</v>
      </c>
      <c r="C94" s="167">
        <v>30</v>
      </c>
      <c r="D94" s="167">
        <v>3487</v>
      </c>
      <c r="E94" s="167">
        <v>2124</v>
      </c>
      <c r="F94" s="167">
        <v>25</v>
      </c>
      <c r="G94" t="s">
        <v>390</v>
      </c>
      <c r="H94" s="175" t="s">
        <v>506</v>
      </c>
      <c r="I94" s="176">
        <v>21720.61</v>
      </c>
      <c r="J94" s="306"/>
      <c r="K94" s="311"/>
      <c r="L94" s="199">
        <f>SUMIFS('EMPENHO '!J:J,'EMPENHO '!B:B,Tabela96[[#This Row],[PROGRAMA]],'EMPENHO '!C:C,Tabela96[[#This Row],[FICHA]],'EMPENHO '!D:D,Tabela96[[#This Row],[AÇÃO]],'EMPENHO '!E:E,Tabela96[[#This Row],[PROJETO]],'EMPENHO '!F:F,Tabela96[[#This Row],[RESERVA]])</f>
        <v>21720.61</v>
      </c>
      <c r="M94" s="828">
        <f>Tabela96[[#This Row],[VALOR]]+Tabela96[[#This Row],[COMPLEMENTO]]-Tabela96[[#This Row],[DESBLOQUEIO]]-Tabela96[[#This Row],[VALOR
 EMPENHO]]-Tabela96[[#This Row],[SALDO 
CANCELADO]]</f>
        <v>0</v>
      </c>
      <c r="N94" s="200"/>
    </row>
    <row r="95" spans="1:14" hidden="1">
      <c r="A95" s="201">
        <v>45798</v>
      </c>
      <c r="B95" s="167">
        <v>7054</v>
      </c>
      <c r="C95" s="167">
        <v>32</v>
      </c>
      <c r="D95" s="167">
        <v>2226</v>
      </c>
      <c r="E95" s="167">
        <v>2128</v>
      </c>
      <c r="F95" s="167">
        <v>84</v>
      </c>
      <c r="G95" t="s">
        <v>186</v>
      </c>
      <c r="H95" s="175" t="s">
        <v>505</v>
      </c>
      <c r="I95" s="176">
        <v>126853.64</v>
      </c>
      <c r="J95" s="577">
        <v>2880.78</v>
      </c>
      <c r="K95" s="297"/>
      <c r="L95" s="199">
        <f>SUMIFS('EMPENHO '!J:J,'EMPENHO '!B:B,Tabela96[[#This Row],[PROGRAMA]],'EMPENHO '!C:C,Tabela96[[#This Row],[FICHA]],'EMPENHO '!D:D,Tabela96[[#This Row],[AÇÃO]],'EMPENHO '!E:E,Tabela96[[#This Row],[PROJETO]],'EMPENHO '!F:F,Tabela96[[#This Row],[RESERVA]])</f>
        <v>51500.800000000003</v>
      </c>
      <c r="M95" s="200">
        <f>Tabela96[[#This Row],[VALOR]]+Tabela96[[#This Row],[COMPLEMENTO]]-Tabela96[[#This Row],[DESBLOQUEIO]]-Tabela96[[#This Row],[VALOR
 EMPENHO]]-Tabela96[[#This Row],[SALDO 
CANCELADO]]</f>
        <v>0</v>
      </c>
      <c r="N95" s="200">
        <v>78233.62</v>
      </c>
    </row>
    <row r="96" spans="1:14" hidden="1">
      <c r="A96" s="201">
        <v>45798</v>
      </c>
      <c r="B96" s="167">
        <v>7055</v>
      </c>
      <c r="C96" s="167">
        <v>30</v>
      </c>
      <c r="D96" s="167">
        <v>3487</v>
      </c>
      <c r="E96" s="167">
        <v>2124</v>
      </c>
      <c r="F96" s="167">
        <v>25</v>
      </c>
      <c r="G96" t="s">
        <v>390</v>
      </c>
      <c r="H96" s="175" t="s">
        <v>504</v>
      </c>
      <c r="I96" s="176">
        <v>18500</v>
      </c>
      <c r="J96" s="296"/>
      <c r="K96" s="297"/>
      <c r="L96" s="199">
        <f>SUMIFS('EMPENHO '!J:J,'EMPENHO '!B:B,Tabela96[[#This Row],[PROGRAMA]],'EMPENHO '!C:C,Tabela96[[#This Row],[FICHA]],'EMPENHO '!D:D,Tabela96[[#This Row],[AÇÃO]],'EMPENHO '!E:E,Tabela96[[#This Row],[PROJETO]],'EMPENHO '!F:F,Tabela96[[#This Row],[RESERVA]])</f>
        <v>18500</v>
      </c>
      <c r="M96" s="828">
        <f>Tabela96[[#This Row],[VALOR]]+Tabela96[[#This Row],[COMPLEMENTO]]-Tabela96[[#This Row],[DESBLOQUEIO]]-Tabela96[[#This Row],[VALOR
 EMPENHO]]-Tabela96[[#This Row],[SALDO 
CANCELADO]]</f>
        <v>0</v>
      </c>
      <c r="N96" s="200"/>
    </row>
    <row r="97" spans="1:14" hidden="1">
      <c r="A97" s="201">
        <v>45805</v>
      </c>
      <c r="B97" s="167">
        <v>7254</v>
      </c>
      <c r="C97" s="167">
        <v>30</v>
      </c>
      <c r="D97" s="167">
        <v>2253</v>
      </c>
      <c r="E97" s="167">
        <v>2124</v>
      </c>
      <c r="F97" s="167">
        <v>25</v>
      </c>
      <c r="G97" t="s">
        <v>169</v>
      </c>
      <c r="H97" s="175" t="s">
        <v>526</v>
      </c>
      <c r="I97" s="176">
        <v>4800000</v>
      </c>
      <c r="J97" s="324"/>
      <c r="K97" s="325"/>
      <c r="L97" s="199">
        <f>SUMIFS('EMPENHO '!J:J,'EMPENHO '!B:B,Tabela96[[#This Row],[PROGRAMA]],'EMPENHO '!C:C,Tabela96[[#This Row],[FICHA]],'EMPENHO '!D:D,Tabela96[[#This Row],[AÇÃO]],'EMPENHO '!E:E,Tabela96[[#This Row],[PROJETO]],'EMPENHO '!F:F,Tabela96[[#This Row],[RESERVA]])</f>
        <v>4800000</v>
      </c>
      <c r="M97" s="791">
        <f>Tabela96[[#This Row],[VALOR]]+Tabela96[[#This Row],[COMPLEMENTO]]-Tabela96[[#This Row],[DESBLOQUEIO]]-Tabela96[[#This Row],[VALOR
 EMPENHO]]-Tabela96[[#This Row],[SALDO 
CANCELADO]]</f>
        <v>0</v>
      </c>
      <c r="N97" s="200"/>
    </row>
    <row r="98" spans="1:14" hidden="1">
      <c r="A98" s="201">
        <v>45811</v>
      </c>
      <c r="B98" s="167">
        <v>7389</v>
      </c>
      <c r="C98" s="167">
        <v>32</v>
      </c>
      <c r="D98" s="167">
        <v>2226</v>
      </c>
      <c r="E98" s="167">
        <v>2128</v>
      </c>
      <c r="F98" s="167">
        <v>84</v>
      </c>
      <c r="G98" t="s">
        <v>186</v>
      </c>
      <c r="H98" s="175" t="s">
        <v>525</v>
      </c>
      <c r="I98" s="176">
        <v>53574.92</v>
      </c>
      <c r="J98" s="188"/>
      <c r="K98" s="189"/>
      <c r="L98" s="199">
        <f>SUMIFS('EMPENHO '!J:J,'EMPENHO '!B:B,Tabela96[[#This Row],[PROGRAMA]],'EMPENHO '!C:C,Tabela96[[#This Row],[FICHA]],'EMPENHO '!D:D,Tabela96[[#This Row],[AÇÃO]],'EMPENHO '!E:E,Tabela96[[#This Row],[PROJETO]],'EMPENHO '!F:F,Tabela96[[#This Row],[RESERVA]])</f>
        <v>34150.379999999997</v>
      </c>
      <c r="M98" s="827">
        <f>Tabela96[[#This Row],[VALOR]]+Tabela96[[#This Row],[COMPLEMENTO]]-Tabela96[[#This Row],[DESBLOQUEIO]]-Tabela96[[#This Row],[VALOR
 EMPENHO]]-Tabela96[[#This Row],[SALDO 
CANCELADO]]</f>
        <v>0</v>
      </c>
      <c r="N98" s="200">
        <v>19424.54</v>
      </c>
    </row>
    <row r="99" spans="1:14" hidden="1">
      <c r="A99" s="201">
        <v>45811</v>
      </c>
      <c r="B99" s="167">
        <v>7390</v>
      </c>
      <c r="C99" s="167">
        <v>32</v>
      </c>
      <c r="D99" s="167">
        <v>2226</v>
      </c>
      <c r="E99" s="167">
        <v>2128</v>
      </c>
      <c r="F99" s="167">
        <v>314</v>
      </c>
      <c r="G99" t="s">
        <v>186</v>
      </c>
      <c r="H99" s="175" t="s">
        <v>524</v>
      </c>
      <c r="I99" s="176">
        <v>5720.77</v>
      </c>
      <c r="J99" s="188"/>
      <c r="K99" s="189"/>
      <c r="L99" s="199">
        <f>SUMIFS('EMPENHO '!J:J,'EMPENHO '!B:B,Tabela96[[#This Row],[PROGRAMA]],'EMPENHO '!C:C,Tabela96[[#This Row],[FICHA]],'EMPENHO '!D:D,Tabela96[[#This Row],[AÇÃO]],'EMPENHO '!E:E,Tabela96[[#This Row],[PROJETO]],'EMPENHO '!F:F,Tabela96[[#This Row],[RESERVA]])</f>
        <v>5720.77</v>
      </c>
      <c r="M99" s="827">
        <f>Tabela96[[#This Row],[VALOR]]+Tabela96[[#This Row],[COMPLEMENTO]]-Tabela96[[#This Row],[DESBLOQUEIO]]-Tabela96[[#This Row],[VALOR
 EMPENHO]]-Tabela96[[#This Row],[SALDO 
CANCELADO]]</f>
        <v>0</v>
      </c>
      <c r="N99" s="200"/>
    </row>
    <row r="100" spans="1:14" hidden="1">
      <c r="A100" s="201">
        <v>45811</v>
      </c>
      <c r="B100" s="167">
        <v>7391</v>
      </c>
      <c r="C100" s="167">
        <v>32</v>
      </c>
      <c r="D100" s="167">
        <v>2226</v>
      </c>
      <c r="E100" s="167">
        <v>2128</v>
      </c>
      <c r="F100" s="167">
        <v>84</v>
      </c>
      <c r="G100" t="s">
        <v>186</v>
      </c>
      <c r="H100" s="175" t="s">
        <v>523</v>
      </c>
      <c r="I100" s="176">
        <v>390108.61</v>
      </c>
      <c r="J100" s="306"/>
      <c r="K100" s="311"/>
      <c r="L100" s="199">
        <f>SUMIFS('EMPENHO '!J:J,'EMPENHO '!B:B,Tabela96[[#This Row],[PROGRAMA]],'EMPENHO '!C:C,Tabela96[[#This Row],[FICHA]],'EMPENHO '!D:D,Tabela96[[#This Row],[AÇÃO]],'EMPENHO '!E:E,Tabela96[[#This Row],[PROJETO]],'EMPENHO '!F:F,Tabela96[[#This Row],[RESERVA]])</f>
        <v>0</v>
      </c>
      <c r="M100" s="827">
        <f>Tabela96[[#This Row],[VALOR]]+Tabela96[[#This Row],[COMPLEMENTO]]-Tabela96[[#This Row],[DESBLOQUEIO]]-Tabela96[[#This Row],[VALOR
 EMPENHO]]-Tabela96[[#This Row],[SALDO 
CANCELADO]]</f>
        <v>0</v>
      </c>
      <c r="N100" s="200">
        <v>390108.61</v>
      </c>
    </row>
    <row r="101" spans="1:14" hidden="1">
      <c r="A101" s="201">
        <v>45811</v>
      </c>
      <c r="B101" s="167">
        <v>7392</v>
      </c>
      <c r="C101" s="167">
        <v>29</v>
      </c>
      <c r="D101" s="167">
        <v>2248</v>
      </c>
      <c r="E101" s="167">
        <v>2123</v>
      </c>
      <c r="F101" s="167">
        <v>69</v>
      </c>
      <c r="G101" t="s">
        <v>191</v>
      </c>
      <c r="H101" s="175" t="s">
        <v>522</v>
      </c>
      <c r="I101" s="176">
        <v>193965</v>
      </c>
      <c r="J101" s="188"/>
      <c r="K101" s="189"/>
      <c r="L101" s="199">
        <f>SUMIFS('EMPENHO '!J:J,'EMPENHO '!B:B,Tabela96[[#This Row],[PROGRAMA]],'EMPENHO '!C:C,Tabela96[[#This Row],[FICHA]],'EMPENHO '!D:D,Tabela96[[#This Row],[AÇÃO]],'EMPENHO '!E:E,Tabela96[[#This Row],[PROJETO]],'EMPENHO '!F:F,Tabela96[[#This Row],[RESERVA]])</f>
        <v>193965</v>
      </c>
      <c r="M101" s="200">
        <f>Tabela96[[#This Row],[VALOR]]+Tabela96[[#This Row],[COMPLEMENTO]]-Tabela96[[#This Row],[DESBLOQUEIO]]-Tabela96[[#This Row],[VALOR
 EMPENHO]]-Tabela96[[#This Row],[SALDO 
CANCELADO]]</f>
        <v>0</v>
      </c>
      <c r="N101" s="200"/>
    </row>
    <row r="102" spans="1:14" hidden="1">
      <c r="A102" s="201">
        <v>45812</v>
      </c>
      <c r="B102" s="167">
        <v>7527</v>
      </c>
      <c r="C102" s="167">
        <v>32</v>
      </c>
      <c r="D102" s="167">
        <v>2229</v>
      </c>
      <c r="E102" s="167">
        <v>2128</v>
      </c>
      <c r="F102" s="167">
        <v>314</v>
      </c>
      <c r="G102" t="s">
        <v>176</v>
      </c>
      <c r="H102" s="175" t="s">
        <v>521</v>
      </c>
      <c r="I102" s="176">
        <v>14921.75</v>
      </c>
      <c r="J102" s="306"/>
      <c r="K102" s="311"/>
      <c r="L102" s="199">
        <f>SUMIFS('EMPENHO '!J:J,'EMPENHO '!B:B,Tabela96[[#This Row],[PROGRAMA]],'EMPENHO '!C:C,Tabela96[[#This Row],[FICHA]],'EMPENHO '!D:D,Tabela96[[#This Row],[AÇÃO]],'EMPENHO '!E:E,Tabela96[[#This Row],[PROJETO]],'EMPENHO '!F:F,Tabela96[[#This Row],[RESERVA]])</f>
        <v>14921.75</v>
      </c>
      <c r="M102" s="200">
        <f>Tabela96[[#This Row],[VALOR]]+Tabela96[[#This Row],[COMPLEMENTO]]-Tabela96[[#This Row],[DESBLOQUEIO]]-Tabela96[[#This Row],[VALOR
 EMPENHO]]-Tabela96[[#This Row],[SALDO 
CANCELADO]]</f>
        <v>0</v>
      </c>
      <c r="N102" s="200"/>
    </row>
    <row r="103" spans="1:14" hidden="1">
      <c r="A103" s="201">
        <v>45812</v>
      </c>
      <c r="B103" s="167">
        <v>7528</v>
      </c>
      <c r="C103" s="167">
        <v>78</v>
      </c>
      <c r="D103" s="167">
        <v>2755</v>
      </c>
      <c r="E103" s="167">
        <v>1061</v>
      </c>
      <c r="F103" s="167">
        <v>262</v>
      </c>
      <c r="G103" t="s">
        <v>237</v>
      </c>
      <c r="H103" s="175" t="s">
        <v>520</v>
      </c>
      <c r="I103" s="176">
        <v>97600</v>
      </c>
      <c r="J103" s="306"/>
      <c r="K103" s="311"/>
      <c r="L103" s="199">
        <f>SUMIFS('EMPENHO '!J:J,'EMPENHO '!B:B,Tabela96[[#This Row],[PROGRAMA]],'EMPENHO '!C:C,Tabela96[[#This Row],[FICHA]],'EMPENHO '!D:D,Tabela96[[#This Row],[AÇÃO]],'EMPENHO '!E:E,Tabela96[[#This Row],[PROJETO]],'EMPENHO '!F:F,Tabela96[[#This Row],[RESERVA]])</f>
        <v>97600</v>
      </c>
      <c r="M103" s="200">
        <f>Tabela96[[#This Row],[VALOR]]+Tabela96[[#This Row],[COMPLEMENTO]]-Tabela96[[#This Row],[DESBLOQUEIO]]-Tabela96[[#This Row],[VALOR
 EMPENHO]]-Tabela96[[#This Row],[SALDO 
CANCELADO]]</f>
        <v>0</v>
      </c>
      <c r="N103" s="200"/>
    </row>
    <row r="104" spans="1:14" hidden="1">
      <c r="A104" s="201">
        <v>45812</v>
      </c>
      <c r="B104" s="167">
        <v>7529</v>
      </c>
      <c r="C104" s="167">
        <v>32</v>
      </c>
      <c r="D104" s="167">
        <v>2226</v>
      </c>
      <c r="E104" s="167">
        <v>2128</v>
      </c>
      <c r="F104" s="167">
        <v>84</v>
      </c>
      <c r="G104" s="175" t="s">
        <v>186</v>
      </c>
      <c r="H104" s="175" t="s">
        <v>519</v>
      </c>
      <c r="I104" s="176">
        <v>5700</v>
      </c>
      <c r="J104" s="306"/>
      <c r="K104" s="311"/>
      <c r="L104" s="199">
        <f>SUMIFS('EMPENHO '!J:J,'EMPENHO '!B:B,Tabela96[[#This Row],[PROGRAMA]],'EMPENHO '!C:C,Tabela96[[#This Row],[FICHA]],'EMPENHO '!D:D,Tabela96[[#This Row],[AÇÃO]],'EMPENHO '!E:E,Tabela96[[#This Row],[PROJETO]],'EMPENHO '!F:F,Tabela96[[#This Row],[RESERVA]])</f>
        <v>5700</v>
      </c>
      <c r="M104" s="200">
        <f>Tabela96[[#This Row],[VALOR]]+Tabela96[[#This Row],[COMPLEMENTO]]-Tabela96[[#This Row],[DESBLOQUEIO]]-Tabela96[[#This Row],[VALOR
 EMPENHO]]-Tabela96[[#This Row],[SALDO 
CANCELADO]]</f>
        <v>0</v>
      </c>
      <c r="N104" s="200"/>
    </row>
    <row r="105" spans="1:14" hidden="1">
      <c r="A105" s="201">
        <v>45812</v>
      </c>
      <c r="B105" s="167">
        <v>7530</v>
      </c>
      <c r="C105" s="167">
        <v>32</v>
      </c>
      <c r="D105" s="167">
        <v>2229</v>
      </c>
      <c r="E105" s="167">
        <v>2128</v>
      </c>
      <c r="F105" s="167">
        <v>314</v>
      </c>
      <c r="G105" s="175" t="s">
        <v>176</v>
      </c>
      <c r="H105" s="175" t="s">
        <v>518</v>
      </c>
      <c r="I105" s="176">
        <v>17284.75</v>
      </c>
      <c r="J105" s="306"/>
      <c r="K105" s="311"/>
      <c r="L105" s="199">
        <f>SUMIFS('EMPENHO '!J:J,'EMPENHO '!B:B,Tabela96[[#This Row],[PROGRAMA]],'EMPENHO '!C:C,Tabela96[[#This Row],[FICHA]],'EMPENHO '!D:D,Tabela96[[#This Row],[AÇÃO]],'EMPENHO '!E:E,Tabela96[[#This Row],[PROJETO]],'EMPENHO '!F:F,Tabela96[[#This Row],[RESERVA]])</f>
        <v>17284.75</v>
      </c>
      <c r="M105" s="200">
        <f>Tabela96[[#This Row],[VALOR]]+Tabela96[[#This Row],[COMPLEMENTO]]-Tabela96[[#This Row],[DESBLOQUEIO]]-Tabela96[[#This Row],[VALOR
 EMPENHO]]-Tabela96[[#This Row],[SALDO 
CANCELADO]]</f>
        <v>0</v>
      </c>
      <c r="N105" s="200"/>
    </row>
    <row r="106" spans="1:14" hidden="1">
      <c r="A106" s="201">
        <v>45812</v>
      </c>
      <c r="B106" s="167">
        <v>7531</v>
      </c>
      <c r="C106" s="167">
        <v>32</v>
      </c>
      <c r="D106" s="167">
        <v>2226</v>
      </c>
      <c r="E106" s="167">
        <v>2128</v>
      </c>
      <c r="F106" s="167">
        <v>314</v>
      </c>
      <c r="G106" s="175" t="s">
        <v>186</v>
      </c>
      <c r="H106" s="175" t="s">
        <v>517</v>
      </c>
      <c r="I106" s="176">
        <v>4884.43</v>
      </c>
      <c r="J106" s="306"/>
      <c r="K106" s="311"/>
      <c r="L106" s="199">
        <f>SUMIFS('EMPENHO '!J:J,'EMPENHO '!B:B,Tabela96[[#This Row],[PROGRAMA]],'EMPENHO '!C:C,Tabela96[[#This Row],[FICHA]],'EMPENHO '!D:D,Tabela96[[#This Row],[AÇÃO]],'EMPENHO '!E:E,Tabela96[[#This Row],[PROJETO]],'EMPENHO '!F:F,Tabela96[[#This Row],[RESERVA]])</f>
        <v>4884.43</v>
      </c>
      <c r="M106" s="200">
        <f>Tabela96[[#This Row],[VALOR]]+Tabela96[[#This Row],[COMPLEMENTO]]-Tabela96[[#This Row],[DESBLOQUEIO]]-Tabela96[[#This Row],[VALOR
 EMPENHO]]-Tabela96[[#This Row],[SALDO 
CANCELADO]]</f>
        <v>0</v>
      </c>
      <c r="N106" s="200"/>
    </row>
    <row r="107" spans="1:14" hidden="1">
      <c r="A107" s="201">
        <v>45817</v>
      </c>
      <c r="B107" s="167">
        <v>8516</v>
      </c>
      <c r="C107" s="167">
        <v>30</v>
      </c>
      <c r="D107" s="167">
        <v>2253</v>
      </c>
      <c r="E107" s="167">
        <v>2124</v>
      </c>
      <c r="F107" s="167">
        <v>25</v>
      </c>
      <c r="G107" s="175" t="s">
        <v>169</v>
      </c>
      <c r="H107" s="175" t="s">
        <v>529</v>
      </c>
      <c r="I107" s="176">
        <v>18000000</v>
      </c>
      <c r="J107" s="990">
        <v>33450000</v>
      </c>
      <c r="K107" s="325"/>
      <c r="L107" s="199">
        <f>SUMIFS('EMPENHO '!J:J,'EMPENHO '!B:B,Tabela96[[#This Row],[PROGRAMA]],'EMPENHO '!C:C,Tabela96[[#This Row],[FICHA]],'EMPENHO '!D:D,Tabela96[[#This Row],[AÇÃO]],'EMPENHO '!E:E,Tabela96[[#This Row],[PROJETO]],'EMPENHO '!F:F,Tabela96[[#This Row],[RESERVA]])</f>
        <v>51450000</v>
      </c>
      <c r="M107" s="791">
        <f>Tabela96[[#This Row],[VALOR]]+Tabela96[[#This Row],[COMPLEMENTO]]-Tabela96[[#This Row],[DESBLOQUEIO]]-Tabela96[[#This Row],[VALOR
 EMPENHO]]-Tabela96[[#This Row],[SALDO 
CANCELADO]]</f>
        <v>0</v>
      </c>
      <c r="N107" s="200"/>
    </row>
    <row r="108" spans="1:14" hidden="1">
      <c r="A108" s="201">
        <v>45817</v>
      </c>
      <c r="B108" s="167">
        <v>8517</v>
      </c>
      <c r="C108" s="167">
        <v>30</v>
      </c>
      <c r="D108" s="167">
        <v>2253</v>
      </c>
      <c r="E108" s="167">
        <v>2124</v>
      </c>
      <c r="F108" s="167">
        <v>25</v>
      </c>
      <c r="G108" s="175" t="s">
        <v>169</v>
      </c>
      <c r="H108" s="175" t="s">
        <v>528</v>
      </c>
      <c r="I108" s="176">
        <v>1872640.15</v>
      </c>
      <c r="J108" s="324"/>
      <c r="K108" s="325"/>
      <c r="L108" s="830">
        <f>SUMIFS('EMPENHO '!J:J,'EMPENHO '!B:B,Tabela96[[#This Row],[PROGRAMA]],'EMPENHO '!C:C,Tabela96[[#This Row],[FICHA]],'EMPENHO '!D:D,Tabela96[[#This Row],[AÇÃO]],'EMPENHO '!E:E,Tabela96[[#This Row],[PROJETO]],'EMPENHO '!F:F,Tabela96[[#This Row],[RESERVA]])</f>
        <v>555940.15</v>
      </c>
      <c r="M108" s="828">
        <f>Tabela96[[#This Row],[VALOR]]+Tabela96[[#This Row],[COMPLEMENTO]]-Tabela96[[#This Row],[DESBLOQUEIO]]-Tabela96[[#This Row],[VALOR
 EMPENHO]]-Tabela96[[#This Row],[SALDO 
CANCELADO]]</f>
        <v>0</v>
      </c>
      <c r="N108" s="200">
        <v>1316700</v>
      </c>
    </row>
    <row r="109" spans="1:14" hidden="1">
      <c r="A109" s="201">
        <v>45817</v>
      </c>
      <c r="B109" s="167">
        <v>8518</v>
      </c>
      <c r="C109" s="167">
        <v>29</v>
      </c>
      <c r="D109" s="167">
        <v>2248</v>
      </c>
      <c r="E109" s="167">
        <v>2123</v>
      </c>
      <c r="F109" s="167">
        <v>69</v>
      </c>
      <c r="G109" s="175" t="s">
        <v>191</v>
      </c>
      <c r="H109" s="175" t="s">
        <v>527</v>
      </c>
      <c r="I109" s="176">
        <v>130600</v>
      </c>
      <c r="J109" s="324"/>
      <c r="K109" s="325"/>
      <c r="L109" s="199">
        <f>SUMIFS('EMPENHO '!J:J,'EMPENHO '!B:B,Tabela96[[#This Row],[PROGRAMA]],'EMPENHO '!C:C,Tabela96[[#This Row],[FICHA]],'EMPENHO '!D:D,Tabela96[[#This Row],[AÇÃO]],'EMPENHO '!E:E,Tabela96[[#This Row],[PROJETO]],'EMPENHO '!F:F,Tabela96[[#This Row],[RESERVA]])</f>
        <v>130600</v>
      </c>
      <c r="M109" s="827">
        <f>Tabela96[[#This Row],[VALOR]]+Tabela96[[#This Row],[COMPLEMENTO]]-Tabela96[[#This Row],[DESBLOQUEIO]]-Tabela96[[#This Row],[VALOR
 EMPENHO]]-Tabela96[[#This Row],[SALDO 
CANCELADO]]</f>
        <v>0</v>
      </c>
      <c r="N109" s="200"/>
    </row>
    <row r="110" spans="1:14" hidden="1">
      <c r="A110" s="834">
        <v>45824</v>
      </c>
      <c r="B110" s="167">
        <v>8722</v>
      </c>
      <c r="C110" s="167">
        <v>30</v>
      </c>
      <c r="D110" s="167">
        <v>2253</v>
      </c>
      <c r="E110" s="167">
        <v>2124</v>
      </c>
      <c r="F110" s="167">
        <v>25</v>
      </c>
      <c r="G110" t="s">
        <v>169</v>
      </c>
      <c r="H110" s="175" t="s">
        <v>539</v>
      </c>
      <c r="I110" s="176">
        <v>2000000</v>
      </c>
      <c r="J110" s="188"/>
      <c r="K110" s="189"/>
      <c r="L110" s="199">
        <f>SUMIFS('EMPENHO '!J:J,'EMPENHO '!B:B,Tabela96[[#This Row],[PROGRAMA]],'EMPENHO '!C:C,Tabela96[[#This Row],[FICHA]],'EMPENHO '!D:D,Tabela96[[#This Row],[AÇÃO]],'EMPENHO '!E:E,Tabela96[[#This Row],[PROJETO]],'EMPENHO '!F:F,Tabela96[[#This Row],[RESERVA]])</f>
        <v>2000000</v>
      </c>
      <c r="M110" s="200">
        <f>Tabela96[[#This Row],[VALOR]]+Tabela96[[#This Row],[COMPLEMENTO]]-Tabela96[[#This Row],[DESBLOQUEIO]]-Tabela96[[#This Row],[VALOR
 EMPENHO]]-Tabela96[[#This Row],[SALDO 
CANCELADO]]</f>
        <v>0</v>
      </c>
      <c r="N110" s="200"/>
    </row>
    <row r="111" spans="1:14" hidden="1">
      <c r="A111" s="834">
        <v>45824</v>
      </c>
      <c r="B111" s="167">
        <v>8723</v>
      </c>
      <c r="C111" s="167">
        <v>32</v>
      </c>
      <c r="D111" s="167">
        <v>2231</v>
      </c>
      <c r="E111" s="167">
        <v>2128</v>
      </c>
      <c r="F111" s="167">
        <v>104</v>
      </c>
      <c r="G111" t="s">
        <v>192</v>
      </c>
      <c r="H111" s="175" t="s">
        <v>538</v>
      </c>
      <c r="I111" s="176">
        <v>3024.64</v>
      </c>
      <c r="J111" s="188"/>
      <c r="K111" s="176">
        <v>3024.64</v>
      </c>
      <c r="L111" s="199">
        <f>SUMIFS('EMPENHO '!J:J,'EMPENHO '!B:B,Tabela96[[#This Row],[PROGRAMA]],'EMPENHO '!C:C,Tabela96[[#This Row],[FICHA]],'EMPENHO '!D:D,Tabela96[[#This Row],[AÇÃO]],'EMPENHO '!E:E,Tabela96[[#This Row],[PROJETO]],'EMPENHO '!F:F,Tabela96[[#This Row],[RESERVA]])</f>
        <v>0</v>
      </c>
      <c r="M111" s="827">
        <f>Tabela96[[#This Row],[VALOR]]+Tabela96[[#This Row],[COMPLEMENTO]]-Tabela96[[#This Row],[DESBLOQUEIO]]-Tabela96[[#This Row],[VALOR
 EMPENHO]]-Tabela96[[#This Row],[SALDO 
CANCELADO]]</f>
        <v>0</v>
      </c>
      <c r="N111" s="200"/>
    </row>
    <row r="112" spans="1:14" hidden="1">
      <c r="A112" s="834">
        <v>45824</v>
      </c>
      <c r="B112" s="167">
        <v>8724</v>
      </c>
      <c r="C112" s="167">
        <v>32</v>
      </c>
      <c r="D112" s="167">
        <v>2226</v>
      </c>
      <c r="E112" s="167">
        <v>2128</v>
      </c>
      <c r="F112" s="167">
        <v>84</v>
      </c>
      <c r="G112" t="s">
        <v>186</v>
      </c>
      <c r="H112" s="175" t="s">
        <v>537</v>
      </c>
      <c r="I112" s="176">
        <v>39869.21</v>
      </c>
      <c r="J112" s="577">
        <v>3926.91</v>
      </c>
      <c r="K112" s="325"/>
      <c r="L112" s="199">
        <f>SUMIFS('EMPENHO '!J:J,'EMPENHO '!B:B,Tabela96[[#This Row],[PROGRAMA]],'EMPENHO '!C:C,Tabela96[[#This Row],[FICHA]],'EMPENHO '!D:D,Tabela96[[#This Row],[AÇÃO]],'EMPENHO '!E:E,Tabela96[[#This Row],[PROJETO]],'EMPENHO '!F:F,Tabela96[[#This Row],[RESERVA]])</f>
        <v>0</v>
      </c>
      <c r="M112" s="869">
        <f>Tabela96[[#This Row],[VALOR]]+Tabela96[[#This Row],[COMPLEMENTO]]-Tabela96[[#This Row],[DESBLOQUEIO]]-Tabela96[[#This Row],[VALOR
 EMPENHO]]-Tabela96[[#This Row],[SALDO 
CANCELADO]]</f>
        <v>0</v>
      </c>
      <c r="N112" s="200">
        <v>43796.12</v>
      </c>
    </row>
    <row r="113" spans="1:14" hidden="1">
      <c r="A113" s="833">
        <v>45825</v>
      </c>
      <c r="B113" s="167">
        <v>8740</v>
      </c>
      <c r="C113" s="167">
        <v>32</v>
      </c>
      <c r="D113" s="167">
        <v>2226</v>
      </c>
      <c r="E113" s="167">
        <v>2128</v>
      </c>
      <c r="F113" s="167">
        <v>88</v>
      </c>
      <c r="G113" s="175" t="s">
        <v>186</v>
      </c>
      <c r="H113" s="175" t="s">
        <v>542</v>
      </c>
      <c r="I113" s="176">
        <v>2806.49</v>
      </c>
      <c r="J113" s="188"/>
      <c r="K113" s="189"/>
      <c r="L113" s="199">
        <f>SUMIFS('EMPENHO '!J:J,'EMPENHO '!B:B,Tabela96[[#This Row],[PROGRAMA]],'EMPENHO '!C:C,Tabela96[[#This Row],[FICHA]],'EMPENHO '!D:D,Tabela96[[#This Row],[AÇÃO]],'EMPENHO '!E:E,Tabela96[[#This Row],[PROJETO]],'EMPENHO '!F:F,Tabela96[[#This Row],[RESERVA]])</f>
        <v>1799.55</v>
      </c>
      <c r="M113" s="827">
        <f>Tabela96[[#This Row],[VALOR]]+Tabela96[[#This Row],[COMPLEMENTO]]-Tabela96[[#This Row],[DESBLOQUEIO]]-Tabela96[[#This Row],[VALOR
 EMPENHO]]-Tabela96[[#This Row],[SALDO 
CANCELADO]]</f>
        <v>0</v>
      </c>
      <c r="N113" s="577">
        <v>1006.94</v>
      </c>
    </row>
    <row r="114" spans="1:14" hidden="1">
      <c r="A114" s="833">
        <v>45825</v>
      </c>
      <c r="B114" s="167">
        <v>8741</v>
      </c>
      <c r="C114" s="167">
        <v>29</v>
      </c>
      <c r="D114" s="167">
        <v>2248</v>
      </c>
      <c r="E114" s="167">
        <v>2123</v>
      </c>
      <c r="F114" s="167">
        <v>69</v>
      </c>
      <c r="G114" s="175" t="s">
        <v>191</v>
      </c>
      <c r="H114" s="175" t="s">
        <v>541</v>
      </c>
      <c r="I114" s="176">
        <v>67030</v>
      </c>
      <c r="J114" s="188"/>
      <c r="K114" s="189"/>
      <c r="L114" s="199">
        <f>SUMIFS('EMPENHO '!J:J,'EMPENHO '!B:B,Tabela96[[#This Row],[PROGRAMA]],'EMPENHO '!C:C,Tabela96[[#This Row],[FICHA]],'EMPENHO '!D:D,Tabela96[[#This Row],[AÇÃO]],'EMPENHO '!E:E,Tabela96[[#This Row],[PROJETO]],'EMPENHO '!F:F,Tabela96[[#This Row],[RESERVA]])</f>
        <v>67030</v>
      </c>
      <c r="M114" s="200">
        <f>Tabela96[[#This Row],[VALOR]]+Tabela96[[#This Row],[COMPLEMENTO]]-Tabela96[[#This Row],[DESBLOQUEIO]]-Tabela96[[#This Row],[VALOR
 EMPENHO]]-Tabela96[[#This Row],[SALDO 
CANCELADO]]</f>
        <v>0</v>
      </c>
      <c r="N114" s="200"/>
    </row>
    <row r="115" spans="1:14" hidden="1">
      <c r="A115" s="833">
        <v>45825</v>
      </c>
      <c r="B115" s="167">
        <v>8742</v>
      </c>
      <c r="C115" s="167">
        <v>32</v>
      </c>
      <c r="D115" s="167">
        <v>2229</v>
      </c>
      <c r="E115" s="167">
        <v>2128</v>
      </c>
      <c r="F115" s="167">
        <v>245</v>
      </c>
      <c r="G115" s="175" t="s">
        <v>176</v>
      </c>
      <c r="H115" s="175" t="s">
        <v>540</v>
      </c>
      <c r="I115" s="176">
        <v>31374</v>
      </c>
      <c r="J115" s="188"/>
      <c r="K115" s="176">
        <v>8217</v>
      </c>
      <c r="L115" s="199">
        <f>SUMIFS('EMPENHO '!J:J,'EMPENHO '!B:B,Tabela96[[#This Row],[PROGRAMA]],'EMPENHO '!C:C,Tabela96[[#This Row],[FICHA]],'EMPENHO '!D:D,Tabela96[[#This Row],[AÇÃO]],'EMPENHO '!E:E,Tabela96[[#This Row],[PROJETO]],'EMPENHO '!F:F,Tabela96[[#This Row],[RESERVA]])</f>
        <v>23157</v>
      </c>
      <c r="M115" s="827">
        <f>Tabela96[[#This Row],[VALOR]]+Tabela96[[#This Row],[COMPLEMENTO]]-Tabela96[[#This Row],[DESBLOQUEIO]]-Tabela96[[#This Row],[VALOR
 EMPENHO]]-Tabela96[[#This Row],[SALDO 
CANCELADO]]</f>
        <v>0</v>
      </c>
      <c r="N115" s="200"/>
    </row>
    <row r="116" spans="1:14" hidden="1">
      <c r="A116" s="201">
        <v>45826</v>
      </c>
      <c r="B116" s="167">
        <v>8832</v>
      </c>
      <c r="C116" s="167">
        <v>32</v>
      </c>
      <c r="D116" s="167">
        <v>2226</v>
      </c>
      <c r="E116" s="167">
        <v>2128</v>
      </c>
      <c r="F116" s="167">
        <v>84</v>
      </c>
      <c r="G116" s="175" t="s">
        <v>186</v>
      </c>
      <c r="H116" s="175" t="s">
        <v>557</v>
      </c>
      <c r="I116" s="176">
        <v>13000</v>
      </c>
      <c r="J116" s="336"/>
      <c r="K116" s="340"/>
      <c r="L116" s="199">
        <f>SUMIFS('EMPENHO '!J:J,'EMPENHO '!B:B,Tabela96[[#This Row],[PROGRAMA]],'EMPENHO '!C:C,Tabela96[[#This Row],[FICHA]],'EMPENHO '!D:D,Tabela96[[#This Row],[AÇÃO]],'EMPENHO '!E:E,Tabela96[[#This Row],[PROJETO]],'EMPENHO '!F:F,Tabela96[[#This Row],[RESERVA]])</f>
        <v>13000</v>
      </c>
      <c r="M116" s="200">
        <f>Tabela96[[#This Row],[VALOR]]+Tabela96[[#This Row],[COMPLEMENTO]]-Tabela96[[#This Row],[DESBLOQUEIO]]-Tabela96[[#This Row],[VALOR
 EMPENHO]]-Tabela96[[#This Row],[SALDO 
CANCELADO]]</f>
        <v>0</v>
      </c>
      <c r="N116" s="200"/>
    </row>
    <row r="117" spans="1:14" hidden="1">
      <c r="A117" s="201">
        <v>45833</v>
      </c>
      <c r="B117" s="167">
        <v>8965</v>
      </c>
      <c r="C117" s="167">
        <v>32</v>
      </c>
      <c r="D117" s="167">
        <v>2229</v>
      </c>
      <c r="E117" s="167">
        <v>2128</v>
      </c>
      <c r="F117" s="167">
        <v>242</v>
      </c>
      <c r="G117" s="175" t="s">
        <v>176</v>
      </c>
      <c r="H117" s="175" t="s">
        <v>556</v>
      </c>
      <c r="I117" s="176">
        <v>300000</v>
      </c>
      <c r="J117" s="577">
        <v>880000</v>
      </c>
      <c r="K117" s="340"/>
      <c r="L117" s="199">
        <f>SUMIFS('EMPENHO '!J:J,'EMPENHO '!B:B,Tabela96[[#This Row],[PROGRAMA]],'EMPENHO '!C:C,Tabela96[[#This Row],[FICHA]],'EMPENHO '!D:D,Tabela96[[#This Row],[AÇÃO]],'EMPENHO '!E:E,Tabela96[[#This Row],[PROJETO]],'EMPENHO '!F:F,Tabela96[[#This Row],[RESERVA]])</f>
        <v>1180000</v>
      </c>
      <c r="M117" s="827">
        <f>Tabela96[[#This Row],[VALOR]]+Tabela96[[#This Row],[COMPLEMENTO]]-Tabela96[[#This Row],[DESBLOQUEIO]]-Tabela96[[#This Row],[VALOR
 EMPENHO]]-Tabela96[[#This Row],[SALDO 
CANCELADO]]</f>
        <v>0</v>
      </c>
      <c r="N117" s="200"/>
    </row>
    <row r="118" spans="1:14" hidden="1">
      <c r="A118" s="201">
        <v>45833</v>
      </c>
      <c r="B118" s="167">
        <v>8967</v>
      </c>
      <c r="C118" s="167">
        <v>32</v>
      </c>
      <c r="D118" s="167">
        <v>2226</v>
      </c>
      <c r="E118" s="167">
        <v>2128</v>
      </c>
      <c r="F118" s="167">
        <v>50</v>
      </c>
      <c r="G118" s="175" t="s">
        <v>186</v>
      </c>
      <c r="H118" s="175" t="s">
        <v>554</v>
      </c>
      <c r="I118" s="176">
        <v>244159.19</v>
      </c>
      <c r="J118" s="577">
        <v>4863.92</v>
      </c>
      <c r="K118" s="189"/>
      <c r="L118" s="199">
        <f>SUMIFS('EMPENHO '!J:J,'EMPENHO '!B:B,Tabela96[[#This Row],[PROGRAMA]],'EMPENHO '!C:C,Tabela96[[#This Row],[FICHA]],'EMPENHO '!D:D,Tabela96[[#This Row],[AÇÃO]],'EMPENHO '!E:E,Tabela96[[#This Row],[PROJETO]],'EMPENHO '!F:F,Tabela96[[#This Row],[RESERVA]])</f>
        <v>0</v>
      </c>
      <c r="M118" s="200">
        <f>Tabela96[[#This Row],[VALOR]]+Tabela96[[#This Row],[COMPLEMENTO]]-Tabela96[[#This Row],[DESBLOQUEIO]]-Tabela96[[#This Row],[VALOR
 EMPENHO]]-Tabela96[[#This Row],[SALDO 
CANCELADO]]</f>
        <v>0</v>
      </c>
      <c r="N118" s="200">
        <v>249023.11</v>
      </c>
    </row>
    <row r="119" spans="1:14" hidden="1">
      <c r="A119" s="834">
        <v>45833</v>
      </c>
      <c r="B119" s="167">
        <v>8966</v>
      </c>
      <c r="C119" s="167">
        <v>30</v>
      </c>
      <c r="D119" s="167">
        <v>3487</v>
      </c>
      <c r="E119" s="167">
        <v>2124</v>
      </c>
      <c r="F119" s="167">
        <v>25</v>
      </c>
      <c r="G119" t="s">
        <v>390</v>
      </c>
      <c r="H119" t="s">
        <v>555</v>
      </c>
      <c r="I119" s="176">
        <v>317420.40999999997</v>
      </c>
      <c r="J119" s="336"/>
      <c r="K119" s="340"/>
      <c r="L119" s="199">
        <f>SUMIFS('EMPENHO '!J:J,'EMPENHO '!B:B,Tabela96[[#This Row],[PROGRAMA]],'EMPENHO '!C:C,Tabela96[[#This Row],[FICHA]],'EMPENHO '!D:D,Tabela96[[#This Row],[AÇÃO]],'EMPENHO '!E:E,Tabela96[[#This Row],[PROJETO]],'EMPENHO '!F:F,Tabela96[[#This Row],[RESERVA]])</f>
        <v>317420.40999999997</v>
      </c>
      <c r="M119" s="791">
        <f>Tabela96[[#This Row],[VALOR]]+Tabela96[[#This Row],[COMPLEMENTO]]-Tabela96[[#This Row],[DESBLOQUEIO]]-Tabela96[[#This Row],[VALOR
 EMPENHO]]-Tabela96[[#This Row],[SALDO 
CANCELADO]]</f>
        <v>0</v>
      </c>
      <c r="N119" s="200"/>
    </row>
    <row r="120" spans="1:14" hidden="1">
      <c r="A120" s="201">
        <v>45846</v>
      </c>
      <c r="B120" s="167">
        <v>9310</v>
      </c>
      <c r="C120" s="167">
        <v>32</v>
      </c>
      <c r="D120" s="167">
        <v>2229</v>
      </c>
      <c r="E120" s="167">
        <v>2128</v>
      </c>
      <c r="F120" s="167">
        <v>104</v>
      </c>
      <c r="G120" t="s">
        <v>176</v>
      </c>
      <c r="H120" t="s">
        <v>567</v>
      </c>
      <c r="I120" s="176">
        <v>7000</v>
      </c>
      <c r="J120" s="188"/>
      <c r="K120" s="189"/>
      <c r="L120" s="199">
        <f>SUMIFS('EMPENHO '!J:J,'EMPENHO '!B:B,Tabela96[[#This Row],[PROGRAMA]],'EMPENHO '!C:C,Tabela96[[#This Row],[FICHA]],'EMPENHO '!D:D,Tabela96[[#This Row],[AÇÃO]],'EMPENHO '!E:E,Tabela96[[#This Row],[PROJETO]],'EMPENHO '!F:F,Tabela96[[#This Row],[RESERVA]])</f>
        <v>7000</v>
      </c>
      <c r="M120" s="200">
        <f>Tabela96[[#This Row],[VALOR]]+Tabela96[[#This Row],[COMPLEMENTO]]-Tabela96[[#This Row],[DESBLOQUEIO]]-Tabela96[[#This Row],[VALOR
 EMPENHO]]-Tabela96[[#This Row],[SALDO 
CANCELADO]]</f>
        <v>0</v>
      </c>
      <c r="N120" s="200"/>
    </row>
    <row r="121" spans="1:14" hidden="1">
      <c r="A121" s="201">
        <v>45846</v>
      </c>
      <c r="B121" s="167">
        <v>9311</v>
      </c>
      <c r="C121" s="167">
        <v>29</v>
      </c>
      <c r="D121" s="167">
        <v>2248</v>
      </c>
      <c r="E121" s="167">
        <v>2123</v>
      </c>
      <c r="F121" s="167">
        <v>69</v>
      </c>
      <c r="G121" s="175" t="s">
        <v>191</v>
      </c>
      <c r="H121" s="175" t="s">
        <v>566</v>
      </c>
      <c r="I121" s="176">
        <v>41800</v>
      </c>
      <c r="J121" s="188"/>
      <c r="K121" s="189"/>
      <c r="L121" s="199">
        <f>SUMIFS('EMPENHO '!J:J,'EMPENHO '!B:B,Tabela96[[#This Row],[PROGRAMA]],'EMPENHO '!C:C,Tabela96[[#This Row],[FICHA]],'EMPENHO '!D:D,Tabela96[[#This Row],[AÇÃO]],'EMPENHO '!E:E,Tabela96[[#This Row],[PROJETO]],'EMPENHO '!F:F,Tabela96[[#This Row],[RESERVA]])</f>
        <v>41800</v>
      </c>
      <c r="M121" s="200">
        <f>Tabela96[[#This Row],[VALOR]]+Tabela96[[#This Row],[COMPLEMENTO]]-Tabela96[[#This Row],[DESBLOQUEIO]]-Tabela96[[#This Row],[VALOR
 EMPENHO]]-Tabela96[[#This Row],[SALDO 
CANCELADO]]</f>
        <v>0</v>
      </c>
      <c r="N121" s="200"/>
    </row>
    <row r="122" spans="1:14" hidden="1">
      <c r="A122" s="201">
        <v>45846</v>
      </c>
      <c r="B122" s="167">
        <v>9309</v>
      </c>
      <c r="C122" s="167">
        <v>30</v>
      </c>
      <c r="D122" s="167">
        <v>2899</v>
      </c>
      <c r="E122" s="167">
        <v>2124</v>
      </c>
      <c r="F122" s="167">
        <v>25</v>
      </c>
      <c r="G122" s="175" t="s">
        <v>170</v>
      </c>
      <c r="H122" s="175" t="s">
        <v>568</v>
      </c>
      <c r="I122" s="176">
        <v>133800</v>
      </c>
      <c r="J122" s="188"/>
      <c r="K122" s="990">
        <v>133800</v>
      </c>
      <c r="L122" s="199">
        <f>SUMIFS('EMPENHO '!J:J,'EMPENHO '!B:B,Tabela96[[#This Row],[PROGRAMA]],'EMPENHO '!C:C,Tabela96[[#This Row],[FICHA]],'EMPENHO '!D:D,Tabela96[[#This Row],[AÇÃO]],'EMPENHO '!E:E,Tabela96[[#This Row],[PROJETO]],'EMPENHO '!F:F,Tabela96[[#This Row],[RESERVA]])</f>
        <v>0</v>
      </c>
      <c r="M122" s="200">
        <f>Tabela96[[#This Row],[VALOR]]+Tabela96[[#This Row],[COMPLEMENTO]]-Tabela96[[#This Row],[DESBLOQUEIO]]-Tabela96[[#This Row],[VALOR
 EMPENHO]]-Tabela96[[#This Row],[SALDO 
CANCELADO]]</f>
        <v>0</v>
      </c>
      <c r="N122" s="200"/>
    </row>
    <row r="123" spans="1:14" hidden="1">
      <c r="A123" s="833">
        <v>45853</v>
      </c>
      <c r="B123" s="167">
        <v>9394</v>
      </c>
      <c r="C123" s="167">
        <v>32</v>
      </c>
      <c r="D123" s="167">
        <v>2231</v>
      </c>
      <c r="E123" s="167">
        <v>2128</v>
      </c>
      <c r="F123" s="167">
        <v>104</v>
      </c>
      <c r="G123" s="175" t="s">
        <v>192</v>
      </c>
      <c r="H123" s="175" t="s">
        <v>571</v>
      </c>
      <c r="I123" s="176">
        <v>1600</v>
      </c>
      <c r="J123" s="336"/>
      <c r="K123" s="340"/>
      <c r="L123" s="199">
        <f>SUMIFS('EMPENHO '!J:J,'EMPENHO '!B:B,Tabela96[[#This Row],[PROGRAMA]],'EMPENHO '!C:C,Tabela96[[#This Row],[FICHA]],'EMPENHO '!D:D,Tabela96[[#This Row],[AÇÃO]],'EMPENHO '!E:E,Tabela96[[#This Row],[PROJETO]],'EMPENHO '!F:F,Tabela96[[#This Row],[RESERVA]])</f>
        <v>1600</v>
      </c>
      <c r="M123" s="200">
        <f>Tabela96[[#This Row],[VALOR]]+Tabela96[[#This Row],[COMPLEMENTO]]-Tabela96[[#This Row],[DESBLOQUEIO]]-Tabela96[[#This Row],[VALOR
 EMPENHO]]-Tabela96[[#This Row],[SALDO 
CANCELADO]]</f>
        <v>0</v>
      </c>
      <c r="N123" s="200"/>
    </row>
    <row r="124" spans="1:14" hidden="1">
      <c r="A124" s="201">
        <v>45859</v>
      </c>
      <c r="B124" s="167">
        <v>9579</v>
      </c>
      <c r="C124" s="167">
        <v>30</v>
      </c>
      <c r="D124" s="167">
        <v>2253</v>
      </c>
      <c r="E124" s="167">
        <v>2124</v>
      </c>
      <c r="F124" s="167">
        <v>25</v>
      </c>
      <c r="G124" t="s">
        <v>169</v>
      </c>
      <c r="H124" t="s">
        <v>574</v>
      </c>
      <c r="I124" s="577">
        <v>5500000</v>
      </c>
      <c r="J124" s="188"/>
      <c r="K124" s="189">
        <v>1281554.1299999999</v>
      </c>
      <c r="L124" s="199">
        <f>SUMIFS('EMPENHO '!J:J,'EMPENHO '!B:B,Tabela96[[#This Row],[PROGRAMA]],'EMPENHO '!C:C,Tabela96[[#This Row],[FICHA]],'EMPENHO '!D:D,Tabela96[[#This Row],[AÇÃO]],'EMPENHO '!E:E,Tabela96[[#This Row],[PROJETO]],'EMPENHO '!F:F,Tabela96[[#This Row],[RESERVA]])</f>
        <v>4218445.87</v>
      </c>
      <c r="M124" s="188">
        <f>Tabela96[[#This Row],[VALOR]]+Tabela96[[#This Row],[COMPLEMENTO]]-Tabela96[[#This Row],[DESBLOQUEIO]]-Tabela96[[#This Row],[VALOR
 EMPENHO]]-Tabela96[[#This Row],[SALDO 
CANCELADO]]</f>
        <v>0</v>
      </c>
      <c r="N124" s="188"/>
    </row>
    <row r="125" spans="1:14" hidden="1">
      <c r="A125" s="201">
        <v>45866</v>
      </c>
      <c r="B125" s="167">
        <v>9746</v>
      </c>
      <c r="C125" s="167">
        <v>30</v>
      </c>
      <c r="D125" s="167">
        <v>2261</v>
      </c>
      <c r="E125" s="167">
        <v>2126</v>
      </c>
      <c r="F125" s="167">
        <v>104</v>
      </c>
      <c r="G125" t="s">
        <v>211</v>
      </c>
      <c r="H125" s="175" t="s">
        <v>581</v>
      </c>
      <c r="I125" s="176">
        <v>4140</v>
      </c>
      <c r="J125" s="418"/>
      <c r="K125" s="340"/>
      <c r="L125" s="199">
        <f>SUMIFS('EMPENHO '!J:J,'EMPENHO '!B:B,Tabela96[[#This Row],[PROGRAMA]],'EMPENHO '!C:C,Tabela96[[#This Row],[FICHA]],'EMPENHO '!D:D,Tabela96[[#This Row],[AÇÃO]],'EMPENHO '!E:E,Tabela96[[#This Row],[PROJETO]],'EMPENHO '!F:F,Tabela96[[#This Row],[RESERVA]])</f>
        <v>4140</v>
      </c>
      <c r="M125" s="200">
        <f>Tabela96[[#This Row],[VALOR]]+Tabela96[[#This Row],[COMPLEMENTO]]-Tabela96[[#This Row],[DESBLOQUEIO]]-Tabela96[[#This Row],[VALOR
 EMPENHO]]-Tabela96[[#This Row],[SALDO 
CANCELADO]]</f>
        <v>0</v>
      </c>
      <c r="N125" s="200"/>
    </row>
    <row r="126" spans="1:14" hidden="1">
      <c r="A126" s="201">
        <v>45866</v>
      </c>
      <c r="B126" s="167">
        <v>9747</v>
      </c>
      <c r="C126" s="167">
        <v>32</v>
      </c>
      <c r="D126" s="167">
        <v>2231</v>
      </c>
      <c r="E126" s="167">
        <v>2128</v>
      </c>
      <c r="F126" s="167">
        <v>104</v>
      </c>
      <c r="G126" s="175" t="s">
        <v>192</v>
      </c>
      <c r="H126" t="s">
        <v>580</v>
      </c>
      <c r="I126" s="176">
        <v>32673.3</v>
      </c>
      <c r="J126" s="418"/>
      <c r="K126" s="340"/>
      <c r="L126" s="199">
        <f>SUMIFS('EMPENHO '!J:J,'EMPENHO '!B:B,Tabela96[[#This Row],[PROGRAMA]],'EMPENHO '!C:C,Tabela96[[#This Row],[FICHA]],'EMPENHO '!D:D,Tabela96[[#This Row],[AÇÃO]],'EMPENHO '!E:E,Tabela96[[#This Row],[PROJETO]],'EMPENHO '!F:F,Tabela96[[#This Row],[RESERVA]])</f>
        <v>0</v>
      </c>
      <c r="M126" s="200">
        <f>Tabela96[[#This Row],[VALOR]]+Tabela96[[#This Row],[COMPLEMENTO]]-Tabela96[[#This Row],[DESBLOQUEIO]]-Tabela96[[#This Row],[VALOR
 EMPENHO]]-Tabela96[[#This Row],[SALDO 
CANCELADO]]</f>
        <v>0</v>
      </c>
      <c r="N126" s="200">
        <v>32673.3</v>
      </c>
    </row>
    <row r="127" spans="1:14" hidden="1">
      <c r="A127" s="201">
        <v>45866</v>
      </c>
      <c r="B127" s="167">
        <v>9748</v>
      </c>
      <c r="C127" s="167">
        <v>30</v>
      </c>
      <c r="D127" s="167">
        <v>2258</v>
      </c>
      <c r="E127" s="167">
        <v>2126</v>
      </c>
      <c r="F127" s="167">
        <v>104</v>
      </c>
      <c r="G127" t="s">
        <v>210</v>
      </c>
      <c r="H127" t="s">
        <v>579</v>
      </c>
      <c r="I127" s="176">
        <v>2600</v>
      </c>
      <c r="J127" s="336"/>
      <c r="K127" s="340"/>
      <c r="L127" s="199">
        <f>SUMIFS('EMPENHO '!J:J,'EMPENHO '!B:B,Tabela96[[#This Row],[PROGRAMA]],'EMPENHO '!C:C,Tabela96[[#This Row],[FICHA]],'EMPENHO '!D:D,Tabela96[[#This Row],[AÇÃO]],'EMPENHO '!E:E,Tabela96[[#This Row],[PROJETO]],'EMPENHO '!F:F,Tabela96[[#This Row],[RESERVA]])</f>
        <v>2600</v>
      </c>
      <c r="M127" s="200">
        <f>Tabela96[[#This Row],[VALOR]]+Tabela96[[#This Row],[COMPLEMENTO]]-Tabela96[[#This Row],[DESBLOQUEIO]]-Tabela96[[#This Row],[VALOR
 EMPENHO]]-Tabela96[[#This Row],[SALDO 
CANCELADO]]</f>
        <v>0</v>
      </c>
      <c r="N127" s="200"/>
    </row>
    <row r="128" spans="1:14" hidden="1">
      <c r="A128" s="201">
        <v>45867</v>
      </c>
      <c r="B128" s="167">
        <v>9749</v>
      </c>
      <c r="C128" s="167">
        <v>32</v>
      </c>
      <c r="D128" s="167">
        <v>2226</v>
      </c>
      <c r="E128" s="167">
        <v>2128</v>
      </c>
      <c r="F128" s="167">
        <v>88</v>
      </c>
      <c r="G128" s="175" t="s">
        <v>186</v>
      </c>
      <c r="H128" s="175" t="s">
        <v>578</v>
      </c>
      <c r="I128" s="176">
        <v>1346.7</v>
      </c>
      <c r="J128" s="336"/>
      <c r="K128" s="340"/>
      <c r="L128" s="199">
        <f>SUMIFS('EMPENHO '!J:J,'EMPENHO '!B:B,Tabela96[[#This Row],[PROGRAMA]],'EMPENHO '!C:C,Tabela96[[#This Row],[FICHA]],'EMPENHO '!D:D,Tabela96[[#This Row],[AÇÃO]],'EMPENHO '!E:E,Tabela96[[#This Row],[PROJETO]],'EMPENHO '!F:F,Tabela96[[#This Row],[RESERVA]])</f>
        <v>0</v>
      </c>
      <c r="M128" s="200">
        <f>Tabela96[[#This Row],[VALOR]]+Tabela96[[#This Row],[COMPLEMENTO]]-Tabela96[[#This Row],[DESBLOQUEIO]]-Tabela96[[#This Row],[VALOR
 EMPENHO]]-Tabela96[[#This Row],[SALDO 
CANCELADO]]</f>
        <v>0</v>
      </c>
      <c r="N128" s="200">
        <v>1346.7</v>
      </c>
    </row>
    <row r="129" spans="1:14" ht="18" hidden="1" customHeight="1">
      <c r="A129" s="201">
        <v>45870</v>
      </c>
      <c r="B129" s="167">
        <v>9911</v>
      </c>
      <c r="C129" s="167">
        <v>32</v>
      </c>
      <c r="D129" s="167">
        <v>2231</v>
      </c>
      <c r="E129" s="167">
        <v>2128</v>
      </c>
      <c r="F129" s="167">
        <v>104</v>
      </c>
      <c r="G129" t="s">
        <v>192</v>
      </c>
      <c r="H129" t="s">
        <v>600</v>
      </c>
      <c r="I129" s="176">
        <v>2967.34</v>
      </c>
      <c r="J129" s="418"/>
      <c r="K129" s="176">
        <v>2967.34</v>
      </c>
      <c r="L129" s="199">
        <f>SUMIFS('EMPENHO '!J:J,'EMPENHO '!B:B,Tabela96[[#This Row],[PROGRAMA]],'EMPENHO '!C:C,Tabela96[[#This Row],[FICHA]],'EMPENHO '!D:D,Tabela96[[#This Row],[AÇÃO]],'EMPENHO '!E:E,Tabela96[[#This Row],[PROJETO]],'EMPENHO '!F:F,Tabela96[[#This Row],[RESERVA]])</f>
        <v>0</v>
      </c>
      <c r="M129" s="200">
        <f>Tabela96[[#This Row],[VALOR]]+Tabela96[[#This Row],[COMPLEMENTO]]-Tabela96[[#This Row],[DESBLOQUEIO]]-Tabela96[[#This Row],[VALOR
 EMPENHO]]-Tabela96[[#This Row],[SALDO 
CANCELADO]]</f>
        <v>0</v>
      </c>
      <c r="N129" s="200"/>
    </row>
    <row r="130" spans="1:14" hidden="1">
      <c r="A130" s="201">
        <v>45870</v>
      </c>
      <c r="B130" s="167">
        <v>9912</v>
      </c>
      <c r="C130" s="167">
        <v>32</v>
      </c>
      <c r="D130" s="167">
        <v>2231</v>
      </c>
      <c r="E130" s="167">
        <v>2128</v>
      </c>
      <c r="F130" s="167">
        <v>104</v>
      </c>
      <c r="G130" s="175" t="s">
        <v>192</v>
      </c>
      <c r="H130" s="175" t="s">
        <v>587</v>
      </c>
      <c r="I130" s="803">
        <v>20000</v>
      </c>
      <c r="J130" s="418"/>
      <c r="K130" s="340"/>
      <c r="L130" s="199">
        <f>SUMIFS('EMPENHO '!J:J,'EMPENHO '!B:B,Tabela96[[#This Row],[PROGRAMA]],'EMPENHO '!C:C,Tabela96[[#This Row],[FICHA]],'EMPENHO '!D:D,Tabela96[[#This Row],[AÇÃO]],'EMPENHO '!E:E,Tabela96[[#This Row],[PROJETO]],'EMPENHO '!F:F,Tabela96[[#This Row],[RESERVA]])</f>
        <v>20000</v>
      </c>
      <c r="M130" s="200">
        <f>Tabela96[[#This Row],[VALOR]]+Tabela96[[#This Row],[COMPLEMENTO]]-Tabela96[[#This Row],[DESBLOQUEIO]]-Tabela96[[#This Row],[VALOR
 EMPENHO]]-Tabela96[[#This Row],[SALDO 
CANCELADO]]</f>
        <v>0</v>
      </c>
      <c r="N130" s="200"/>
    </row>
    <row r="131" spans="1:14" hidden="1">
      <c r="A131" s="201">
        <v>45877</v>
      </c>
      <c r="B131" s="167">
        <v>10319</v>
      </c>
      <c r="C131" s="167">
        <v>30</v>
      </c>
      <c r="D131" s="167">
        <v>2258</v>
      </c>
      <c r="E131" s="167">
        <v>2126</v>
      </c>
      <c r="F131" s="167">
        <v>104</v>
      </c>
      <c r="G131" t="s">
        <v>210</v>
      </c>
      <c r="H131" t="s">
        <v>601</v>
      </c>
      <c r="I131" s="176">
        <v>240</v>
      </c>
      <c r="J131" s="188"/>
      <c r="K131" s="340"/>
      <c r="L131" s="199">
        <f>SUMIFS('EMPENHO '!J:J,'EMPENHO '!B:B,Tabela96[[#This Row],[PROGRAMA]],'EMPENHO '!C:C,Tabela96[[#This Row],[FICHA]],'EMPENHO '!D:D,Tabela96[[#This Row],[AÇÃO]],'EMPENHO '!E:E,Tabela96[[#This Row],[PROJETO]],'EMPENHO '!F:F,Tabela96[[#This Row],[RESERVA]])</f>
        <v>240</v>
      </c>
      <c r="M131" s="418">
        <f>Tabela96[[#This Row],[VALOR]]+Tabela96[[#This Row],[COMPLEMENTO]]-Tabela96[[#This Row],[DESBLOQUEIO]]-Tabela96[[#This Row],[VALOR
 EMPENHO]]-Tabela96[[#This Row],[SALDO 
CANCELADO]]</f>
        <v>0</v>
      </c>
      <c r="N131" s="418"/>
    </row>
    <row r="132" spans="1:14" hidden="1">
      <c r="A132" s="201">
        <v>45877</v>
      </c>
      <c r="B132" s="167">
        <v>10320</v>
      </c>
      <c r="C132" s="167">
        <v>32</v>
      </c>
      <c r="D132" s="167">
        <v>2226</v>
      </c>
      <c r="E132" s="167">
        <v>2128</v>
      </c>
      <c r="F132" s="167">
        <v>84</v>
      </c>
      <c r="G132" s="175" t="s">
        <v>186</v>
      </c>
      <c r="H132" s="175" t="s">
        <v>602</v>
      </c>
      <c r="I132" s="176">
        <v>51420</v>
      </c>
      <c r="J132" s="418"/>
      <c r="K132" s="340"/>
      <c r="L132" s="199">
        <f>SUMIFS('EMPENHO '!J:J,'EMPENHO '!B:B,Tabela96[[#This Row],[PROGRAMA]],'EMPENHO '!C:C,Tabela96[[#This Row],[FICHA]],'EMPENHO '!D:D,Tabela96[[#This Row],[AÇÃO]],'EMPENHO '!E:E,Tabela96[[#This Row],[PROJETO]],'EMPENHO '!F:F,Tabela96[[#This Row],[RESERVA]])</f>
        <v>51420</v>
      </c>
      <c r="M132" s="440">
        <f>Tabela96[[#This Row],[VALOR]]+Tabela96[[#This Row],[COMPLEMENTO]]-Tabela96[[#This Row],[DESBLOQUEIO]]-Tabela96[[#This Row],[VALOR
 EMPENHO]]-Tabela96[[#This Row],[SALDO 
CANCELADO]]</f>
        <v>0</v>
      </c>
      <c r="N132" s="440"/>
    </row>
    <row r="133" spans="1:14" hidden="1">
      <c r="A133" s="201">
        <v>45877</v>
      </c>
      <c r="B133" s="167">
        <v>10321</v>
      </c>
      <c r="C133" s="167">
        <v>32</v>
      </c>
      <c r="D133" s="167">
        <v>2229</v>
      </c>
      <c r="E133" s="167">
        <v>2128</v>
      </c>
      <c r="F133" s="167">
        <v>122</v>
      </c>
      <c r="G133" t="s">
        <v>176</v>
      </c>
      <c r="H133" t="s">
        <v>603</v>
      </c>
      <c r="I133" s="176">
        <v>12034.95</v>
      </c>
      <c r="J133" s="418"/>
      <c r="K133" s="340"/>
      <c r="L133" s="199">
        <f>SUMIFS('EMPENHO '!J:J,'EMPENHO '!B:B,Tabela96[[#This Row],[PROGRAMA]],'EMPENHO '!C:C,Tabela96[[#This Row],[FICHA]],'EMPENHO '!D:D,Tabela96[[#This Row],[AÇÃO]],'EMPENHO '!E:E,Tabela96[[#This Row],[PROJETO]],'EMPENHO '!F:F,Tabela96[[#This Row],[RESERVA]])</f>
        <v>12034.95</v>
      </c>
      <c r="M133" s="440">
        <f>Tabela96[[#This Row],[VALOR]]+Tabela96[[#This Row],[COMPLEMENTO]]-Tabela96[[#This Row],[DESBLOQUEIO]]-Tabela96[[#This Row],[VALOR
 EMPENHO]]-Tabela96[[#This Row],[SALDO 
CANCELADO]]</f>
        <v>0</v>
      </c>
      <c r="N133" s="440"/>
    </row>
    <row r="134" spans="1:14" hidden="1">
      <c r="A134" s="201">
        <v>45877</v>
      </c>
      <c r="B134" s="167">
        <v>10322</v>
      </c>
      <c r="C134" s="167">
        <v>32</v>
      </c>
      <c r="D134" s="167">
        <v>2229</v>
      </c>
      <c r="E134" s="167">
        <v>2128</v>
      </c>
      <c r="F134" s="167">
        <v>104</v>
      </c>
      <c r="G134" s="175" t="s">
        <v>176</v>
      </c>
      <c r="H134" s="175" t="s">
        <v>604</v>
      </c>
      <c r="I134" s="62">
        <v>1719</v>
      </c>
      <c r="J134" s="188"/>
      <c r="K134" s="340"/>
      <c r="L134" s="199">
        <f>SUMIFS('EMPENHO '!J:J,'EMPENHO '!B:B,Tabela96[[#This Row],[PROGRAMA]],'EMPENHO '!C:C,Tabela96[[#This Row],[FICHA]],'EMPENHO '!D:D,Tabela96[[#This Row],[AÇÃO]],'EMPENHO '!E:E,Tabela96[[#This Row],[PROJETO]],'EMPENHO '!F:F,Tabela96[[#This Row],[RESERVA]])</f>
        <v>1719</v>
      </c>
      <c r="M134" s="440">
        <f>Tabela96[[#This Row],[VALOR]]+Tabela96[[#This Row],[COMPLEMENTO]]-Tabela96[[#This Row],[DESBLOQUEIO]]-Tabela96[[#This Row],[VALOR
 EMPENHO]]-Tabela96[[#This Row],[SALDO 
CANCELADO]]</f>
        <v>0</v>
      </c>
      <c r="N134" s="440"/>
    </row>
    <row r="135" spans="1:14" hidden="1">
      <c r="A135" s="201">
        <v>45877</v>
      </c>
      <c r="B135" s="167">
        <v>10323</v>
      </c>
      <c r="C135" s="167">
        <v>32</v>
      </c>
      <c r="D135" s="167">
        <v>2229</v>
      </c>
      <c r="E135" s="167">
        <v>2128</v>
      </c>
      <c r="F135" s="167">
        <v>117</v>
      </c>
      <c r="G135" t="s">
        <v>176</v>
      </c>
      <c r="H135" t="s">
        <v>605</v>
      </c>
      <c r="I135" s="62">
        <v>16291.33</v>
      </c>
      <c r="J135" s="188"/>
      <c r="K135" s="340"/>
      <c r="L135" s="199">
        <f>SUMIFS('EMPENHO '!J:J,'EMPENHO '!B:B,Tabela96[[#This Row],[PROGRAMA]],'EMPENHO '!C:C,Tabela96[[#This Row],[FICHA]],'EMPENHO '!D:D,Tabela96[[#This Row],[AÇÃO]],'EMPENHO '!E:E,Tabela96[[#This Row],[PROJETO]],'EMPENHO '!F:F,Tabela96[[#This Row],[RESERVA]])</f>
        <v>16291.33</v>
      </c>
      <c r="M135" s="440">
        <f>Tabela96[[#This Row],[VALOR]]+Tabela96[[#This Row],[COMPLEMENTO]]-Tabela96[[#This Row],[DESBLOQUEIO]]-Tabela96[[#This Row],[VALOR
 EMPENHO]]-Tabela96[[#This Row],[SALDO 
CANCELADO]]</f>
        <v>0</v>
      </c>
      <c r="N135" s="440"/>
    </row>
    <row r="136" spans="1:14" hidden="1">
      <c r="A136" s="201">
        <v>45881</v>
      </c>
      <c r="B136" s="167">
        <v>10410</v>
      </c>
      <c r="C136" s="167">
        <v>32</v>
      </c>
      <c r="D136" s="167">
        <v>2226</v>
      </c>
      <c r="E136" s="167">
        <v>2128</v>
      </c>
      <c r="F136" s="167">
        <v>84</v>
      </c>
      <c r="G136" s="175" t="s">
        <v>186</v>
      </c>
      <c r="H136" s="175" t="s">
        <v>606</v>
      </c>
      <c r="I136" s="176">
        <v>22400</v>
      </c>
      <c r="J136" s="188"/>
      <c r="K136" s="340"/>
      <c r="L136" s="199">
        <f>SUMIFS('EMPENHO '!J:J,'EMPENHO '!B:B,Tabela96[[#This Row],[PROGRAMA]],'EMPENHO '!C:C,Tabela96[[#This Row],[FICHA]],'EMPENHO '!D:D,Tabela96[[#This Row],[AÇÃO]],'EMPENHO '!E:E,Tabela96[[#This Row],[PROJETO]],'EMPENHO '!F:F,Tabela96[[#This Row],[RESERVA]])</f>
        <v>22400</v>
      </c>
      <c r="M136" s="440">
        <f>Tabela96[[#This Row],[VALOR]]+Tabela96[[#This Row],[COMPLEMENTO]]-Tabela96[[#This Row],[DESBLOQUEIO]]-Tabela96[[#This Row],[VALOR
 EMPENHO]]-Tabela96[[#This Row],[SALDO 
CANCELADO]]</f>
        <v>0</v>
      </c>
      <c r="N136" s="440"/>
    </row>
    <row r="137" spans="1:14" hidden="1">
      <c r="A137" s="201">
        <v>45881</v>
      </c>
      <c r="B137" s="167">
        <v>10411</v>
      </c>
      <c r="C137" s="167">
        <v>32</v>
      </c>
      <c r="D137" s="167">
        <v>2226</v>
      </c>
      <c r="E137" s="167">
        <v>2128</v>
      </c>
      <c r="F137" s="167">
        <v>88</v>
      </c>
      <c r="G137" s="175" t="s">
        <v>186</v>
      </c>
      <c r="H137" s="175" t="s">
        <v>607</v>
      </c>
      <c r="I137" s="176">
        <v>3596.65</v>
      </c>
      <c r="J137" s="188"/>
      <c r="K137" s="340"/>
      <c r="L137" s="199">
        <f>SUMIFS('EMPENHO '!J:J,'EMPENHO '!B:B,Tabela96[[#This Row],[PROGRAMA]],'EMPENHO '!C:C,Tabela96[[#This Row],[FICHA]],'EMPENHO '!D:D,Tabela96[[#This Row],[AÇÃO]],'EMPENHO '!E:E,Tabela96[[#This Row],[PROJETO]],'EMPENHO '!F:F,Tabela96[[#This Row],[RESERVA]])</f>
        <v>0</v>
      </c>
      <c r="M137" s="440">
        <f>Tabela96[[#This Row],[VALOR]]+Tabela96[[#This Row],[COMPLEMENTO]]-Tabela96[[#This Row],[DESBLOQUEIO]]-Tabela96[[#This Row],[VALOR
 EMPENHO]]-Tabela96[[#This Row],[SALDO 
CANCELADO]]</f>
        <v>0</v>
      </c>
      <c r="N137" s="440">
        <v>3596.65</v>
      </c>
    </row>
    <row r="138" spans="1:14" hidden="1">
      <c r="A138" s="201">
        <v>45881</v>
      </c>
      <c r="B138" s="167">
        <v>10412</v>
      </c>
      <c r="C138" s="167">
        <v>32</v>
      </c>
      <c r="D138" s="167">
        <v>2231</v>
      </c>
      <c r="E138" s="167">
        <v>2128</v>
      </c>
      <c r="F138" s="167">
        <v>104</v>
      </c>
      <c r="G138" t="s">
        <v>192</v>
      </c>
      <c r="H138" s="647" t="s">
        <v>608</v>
      </c>
      <c r="I138" s="176">
        <v>36113.5</v>
      </c>
      <c r="J138" s="453"/>
      <c r="K138" s="340"/>
      <c r="L138" s="199">
        <f>SUMIFS('EMPENHO '!J:J,'EMPENHO '!B:B,Tabela96[[#This Row],[PROGRAMA]],'EMPENHO '!C:C,Tabela96[[#This Row],[FICHA]],'EMPENHO '!D:D,Tabela96[[#This Row],[AÇÃO]],'EMPENHO '!E:E,Tabela96[[#This Row],[PROJETO]],'EMPENHO '!F:F,Tabela96[[#This Row],[RESERVA]])</f>
        <v>0</v>
      </c>
      <c r="M138" s="440">
        <f>Tabela96[[#This Row],[VALOR]]+Tabela96[[#This Row],[COMPLEMENTO]]-Tabela96[[#This Row],[DESBLOQUEIO]]-Tabela96[[#This Row],[VALOR
 EMPENHO]]-Tabela96[[#This Row],[SALDO 
CANCELADO]]</f>
        <v>0</v>
      </c>
      <c r="N138" s="440">
        <v>36113.5</v>
      </c>
    </row>
    <row r="139" spans="1:14" hidden="1">
      <c r="A139" s="201">
        <v>45894</v>
      </c>
      <c r="B139" s="167">
        <v>11084</v>
      </c>
      <c r="C139" s="167">
        <v>32</v>
      </c>
      <c r="D139" s="167">
        <v>2231</v>
      </c>
      <c r="E139" s="167">
        <v>2128</v>
      </c>
      <c r="F139" s="167">
        <v>104</v>
      </c>
      <c r="G139" s="175" t="s">
        <v>192</v>
      </c>
      <c r="H139" s="175" t="s">
        <v>625</v>
      </c>
      <c r="I139" s="176">
        <v>424.29</v>
      </c>
      <c r="J139" s="472"/>
      <c r="K139" s="176">
        <v>424.29</v>
      </c>
      <c r="L139" s="199">
        <f>SUMIFS('EMPENHO '!J:J,'EMPENHO '!B:B,Tabela96[[#This Row],[PROGRAMA]],'EMPENHO '!C:C,Tabela96[[#This Row],[FICHA]],'EMPENHO '!D:D,Tabela96[[#This Row],[AÇÃO]],'EMPENHO '!E:E,Tabela96[[#This Row],[PROJETO]],'EMPENHO '!F:F,Tabela96[[#This Row],[RESERVA]])</f>
        <v>0</v>
      </c>
      <c r="M139" s="440">
        <f>Tabela96[[#This Row],[VALOR]]+Tabela96[[#This Row],[COMPLEMENTO]]-Tabela96[[#This Row],[DESBLOQUEIO]]-Tabela96[[#This Row],[VALOR
 EMPENHO]]-Tabela96[[#This Row],[SALDO 
CANCELADO]]</f>
        <v>0</v>
      </c>
      <c r="N139" s="440"/>
    </row>
    <row r="140" spans="1:14" hidden="1">
      <c r="A140" s="201">
        <v>45894</v>
      </c>
      <c r="B140" s="167">
        <v>11085</v>
      </c>
      <c r="C140" s="167">
        <v>32</v>
      </c>
      <c r="D140" s="167">
        <v>2226</v>
      </c>
      <c r="E140" s="167">
        <v>2128</v>
      </c>
      <c r="F140" s="167">
        <v>88</v>
      </c>
      <c r="G140" s="175" t="s">
        <v>186</v>
      </c>
      <c r="H140" s="175" t="s">
        <v>624</v>
      </c>
      <c r="I140" s="176">
        <v>3890.3</v>
      </c>
      <c r="J140" s="472"/>
      <c r="K140" s="340"/>
      <c r="L140" s="199">
        <f>SUMIFS('EMPENHO '!J:J,'EMPENHO '!B:B,Tabela96[[#This Row],[PROGRAMA]],'EMPENHO '!C:C,Tabela96[[#This Row],[FICHA]],'EMPENHO '!D:D,Tabela96[[#This Row],[AÇÃO]],'EMPENHO '!E:E,Tabela96[[#This Row],[PROJETO]],'EMPENHO '!F:F,Tabela96[[#This Row],[RESERVA]])</f>
        <v>0</v>
      </c>
      <c r="M140" s="440">
        <f>Tabela96[[#This Row],[VALOR]]+Tabela96[[#This Row],[COMPLEMENTO]]-Tabela96[[#This Row],[DESBLOQUEIO]]-Tabela96[[#This Row],[VALOR
 EMPENHO]]-Tabela96[[#This Row],[SALDO 
CANCELADO]]</f>
        <v>0</v>
      </c>
      <c r="N140" s="440">
        <v>3890.3</v>
      </c>
    </row>
    <row r="141" spans="1:14" hidden="1">
      <c r="A141" s="201">
        <v>45894</v>
      </c>
      <c r="B141" s="167">
        <v>11086</v>
      </c>
      <c r="C141" s="167">
        <v>29</v>
      </c>
      <c r="D141" s="167">
        <v>2248</v>
      </c>
      <c r="E141" s="167">
        <v>2123</v>
      </c>
      <c r="F141" s="167">
        <v>69</v>
      </c>
      <c r="G141" s="175" t="s">
        <v>191</v>
      </c>
      <c r="H141" s="175" t="s">
        <v>623</v>
      </c>
      <c r="I141" s="176">
        <v>43600</v>
      </c>
      <c r="J141" s="472"/>
      <c r="K141" s="340"/>
      <c r="L141" s="199">
        <f>SUMIFS('EMPENHO '!J:J,'EMPENHO '!B:B,Tabela96[[#This Row],[PROGRAMA]],'EMPENHO '!C:C,Tabela96[[#This Row],[FICHA]],'EMPENHO '!D:D,Tabela96[[#This Row],[AÇÃO]],'EMPENHO '!E:E,Tabela96[[#This Row],[PROJETO]],'EMPENHO '!F:F,Tabela96[[#This Row],[RESERVA]])</f>
        <v>87200</v>
      </c>
      <c r="M141" s="440">
        <f>Tabela96[[#This Row],[VALOR]]+Tabela96[[#This Row],[COMPLEMENTO]]-Tabela96[[#This Row],[DESBLOQUEIO]]-Tabela96[[#This Row],[VALOR
 EMPENHO]]-Tabela96[[#This Row],[SALDO 
CANCELADO]]</f>
        <v>-43600</v>
      </c>
      <c r="N141" s="440"/>
    </row>
    <row r="142" spans="1:14" hidden="1">
      <c r="A142" s="201">
        <v>45894</v>
      </c>
      <c r="B142" s="167">
        <v>11087</v>
      </c>
      <c r="C142" s="167">
        <v>29</v>
      </c>
      <c r="D142" s="167">
        <v>2244</v>
      </c>
      <c r="E142" s="167">
        <v>2123</v>
      </c>
      <c r="F142" s="167">
        <v>92</v>
      </c>
      <c r="G142" s="175" t="s">
        <v>208</v>
      </c>
      <c r="H142" s="175" t="s">
        <v>622</v>
      </c>
      <c r="I142" s="176">
        <v>29200</v>
      </c>
      <c r="J142" s="472"/>
      <c r="K142" s="340"/>
      <c r="L142" s="199">
        <f>SUMIFS('EMPENHO '!J:J,'EMPENHO '!B:B,Tabela96[[#This Row],[PROGRAMA]],'EMPENHO '!C:C,Tabela96[[#This Row],[FICHA]],'EMPENHO '!D:D,Tabela96[[#This Row],[AÇÃO]],'EMPENHO '!E:E,Tabela96[[#This Row],[PROJETO]],'EMPENHO '!F:F,Tabela96[[#This Row],[RESERVA]])</f>
        <v>29200</v>
      </c>
      <c r="M142" s="870">
        <f>Tabela96[[#This Row],[VALOR]]+Tabela96[[#This Row],[COMPLEMENTO]]-Tabela96[[#This Row],[DESBLOQUEIO]]-Tabela96[[#This Row],[VALOR
 EMPENHO]]-Tabela96[[#This Row],[SALDO 
CANCELADO]]</f>
        <v>0</v>
      </c>
      <c r="N142" s="440"/>
    </row>
    <row r="143" spans="1:14" hidden="1">
      <c r="A143" s="201">
        <v>45894</v>
      </c>
      <c r="B143" s="167">
        <v>11088</v>
      </c>
      <c r="C143" s="167">
        <v>32</v>
      </c>
      <c r="D143" s="167">
        <v>2231</v>
      </c>
      <c r="E143" s="167">
        <v>2128</v>
      </c>
      <c r="F143" s="167">
        <v>104</v>
      </c>
      <c r="G143" s="175" t="s">
        <v>192</v>
      </c>
      <c r="H143" s="175" t="s">
        <v>621</v>
      </c>
      <c r="I143" s="176">
        <v>7373.01</v>
      </c>
      <c r="J143" s="472"/>
      <c r="K143" s="340"/>
      <c r="L143" s="199">
        <f>SUMIFS('EMPENHO '!J:J,'EMPENHO '!B:B,Tabela96[[#This Row],[PROGRAMA]],'EMPENHO '!C:C,Tabela96[[#This Row],[FICHA]],'EMPENHO '!D:D,Tabela96[[#This Row],[AÇÃO]],'EMPENHO '!E:E,Tabela96[[#This Row],[PROJETO]],'EMPENHO '!F:F,Tabela96[[#This Row],[RESERVA]])</f>
        <v>0</v>
      </c>
      <c r="M143" s="440">
        <f>Tabela96[[#This Row],[VALOR]]+Tabela96[[#This Row],[COMPLEMENTO]]-Tabela96[[#This Row],[DESBLOQUEIO]]-Tabela96[[#This Row],[VALOR
 EMPENHO]]-Tabela96[[#This Row],[SALDO 
CANCELADO]]</f>
        <v>0</v>
      </c>
      <c r="N143" s="440">
        <v>7373.01</v>
      </c>
    </row>
    <row r="144" spans="1:14" hidden="1">
      <c r="A144" s="834">
        <v>45894</v>
      </c>
      <c r="B144" s="167">
        <v>11089</v>
      </c>
      <c r="C144" s="167">
        <v>29</v>
      </c>
      <c r="D144" s="167">
        <v>2248</v>
      </c>
      <c r="E144" s="167">
        <v>2123</v>
      </c>
      <c r="F144" s="167">
        <v>69</v>
      </c>
      <c r="G144" s="175" t="s">
        <v>191</v>
      </c>
      <c r="H144" s="175" t="s">
        <v>620</v>
      </c>
      <c r="I144" s="176">
        <v>93750</v>
      </c>
      <c r="J144" s="472"/>
      <c r="K144" s="340"/>
      <c r="L144" s="199">
        <f>SUMIFS('EMPENHO '!J:J,'EMPENHO '!B:B,Tabela96[[#This Row],[PROGRAMA]],'EMPENHO '!C:C,Tabela96[[#This Row],[FICHA]],'EMPENHO '!D:D,Tabela96[[#This Row],[AÇÃO]],'EMPENHO '!E:E,Tabela96[[#This Row],[PROJETO]],'EMPENHO '!F:F,Tabela96[[#This Row],[RESERVA]])</f>
        <v>93750</v>
      </c>
      <c r="M144" s="440">
        <f>Tabela96[[#This Row],[VALOR]]+Tabela96[[#This Row],[COMPLEMENTO]]-Tabela96[[#This Row],[DESBLOQUEIO]]-Tabela96[[#This Row],[VALOR
 EMPENHO]]-Tabela96[[#This Row],[SALDO 
CANCELADO]]</f>
        <v>0</v>
      </c>
      <c r="N144" s="440"/>
    </row>
    <row r="145" spans="1:16" hidden="1">
      <c r="A145" s="54">
        <v>45902</v>
      </c>
      <c r="B145" s="167">
        <v>11292</v>
      </c>
      <c r="C145" s="167">
        <v>32</v>
      </c>
      <c r="D145" s="167">
        <v>2226</v>
      </c>
      <c r="E145" s="167">
        <v>2128</v>
      </c>
      <c r="F145" s="167">
        <v>84</v>
      </c>
      <c r="G145" s="175" t="s">
        <v>186</v>
      </c>
      <c r="H145" s="175" t="s">
        <v>628</v>
      </c>
      <c r="I145" s="176">
        <v>28000</v>
      </c>
      <c r="J145" s="847"/>
      <c r="K145" s="340"/>
      <c r="L145" s="848">
        <f>SUMIFS('EMPENHO '!J:J,'EMPENHO '!B:B,Tabela96[[#This Row],[PROGRAMA]],'EMPENHO '!C:C,Tabela96[[#This Row],[FICHA]],'EMPENHO '!D:D,Tabela96[[#This Row],[AÇÃO]],'EMPENHO '!E:E,Tabela96[[#This Row],[PROJETO]],'EMPENHO '!F:F,Tabela96[[#This Row],[RESERVA]])</f>
        <v>28000</v>
      </c>
      <c r="M145" s="849">
        <f>Tabela96[[#This Row],[VALOR]]+Tabela96[[#This Row],[COMPLEMENTO]]-Tabela96[[#This Row],[DESBLOQUEIO]]-Tabela96[[#This Row],[VALOR
 EMPENHO]]-Tabela96[[#This Row],[SALDO 
CANCELADO]]</f>
        <v>0</v>
      </c>
      <c r="N145" s="849"/>
    </row>
    <row r="146" spans="1:16" hidden="1">
      <c r="A146" s="54">
        <v>45902</v>
      </c>
      <c r="B146" s="167">
        <v>11293</v>
      </c>
      <c r="C146" s="167">
        <v>32</v>
      </c>
      <c r="D146" s="167">
        <v>2226</v>
      </c>
      <c r="E146" s="167">
        <v>2128</v>
      </c>
      <c r="F146" s="167">
        <v>50</v>
      </c>
      <c r="G146" s="175" t="s">
        <v>186</v>
      </c>
      <c r="H146" s="175" t="s">
        <v>627</v>
      </c>
      <c r="I146" s="176">
        <v>2565</v>
      </c>
      <c r="J146" s="850"/>
      <c r="K146" s="340"/>
      <c r="L146" s="848">
        <f>SUMIFS('EMPENHO '!J:J,'EMPENHO '!B:B,Tabela96[[#This Row],[PROGRAMA]],'EMPENHO '!C:C,Tabela96[[#This Row],[FICHA]],'EMPENHO '!D:D,Tabela96[[#This Row],[AÇÃO]],'EMPENHO '!E:E,Tabela96[[#This Row],[PROJETO]],'EMPENHO '!F:F,Tabela96[[#This Row],[RESERVA]])</f>
        <v>2565</v>
      </c>
      <c r="M146" s="849">
        <f>Tabela96[[#This Row],[VALOR]]+Tabela96[[#This Row],[COMPLEMENTO]]-Tabela96[[#This Row],[DESBLOQUEIO]]-Tabela96[[#This Row],[VALOR
 EMPENHO]]-Tabela96[[#This Row],[SALDO 
CANCELADO]]</f>
        <v>0</v>
      </c>
      <c r="N146" s="849"/>
    </row>
    <row r="147" spans="1:16" hidden="1">
      <c r="A147" s="54">
        <v>45902</v>
      </c>
      <c r="B147" s="167">
        <v>11294</v>
      </c>
      <c r="C147" s="167">
        <v>32</v>
      </c>
      <c r="D147" s="167">
        <v>2231</v>
      </c>
      <c r="E147" s="167">
        <v>2128</v>
      </c>
      <c r="F147" s="167">
        <v>104</v>
      </c>
      <c r="G147" s="175" t="s">
        <v>192</v>
      </c>
      <c r="H147" s="175" t="s">
        <v>626</v>
      </c>
      <c r="I147" s="176">
        <v>42244.98</v>
      </c>
      <c r="J147" s="914"/>
      <c r="K147" s="340"/>
      <c r="L147" s="848">
        <f>SUMIFS('EMPENHO '!J:J,'EMPENHO '!B:B,Tabela96[[#This Row],[PROGRAMA]],'EMPENHO '!C:C,Tabela96[[#This Row],[FICHA]],'EMPENHO '!D:D,Tabela96[[#This Row],[AÇÃO]],'EMPENHO '!E:E,Tabela96[[#This Row],[PROJETO]],'EMPENHO '!F:F,Tabela96[[#This Row],[RESERVA]])</f>
        <v>0</v>
      </c>
      <c r="M147" s="849">
        <f>Tabela96[[#This Row],[VALOR]]+Tabela96[[#This Row],[COMPLEMENTO]]-Tabela96[[#This Row],[DESBLOQUEIO]]-Tabela96[[#This Row],[VALOR
 EMPENHO]]-Tabela96[[#This Row],[SALDO 
CANCELADO]]</f>
        <v>0</v>
      </c>
      <c r="N147" s="849">
        <v>42244.98</v>
      </c>
    </row>
    <row r="148" spans="1:16" hidden="1">
      <c r="A148" s="54">
        <v>45912</v>
      </c>
      <c r="B148" s="167">
        <v>11636</v>
      </c>
      <c r="C148" s="167">
        <v>32</v>
      </c>
      <c r="D148" s="167">
        <v>2226</v>
      </c>
      <c r="E148" s="167">
        <v>2128</v>
      </c>
      <c r="F148" s="167">
        <v>84</v>
      </c>
      <c r="G148" s="175" t="s">
        <v>186</v>
      </c>
      <c r="H148" s="175" t="s">
        <v>636</v>
      </c>
      <c r="I148" s="176">
        <v>57676.66</v>
      </c>
      <c r="J148" s="803">
        <v>7610.15</v>
      </c>
      <c r="K148" s="340"/>
      <c r="L148" s="199">
        <f>SUMIFS('EMPENHO '!J:J,'EMPENHO '!B:B,Tabela96[[#This Row],[PROGRAMA]],'EMPENHO '!C:C,Tabela96[[#This Row],[FICHA]],'EMPENHO '!D:D,Tabela96[[#This Row],[AÇÃO]],'EMPENHO '!E:E,Tabela96[[#This Row],[PROJETO]],'EMPENHO '!F:F,Tabela96[[#This Row],[RESERVA]])</f>
        <v>0</v>
      </c>
      <c r="M148" s="870">
        <f>Tabela96[[#This Row],[VALOR]]+Tabela96[[#This Row],[COMPLEMENTO]]-Tabela96[[#This Row],[DESBLOQUEIO]]-Tabela96[[#This Row],[VALOR
 EMPENHO]]-Tabela96[[#This Row],[SALDO 
CANCELADO]]</f>
        <v>0</v>
      </c>
      <c r="N148" s="440">
        <v>65286.81</v>
      </c>
    </row>
    <row r="149" spans="1:16" hidden="1">
      <c r="A149" s="54">
        <v>45912</v>
      </c>
      <c r="B149" s="167">
        <v>11637</v>
      </c>
      <c r="C149" s="167">
        <v>32</v>
      </c>
      <c r="D149" s="167">
        <v>2229</v>
      </c>
      <c r="E149" s="167">
        <v>2128</v>
      </c>
      <c r="F149" s="167">
        <v>44</v>
      </c>
      <c r="G149" s="175" t="s">
        <v>176</v>
      </c>
      <c r="H149" s="175" t="s">
        <v>635</v>
      </c>
      <c r="I149" s="176">
        <v>2686.67</v>
      </c>
      <c r="J149" s="498">
        <v>0.16</v>
      </c>
      <c r="K149" s="990">
        <v>2686.83</v>
      </c>
      <c r="L149" s="199">
        <f>SUMIFS('EMPENHO '!J:J,'EMPENHO '!B:B,Tabela96[[#This Row],[PROGRAMA]],'EMPENHO '!C:C,Tabela96[[#This Row],[FICHA]],'EMPENHO '!D:D,Tabela96[[#This Row],[AÇÃO]],'EMPENHO '!E:E,Tabela96[[#This Row],[PROJETO]],'EMPENHO '!F:F,Tabela96[[#This Row],[RESERVA]])</f>
        <v>0</v>
      </c>
      <c r="M149" s="200">
        <f>Tabela96[[#This Row],[VALOR]]+Tabela96[[#This Row],[COMPLEMENTO]]-Tabela96[[#This Row],[DESBLOQUEIO]]-Tabela96[[#This Row],[VALOR
 EMPENHO]]-Tabela96[[#This Row],[SALDO 
CANCELADO]]</f>
        <v>0</v>
      </c>
      <c r="N149" s="200"/>
    </row>
    <row r="150" spans="1:16" hidden="1">
      <c r="A150" s="54">
        <v>45912</v>
      </c>
      <c r="B150" s="167">
        <v>11638</v>
      </c>
      <c r="C150" s="167">
        <v>32</v>
      </c>
      <c r="D150" s="167">
        <v>2231</v>
      </c>
      <c r="E150" s="167">
        <v>2128</v>
      </c>
      <c r="F150" s="167">
        <v>104</v>
      </c>
      <c r="G150" s="175" t="s">
        <v>192</v>
      </c>
      <c r="H150" s="175" t="s">
        <v>634</v>
      </c>
      <c r="I150" s="176">
        <v>174862.62</v>
      </c>
      <c r="J150" s="472"/>
      <c r="K150" s="340"/>
      <c r="L150" s="199">
        <f>SUMIFS('EMPENHO '!J:J,'EMPENHO '!B:B,Tabela96[[#This Row],[PROGRAMA]],'EMPENHO '!C:C,Tabela96[[#This Row],[FICHA]],'EMPENHO '!D:D,Tabela96[[#This Row],[AÇÃO]],'EMPENHO '!E:E,Tabela96[[#This Row],[PROJETO]],'EMPENHO '!F:F,Tabela96[[#This Row],[RESERVA]])</f>
        <v>0</v>
      </c>
      <c r="M150" s="440">
        <f>Tabela96[[#This Row],[VALOR]]+Tabela96[[#This Row],[COMPLEMENTO]]-Tabela96[[#This Row],[DESBLOQUEIO]]-Tabela96[[#This Row],[VALOR
 EMPENHO]]-Tabela96[[#This Row],[SALDO 
CANCELADO]]</f>
        <v>0</v>
      </c>
      <c r="N150" s="440">
        <v>174862.62</v>
      </c>
    </row>
    <row r="151" spans="1:16" hidden="1">
      <c r="A151" s="54">
        <v>45917</v>
      </c>
      <c r="B151" s="167">
        <v>11791</v>
      </c>
      <c r="C151" s="167">
        <v>32</v>
      </c>
      <c r="D151" s="167">
        <v>2229</v>
      </c>
      <c r="E151" s="167">
        <v>2128</v>
      </c>
      <c r="F151" s="167">
        <v>104</v>
      </c>
      <c r="G151" s="175" t="s">
        <v>176</v>
      </c>
      <c r="H151" s="175" t="s">
        <v>633</v>
      </c>
      <c r="I151" s="176">
        <v>1128.5999999999999</v>
      </c>
      <c r="J151" s="472"/>
      <c r="K151" s="340"/>
      <c r="L151" s="199">
        <f>SUMIFS('EMPENHO '!J:J,'EMPENHO '!B:B,Tabela96[[#This Row],[PROGRAMA]],'EMPENHO '!C:C,Tabela96[[#This Row],[FICHA]],'EMPENHO '!D:D,Tabela96[[#This Row],[AÇÃO]],'EMPENHO '!E:E,Tabela96[[#This Row],[PROJETO]],'EMPENHO '!F:F,Tabela96[[#This Row],[RESERVA]])</f>
        <v>1128.5999999999999</v>
      </c>
      <c r="M151" s="440"/>
      <c r="N151" s="440"/>
    </row>
    <row r="152" spans="1:16" hidden="1">
      <c r="A152" s="833">
        <v>45917</v>
      </c>
      <c r="B152" s="167">
        <v>11790</v>
      </c>
      <c r="C152" s="167">
        <v>30</v>
      </c>
      <c r="D152" s="167">
        <v>2253</v>
      </c>
      <c r="E152" s="167">
        <v>2124</v>
      </c>
      <c r="F152" s="167">
        <v>25</v>
      </c>
      <c r="G152" s="175" t="s">
        <v>169</v>
      </c>
      <c r="H152" s="175" t="s">
        <v>465</v>
      </c>
      <c r="I152" s="176">
        <v>4618.34</v>
      </c>
      <c r="J152" s="472"/>
      <c r="K152" s="340"/>
      <c r="L152" s="199">
        <f>SUMIFS('EMPENHO '!J:J,'EMPENHO '!B:B,Tabela96[[#This Row],[PROGRAMA]],'EMPENHO '!C:C,Tabela96[[#This Row],[FICHA]],'EMPENHO '!D:D,Tabela96[[#This Row],[AÇÃO]],'EMPENHO '!E:E,Tabela96[[#This Row],[PROJETO]],'EMPENHO '!F:F,Tabela96[[#This Row],[RESERVA]])</f>
        <v>4618.34</v>
      </c>
      <c r="M152" s="440">
        <f>Tabela96[[#This Row],[VALOR]]+Tabela96[[#This Row],[COMPLEMENTO]]-Tabela96[[#This Row],[DESBLOQUEIO]]-Tabela96[[#This Row],[VALOR
 EMPENHO]]-Tabela96[[#This Row],[SALDO 
CANCELADO]]</f>
        <v>0</v>
      </c>
      <c r="N152" s="440"/>
    </row>
    <row r="153" spans="1:16" hidden="1">
      <c r="A153" s="201">
        <v>45918</v>
      </c>
      <c r="B153" s="167">
        <v>11837</v>
      </c>
      <c r="C153" s="167">
        <v>32</v>
      </c>
      <c r="D153" s="167">
        <v>2229</v>
      </c>
      <c r="E153" s="167">
        <v>2128</v>
      </c>
      <c r="F153" s="167">
        <v>237</v>
      </c>
      <c r="G153" s="504" t="s">
        <v>176</v>
      </c>
      <c r="H153" s="505" t="s">
        <v>644</v>
      </c>
      <c r="I153" s="176">
        <v>800000</v>
      </c>
      <c r="J153" s="498"/>
      <c r="K153" s="499">
        <v>800000</v>
      </c>
      <c r="L153" s="199">
        <f>SUMIFS('EMPENHO '!J:J,'EMPENHO '!B:B,Tabela96[[#This Row],[PROGRAMA]],'EMPENHO '!C:C,Tabela96[[#This Row],[FICHA]],'EMPENHO '!D:D,Tabela96[[#This Row],[AÇÃO]],'EMPENHO '!E:E,Tabela96[[#This Row],[PROJETO]],'EMPENHO '!F:F,Tabela96[[#This Row],[RESERVA]])</f>
        <v>0</v>
      </c>
      <c r="M153" s="440">
        <f>Tabela96[[#This Row],[VALOR]]+Tabela96[[#This Row],[COMPLEMENTO]]-Tabela96[[#This Row],[DESBLOQUEIO]]-Tabela96[[#This Row],[VALOR
 EMPENHO]]-Tabela96[[#This Row],[SALDO 
CANCELADO]]</f>
        <v>0</v>
      </c>
      <c r="N153" s="440"/>
    </row>
    <row r="154" spans="1:16" hidden="1">
      <c r="A154" s="201">
        <v>45918</v>
      </c>
      <c r="B154" s="167">
        <v>11838</v>
      </c>
      <c r="C154" s="167">
        <v>32</v>
      </c>
      <c r="D154" s="167">
        <v>2226</v>
      </c>
      <c r="E154" s="167">
        <v>2128</v>
      </c>
      <c r="F154" s="167">
        <v>84</v>
      </c>
      <c r="G154" s="504" t="s">
        <v>186</v>
      </c>
      <c r="H154" s="505" t="s">
        <v>643</v>
      </c>
      <c r="I154" s="176">
        <v>28000</v>
      </c>
      <c r="J154" s="498"/>
      <c r="K154" s="499"/>
      <c r="L154" s="199">
        <f>SUMIFS('EMPENHO '!J:J,'EMPENHO '!B:B,Tabela96[[#This Row],[PROGRAMA]],'EMPENHO '!C:C,Tabela96[[#This Row],[FICHA]],'EMPENHO '!D:D,Tabela96[[#This Row],[AÇÃO]],'EMPENHO '!E:E,Tabela96[[#This Row],[PROJETO]],'EMPENHO '!F:F,Tabela96[[#This Row],[RESERVA]])</f>
        <v>28000</v>
      </c>
      <c r="M154" s="440">
        <f>Tabela96[[#This Row],[VALOR]]+Tabela96[[#This Row],[COMPLEMENTO]]-Tabela96[[#This Row],[DESBLOQUEIO]]-Tabela96[[#This Row],[VALOR
 EMPENHO]]-Tabela96[[#This Row],[SALDO 
CANCELADO]]</f>
        <v>0</v>
      </c>
      <c r="N154" s="440"/>
    </row>
    <row r="155" spans="1:16" hidden="1">
      <c r="A155" s="201">
        <v>45918</v>
      </c>
      <c r="B155" s="167">
        <v>11840</v>
      </c>
      <c r="C155" s="167">
        <v>32</v>
      </c>
      <c r="D155" s="167">
        <v>2229</v>
      </c>
      <c r="E155" s="167">
        <v>2128</v>
      </c>
      <c r="F155" s="167">
        <v>242</v>
      </c>
      <c r="G155" s="504" t="s">
        <v>176</v>
      </c>
      <c r="H155" s="505" t="s">
        <v>646</v>
      </c>
      <c r="I155" s="176">
        <v>400000</v>
      </c>
      <c r="J155" s="498"/>
      <c r="K155" s="499">
        <v>400000</v>
      </c>
      <c r="L155" s="199">
        <f>SUMIFS('EMPENHO '!J:J,'EMPENHO '!B:B,Tabela96[[#This Row],[PROGRAMA]],'EMPENHO '!C:C,Tabela96[[#This Row],[FICHA]],'EMPENHO '!D:D,Tabela96[[#This Row],[AÇÃO]],'EMPENHO '!E:E,Tabela96[[#This Row],[PROJETO]],'EMPENHO '!F:F,Tabela96[[#This Row],[RESERVA]])</f>
        <v>0</v>
      </c>
      <c r="M155" s="440">
        <f>Tabela96[[#This Row],[VALOR]]+Tabela96[[#This Row],[COMPLEMENTO]]-Tabela96[[#This Row],[DESBLOQUEIO]]-Tabela96[[#This Row],[VALOR
 EMPENHO]]-Tabela96[[#This Row],[SALDO 
CANCELADO]]</f>
        <v>0</v>
      </c>
      <c r="N155" s="440"/>
    </row>
    <row r="156" spans="1:16">
      <c r="A156" s="201"/>
      <c r="B156" s="167">
        <v>13375</v>
      </c>
      <c r="C156" s="167">
        <v>79</v>
      </c>
      <c r="D156" s="167">
        <v>3010</v>
      </c>
      <c r="E156" s="167">
        <v>2225</v>
      </c>
      <c r="F156" s="167">
        <v>681</v>
      </c>
      <c r="G156" s="175" t="s">
        <v>262</v>
      </c>
      <c r="H156" s="992"/>
      <c r="I156" s="188">
        <v>8000</v>
      </c>
      <c r="J156" s="188"/>
      <c r="K156" s="189"/>
      <c r="L156" s="199">
        <f>SUMIFS('EMPENHO '!J:J,'EMPENHO '!B:B,Tabela96[[#This Row],[PROGRAMA]],'EMPENHO '!C:C,Tabela96[[#This Row],[FICHA]],'EMPENHO '!D:D,Tabela96[[#This Row],[AÇÃO]],'EMPENHO '!E:E,Tabela96[[#This Row],[PROJETO]],'EMPENHO '!F:F,Tabela96[[#This Row],[RESERVA]])</f>
        <v>0</v>
      </c>
      <c r="M156" s="859">
        <f>Tabela96[[#This Row],[VALOR]]+Tabela96[[#This Row],[COMPLEMENTO]]-Tabela96[[#This Row],[DESBLOQUEIO]]-Tabela96[[#This Row],[VALOR
 EMPENHO]]-Tabela96[[#This Row],[SALDO 
CANCELADO]]</f>
        <v>8000</v>
      </c>
      <c r="N156" s="188"/>
      <c r="P156" s="10"/>
    </row>
    <row r="157" spans="1:16">
      <c r="A157" s="201"/>
      <c r="B157" s="167">
        <v>15121</v>
      </c>
      <c r="C157" s="167">
        <v>79</v>
      </c>
      <c r="D157" s="167">
        <v>3010</v>
      </c>
      <c r="E157" s="167">
        <v>2225</v>
      </c>
      <c r="F157" s="167">
        <v>681</v>
      </c>
      <c r="G157" s="504" t="s">
        <v>262</v>
      </c>
      <c r="H157" s="992"/>
      <c r="I157" s="188">
        <v>12000</v>
      </c>
      <c r="J157" s="188"/>
      <c r="K157" s="189"/>
      <c r="L157" s="199">
        <f>SUMIFS('EMPENHO '!J:J,'EMPENHO '!B:B,Tabela96[[#This Row],[PROGRAMA]],'EMPENHO '!C:C,Tabela96[[#This Row],[FICHA]],'EMPENHO '!D:D,Tabela96[[#This Row],[AÇÃO]],'EMPENHO '!E:E,Tabela96[[#This Row],[PROJETO]],'EMPENHO '!F:F,Tabela96[[#This Row],[RESERVA]])</f>
        <v>12000</v>
      </c>
      <c r="M157" s="859">
        <f>Tabela96[[#This Row],[VALOR]]+Tabela96[[#This Row],[COMPLEMENTO]]-Tabela96[[#This Row],[DESBLOQUEIO]]-Tabela96[[#This Row],[VALOR
 EMPENHO]]-Tabela96[[#This Row],[SALDO 
CANCELADO]]</f>
        <v>0</v>
      </c>
      <c r="N157" s="188"/>
      <c r="P157" s="10"/>
    </row>
    <row r="158" spans="1:16">
      <c r="A158" s="201"/>
      <c r="B158" s="167">
        <v>14466</v>
      </c>
      <c r="C158" s="167">
        <v>79</v>
      </c>
      <c r="D158" s="167">
        <v>3010</v>
      </c>
      <c r="E158" s="167">
        <v>2225</v>
      </c>
      <c r="F158" s="167">
        <v>681</v>
      </c>
      <c r="G158" s="175" t="s">
        <v>262</v>
      </c>
      <c r="H158" s="992"/>
      <c r="I158" s="188">
        <v>4383.8999999999996</v>
      </c>
      <c r="J158" s="188"/>
      <c r="K158" s="189"/>
      <c r="L158" s="199">
        <f>SUMIFS('EMPENHO '!J:J,'EMPENHO '!B:B,Tabela96[[#This Row],[PROGRAMA]],'EMPENHO '!C:C,Tabela96[[#This Row],[FICHA]],'EMPENHO '!D:D,Tabela96[[#This Row],[AÇÃO]],'EMPENHO '!E:E,Tabela96[[#This Row],[PROJETO]],'EMPENHO '!F:F,Tabela96[[#This Row],[RESERVA]])</f>
        <v>0</v>
      </c>
      <c r="M158" s="859">
        <f>Tabela96[[#This Row],[VALOR]]+Tabela96[[#This Row],[COMPLEMENTO]]-Tabela96[[#This Row],[DESBLOQUEIO]]-Tabela96[[#This Row],[VALOR
 EMPENHO]]-Tabela96[[#This Row],[SALDO 
CANCELADO]]</f>
        <v>4383.8999999999996</v>
      </c>
      <c r="N158" s="188"/>
      <c r="P158" s="10"/>
    </row>
    <row r="159" spans="1:16">
      <c r="A159" s="201"/>
      <c r="B159" s="167">
        <v>14461</v>
      </c>
      <c r="C159" s="167">
        <v>79</v>
      </c>
      <c r="D159" s="167">
        <v>3010</v>
      </c>
      <c r="E159" s="167">
        <v>2225</v>
      </c>
      <c r="F159" s="167">
        <v>681</v>
      </c>
      <c r="G159" s="504" t="s">
        <v>262</v>
      </c>
      <c r="H159" s="992"/>
      <c r="I159" s="188">
        <v>15996</v>
      </c>
      <c r="J159" s="188"/>
      <c r="K159" s="189"/>
      <c r="L159" s="199">
        <f>SUMIFS('EMPENHO '!J:J,'EMPENHO '!B:B,Tabela96[[#This Row],[PROGRAMA]],'EMPENHO '!C:C,Tabela96[[#This Row],[FICHA]],'EMPENHO '!D:D,Tabela96[[#This Row],[AÇÃO]],'EMPENHO '!E:E,Tabela96[[#This Row],[PROJETO]],'EMPENHO '!F:F,Tabela96[[#This Row],[RESERVA]])</f>
        <v>0</v>
      </c>
      <c r="M159" s="859">
        <f>Tabela96[[#This Row],[VALOR]]+Tabela96[[#This Row],[COMPLEMENTO]]-Tabela96[[#This Row],[DESBLOQUEIO]]-Tabela96[[#This Row],[VALOR
 EMPENHO]]-Tabela96[[#This Row],[SALDO 
CANCELADO]]</f>
        <v>15996</v>
      </c>
      <c r="N159" s="188"/>
      <c r="P159" s="10"/>
    </row>
    <row r="160" spans="1:16">
      <c r="A160" s="201"/>
      <c r="B160" s="167">
        <v>13562</v>
      </c>
      <c r="C160" s="167">
        <v>79</v>
      </c>
      <c r="D160" s="167">
        <v>3010</v>
      </c>
      <c r="E160" s="167">
        <v>2225</v>
      </c>
      <c r="F160" s="167">
        <v>681</v>
      </c>
      <c r="G160" s="175" t="s">
        <v>262</v>
      </c>
      <c r="H160" s="992"/>
      <c r="I160" s="188">
        <v>20315</v>
      </c>
      <c r="J160" s="188"/>
      <c r="K160" s="189"/>
      <c r="L160" s="199">
        <f>SUMIFS('EMPENHO '!J:J,'EMPENHO '!B:B,Tabela96[[#This Row],[PROGRAMA]],'EMPENHO '!C:C,Tabela96[[#This Row],[FICHA]],'EMPENHO '!D:D,Tabela96[[#This Row],[AÇÃO]],'EMPENHO '!E:E,Tabela96[[#This Row],[PROJETO]],'EMPENHO '!F:F,Tabela96[[#This Row],[RESERVA]])</f>
        <v>12845</v>
      </c>
      <c r="M160" s="859">
        <f>Tabela96[[#This Row],[VALOR]]+Tabela96[[#This Row],[COMPLEMENTO]]-Tabela96[[#This Row],[DESBLOQUEIO]]-Tabela96[[#This Row],[VALOR
 EMPENHO]]-Tabela96[[#This Row],[SALDO 
CANCELADO]]</f>
        <v>7470</v>
      </c>
      <c r="N160" s="188"/>
      <c r="P160" s="10"/>
    </row>
    <row r="161" spans="1:16">
      <c r="A161" s="201"/>
      <c r="B161" s="167">
        <v>13561</v>
      </c>
      <c r="C161" s="167">
        <v>79</v>
      </c>
      <c r="D161" s="167">
        <v>3010</v>
      </c>
      <c r="E161" s="167">
        <v>2225</v>
      </c>
      <c r="F161" s="167">
        <v>681</v>
      </c>
      <c r="G161" s="504" t="s">
        <v>262</v>
      </c>
      <c r="H161" s="992"/>
      <c r="I161" s="188">
        <v>1506.9</v>
      </c>
      <c r="J161" s="188"/>
      <c r="K161" s="189"/>
      <c r="L161" s="199">
        <f>SUMIFS('EMPENHO '!J:J,'EMPENHO '!B:B,Tabela96[[#This Row],[PROGRAMA]],'EMPENHO '!C:C,Tabela96[[#This Row],[FICHA]],'EMPENHO '!D:D,Tabela96[[#This Row],[AÇÃO]],'EMPENHO '!E:E,Tabela96[[#This Row],[PROJETO]],'EMPENHO '!F:F,Tabela96[[#This Row],[RESERVA]])</f>
        <v>0</v>
      </c>
      <c r="M161" s="859">
        <f>Tabela96[[#This Row],[VALOR]]+Tabela96[[#This Row],[COMPLEMENTO]]-Tabela96[[#This Row],[DESBLOQUEIO]]-Tabela96[[#This Row],[VALOR
 EMPENHO]]-Tabela96[[#This Row],[SALDO 
CANCELADO]]</f>
        <v>1506.9</v>
      </c>
      <c r="N161" s="188"/>
      <c r="P161" s="10"/>
    </row>
    <row r="162" spans="1:16">
      <c r="A162" s="201"/>
      <c r="B162" s="167">
        <v>13560</v>
      </c>
      <c r="C162" s="167">
        <v>79</v>
      </c>
      <c r="D162" s="167">
        <v>3010</v>
      </c>
      <c r="E162" s="167">
        <v>2225</v>
      </c>
      <c r="F162" s="167">
        <v>681</v>
      </c>
      <c r="G162" s="175" t="s">
        <v>262</v>
      </c>
      <c r="H162" s="992"/>
      <c r="I162" s="1009">
        <v>3076.3</v>
      </c>
      <c r="J162" s="188"/>
      <c r="K162" s="189"/>
      <c r="L162" s="199">
        <f>SUMIFS('EMPENHO '!J:J,'EMPENHO '!B:B,Tabela96[[#This Row],[PROGRAMA]],'EMPENHO '!C:C,Tabela96[[#This Row],[FICHA]],'EMPENHO '!D:D,Tabela96[[#This Row],[AÇÃO]],'EMPENHO '!E:E,Tabela96[[#This Row],[PROJETO]],'EMPENHO '!F:F,Tabela96[[#This Row],[RESERVA]])</f>
        <v>0</v>
      </c>
      <c r="M162" s="859">
        <f>Tabela96[[#This Row],[VALOR]]+Tabela96[[#This Row],[COMPLEMENTO]]-Tabela96[[#This Row],[DESBLOQUEIO]]-Tabela96[[#This Row],[VALOR
 EMPENHO]]-Tabela96[[#This Row],[SALDO 
CANCELADO]]</f>
        <v>3076.3</v>
      </c>
      <c r="N162" s="188"/>
      <c r="P162" s="10"/>
    </row>
    <row r="163" spans="1:16">
      <c r="A163" s="201"/>
      <c r="B163" s="167">
        <v>13258</v>
      </c>
      <c r="C163" s="167">
        <v>79</v>
      </c>
      <c r="D163" s="167">
        <v>3010</v>
      </c>
      <c r="E163" s="167">
        <v>2225</v>
      </c>
      <c r="F163" s="167">
        <v>681</v>
      </c>
      <c r="G163" s="504" t="s">
        <v>262</v>
      </c>
      <c r="H163" s="992"/>
      <c r="I163" s="188">
        <v>4560</v>
      </c>
      <c r="J163" s="188"/>
      <c r="K163" s="189"/>
      <c r="L163" s="199">
        <f>SUMIFS('EMPENHO '!J:J,'EMPENHO '!B:B,Tabela96[[#This Row],[PROGRAMA]],'EMPENHO '!C:C,Tabela96[[#This Row],[FICHA]],'EMPENHO '!D:D,Tabela96[[#This Row],[AÇÃO]],'EMPENHO '!E:E,Tabela96[[#This Row],[PROJETO]],'EMPENHO '!F:F,Tabela96[[#This Row],[RESERVA]])</f>
        <v>4560</v>
      </c>
      <c r="M163" s="859">
        <f>Tabela96[[#This Row],[VALOR]]+Tabela96[[#This Row],[COMPLEMENTO]]-Tabela96[[#This Row],[DESBLOQUEIO]]-Tabela96[[#This Row],[VALOR
 EMPENHO]]-Tabela96[[#This Row],[SALDO 
CANCELADO]]</f>
        <v>0</v>
      </c>
      <c r="N163" s="188"/>
      <c r="P163" s="10"/>
    </row>
    <row r="164" spans="1:16">
      <c r="A164" s="201"/>
      <c r="B164" s="167">
        <v>13357</v>
      </c>
      <c r="C164" s="167">
        <v>79</v>
      </c>
      <c r="D164" s="167">
        <v>3732</v>
      </c>
      <c r="E164" s="167">
        <v>2225</v>
      </c>
      <c r="F164" s="167">
        <v>681</v>
      </c>
      <c r="G164" s="175" t="s">
        <v>783</v>
      </c>
      <c r="H164" s="992"/>
      <c r="I164" s="188">
        <v>6000</v>
      </c>
      <c r="J164" s="188"/>
      <c r="K164" s="189"/>
      <c r="L164" s="199">
        <f>SUMIFS('EMPENHO '!J:J,'EMPENHO '!B:B,Tabela96[[#This Row],[PROGRAMA]],'EMPENHO '!C:C,Tabela96[[#This Row],[FICHA]],'EMPENHO '!D:D,Tabela96[[#This Row],[AÇÃO]],'EMPENHO '!E:E,Tabela96[[#This Row],[PROJETO]],'EMPENHO '!F:F,Tabela96[[#This Row],[RESERVA]])</f>
        <v>0</v>
      </c>
      <c r="M164" s="859">
        <f>Tabela96[[#This Row],[VALOR]]+Tabela96[[#This Row],[COMPLEMENTO]]-Tabela96[[#This Row],[DESBLOQUEIO]]-Tabela96[[#This Row],[VALOR
 EMPENHO]]-Tabela96[[#This Row],[SALDO 
CANCELADO]]</f>
        <v>6000</v>
      </c>
      <c r="N164" s="188"/>
      <c r="P164" s="10"/>
    </row>
    <row r="165" spans="1:16">
      <c r="A165" s="201"/>
      <c r="B165" s="167">
        <v>15287</v>
      </c>
      <c r="C165" s="167">
        <v>79</v>
      </c>
      <c r="D165" s="167">
        <v>3731</v>
      </c>
      <c r="E165" s="167">
        <v>2225</v>
      </c>
      <c r="F165" s="167">
        <v>681</v>
      </c>
      <c r="G165" s="504" t="s">
        <v>677</v>
      </c>
      <c r="H165" s="992"/>
      <c r="I165" s="188">
        <v>9450</v>
      </c>
      <c r="J165" s="188"/>
      <c r="K165" s="189"/>
      <c r="L165" s="199">
        <f>SUMIFS('EMPENHO '!J:J,'EMPENHO '!B:B,Tabela96[[#This Row],[PROGRAMA]],'EMPENHO '!C:C,Tabela96[[#This Row],[FICHA]],'EMPENHO '!D:D,Tabela96[[#This Row],[AÇÃO]],'EMPENHO '!E:E,Tabela96[[#This Row],[PROJETO]],'EMPENHO '!F:F,Tabela96[[#This Row],[RESERVA]])</f>
        <v>9450</v>
      </c>
      <c r="M165" s="859">
        <f>Tabela96[[#This Row],[VALOR]]+Tabela96[[#This Row],[COMPLEMENTO]]-Tabela96[[#This Row],[DESBLOQUEIO]]-Tabela96[[#This Row],[VALOR
 EMPENHO]]-Tabela96[[#This Row],[SALDO 
CANCELADO]]</f>
        <v>0</v>
      </c>
      <c r="N165" s="188"/>
      <c r="P165" s="10"/>
    </row>
    <row r="166" spans="1:16">
      <c r="A166" s="201"/>
      <c r="B166" s="167">
        <v>15288</v>
      </c>
      <c r="C166" s="167">
        <v>79</v>
      </c>
      <c r="D166" s="167">
        <v>3732</v>
      </c>
      <c r="E166" s="167">
        <v>2225</v>
      </c>
      <c r="F166" s="167">
        <v>681</v>
      </c>
      <c r="G166" s="175" t="s">
        <v>783</v>
      </c>
      <c r="H166" s="1006"/>
      <c r="I166" s="188">
        <v>400</v>
      </c>
      <c r="J166" s="188"/>
      <c r="K166" s="189"/>
      <c r="L166" s="199">
        <f>SUMIFS('EMPENHO '!J:J,'EMPENHO '!B:B,Tabela96[[#This Row],[PROGRAMA]],'EMPENHO '!C:C,Tabela96[[#This Row],[FICHA]],'EMPENHO '!D:D,Tabela96[[#This Row],[AÇÃO]],'EMPENHO '!E:E,Tabela96[[#This Row],[PROJETO]],'EMPENHO '!F:F,Tabela96[[#This Row],[RESERVA]])</f>
        <v>400</v>
      </c>
      <c r="M166" s="859">
        <f>Tabela96[[#This Row],[VALOR]]+Tabela96[[#This Row],[COMPLEMENTO]]-Tabela96[[#This Row],[DESBLOQUEIO]]-Tabela96[[#This Row],[VALOR
 EMPENHO]]-Tabela96[[#This Row],[SALDO 
CANCELADO]]</f>
        <v>0</v>
      </c>
      <c r="N166" s="188"/>
      <c r="P166" s="10"/>
    </row>
    <row r="167" spans="1:16">
      <c r="A167" s="201">
        <v>45923</v>
      </c>
      <c r="B167" s="167">
        <v>13232</v>
      </c>
      <c r="C167" s="167">
        <v>79</v>
      </c>
      <c r="D167" s="167">
        <v>3731</v>
      </c>
      <c r="E167" s="167">
        <v>2225</v>
      </c>
      <c r="F167" s="167">
        <v>681</v>
      </c>
      <c r="G167" s="504" t="s">
        <v>677</v>
      </c>
      <c r="H167" s="992"/>
      <c r="I167" s="176">
        <v>206150</v>
      </c>
      <c r="J167" s="188"/>
      <c r="K167" s="189"/>
      <c r="L167" s="199">
        <f>SUMIFS('EMPENHO '!J:J,'EMPENHO '!B:B,Tabela96[[#This Row],[PROGRAMA]],'EMPENHO '!C:C,Tabela96[[#This Row],[FICHA]],'EMPENHO '!D:D,Tabela96[[#This Row],[AÇÃO]],'EMPENHO '!E:E,Tabela96[[#This Row],[PROJETO]],'EMPENHO '!F:F,Tabela96[[#This Row],[RESERVA]])</f>
        <v>255750</v>
      </c>
      <c r="M167" s="859">
        <f>Tabela96[[#This Row],[VALOR]]+Tabela96[[#This Row],[COMPLEMENTO]]-Tabela96[[#This Row],[DESBLOQUEIO]]-Tabela96[[#This Row],[VALOR
 EMPENHO]]-Tabela96[[#This Row],[SALDO 
CANCELADO]]</f>
        <v>-49600</v>
      </c>
      <c r="N167" s="188"/>
      <c r="P167" s="10"/>
    </row>
    <row r="168" spans="1:16">
      <c r="A168" s="201">
        <v>45923</v>
      </c>
      <c r="B168" s="167">
        <v>11997</v>
      </c>
      <c r="C168" s="167">
        <v>79</v>
      </c>
      <c r="D168" s="167">
        <v>3731</v>
      </c>
      <c r="E168" s="167">
        <v>2225</v>
      </c>
      <c r="F168" s="167">
        <v>681</v>
      </c>
      <c r="G168" s="504" t="s">
        <v>677</v>
      </c>
      <c r="H168" s="505" t="s">
        <v>680</v>
      </c>
      <c r="I168" s="176">
        <v>142884.96</v>
      </c>
      <c r="J168" s="188"/>
      <c r="K168" s="189"/>
      <c r="L168" s="199">
        <f>SUMIFS('EMPENHO '!J:J,'EMPENHO '!B:B,Tabela96[[#This Row],[PROGRAMA]],'EMPENHO '!C:C,Tabela96[[#This Row],[FICHA]],'EMPENHO '!D:D,Tabela96[[#This Row],[AÇÃO]],'EMPENHO '!E:E,Tabela96[[#This Row],[PROJETO]],'EMPENHO '!F:F,Tabela96[[#This Row],[RESERVA]])</f>
        <v>142884.96</v>
      </c>
      <c r="M168" s="859">
        <f>Tabela96[[#This Row],[VALOR]]+Tabela96[[#This Row],[COMPLEMENTO]]-Tabela96[[#This Row],[DESBLOQUEIO]]-Tabela96[[#This Row],[VALOR
 EMPENHO]]-Tabela96[[#This Row],[SALDO 
CANCELADO]]</f>
        <v>0</v>
      </c>
      <c r="N168" s="188"/>
      <c r="P168" s="10"/>
    </row>
    <row r="169" spans="1:16">
      <c r="A169" s="201">
        <v>45924</v>
      </c>
      <c r="B169" s="167">
        <v>12023</v>
      </c>
      <c r="C169" s="167">
        <v>79</v>
      </c>
      <c r="D169" s="167">
        <v>3013</v>
      </c>
      <c r="E169" s="167">
        <v>2225</v>
      </c>
      <c r="F169" s="167">
        <v>681</v>
      </c>
      <c r="G169" s="175" t="s">
        <v>265</v>
      </c>
      <c r="H169" s="175" t="s">
        <v>679</v>
      </c>
      <c r="I169" s="176">
        <v>66546.48</v>
      </c>
      <c r="J169" s="188"/>
      <c r="K169" s="189"/>
      <c r="L169" s="199">
        <f>SUMIFS('EMPENHO '!J:J,'EMPENHO '!B:B,Tabela96[[#This Row],[PROGRAMA]],'EMPENHO '!C:C,Tabela96[[#This Row],[FICHA]],'EMPENHO '!D:D,Tabela96[[#This Row],[AÇÃO]],'EMPENHO '!E:E,Tabela96[[#This Row],[PROJETO]],'EMPENHO '!F:F,Tabela96[[#This Row],[RESERVA]])</f>
        <v>66546.48</v>
      </c>
      <c r="M169" s="859">
        <f>Tabela96[[#This Row],[VALOR]]+Tabela96[[#This Row],[COMPLEMENTO]]-Tabela96[[#This Row],[DESBLOQUEIO]]-Tabela96[[#This Row],[VALOR
 EMPENHO]]-Tabela96[[#This Row],[SALDO 
CANCELADO]]</f>
        <v>0</v>
      </c>
      <c r="N169" s="188"/>
      <c r="P169" s="10"/>
    </row>
    <row r="170" spans="1:16" hidden="1">
      <c r="A170" s="201">
        <v>45925</v>
      </c>
      <c r="B170" s="167">
        <v>12091</v>
      </c>
      <c r="C170" s="167">
        <v>32</v>
      </c>
      <c r="D170" s="167">
        <v>2268</v>
      </c>
      <c r="E170" s="167">
        <v>1032</v>
      </c>
      <c r="F170" s="167">
        <v>73</v>
      </c>
      <c r="G170" s="504" t="s">
        <v>178</v>
      </c>
      <c r="H170" s="505" t="s">
        <v>665</v>
      </c>
      <c r="I170" s="176">
        <v>176026.98</v>
      </c>
      <c r="J170" s="188"/>
      <c r="K170" s="176">
        <v>176026.98</v>
      </c>
      <c r="L170" s="199">
        <f>SUMIFS('EMPENHO '!J:J,'EMPENHO '!B:B,Tabela96[[#This Row],[PROGRAMA]],'EMPENHO '!C:C,Tabela96[[#This Row],[FICHA]],'EMPENHO '!D:D,Tabela96[[#This Row],[AÇÃO]],'EMPENHO '!E:E,Tabela96[[#This Row],[PROJETO]],'EMPENHO '!F:F,Tabela96[[#This Row],[RESERVA]])</f>
        <v>0</v>
      </c>
      <c r="M170" s="859">
        <f>Tabela96[[#This Row],[VALOR]]+Tabela96[[#This Row],[COMPLEMENTO]]-Tabela96[[#This Row],[DESBLOQUEIO]]-Tabela96[[#This Row],[VALOR
 EMPENHO]]-Tabela96[[#This Row],[SALDO 
CANCELADO]]</f>
        <v>0</v>
      </c>
      <c r="N170" s="188"/>
    </row>
    <row r="171" spans="1:16">
      <c r="A171" s="201">
        <v>45945</v>
      </c>
      <c r="B171" s="167">
        <v>13058</v>
      </c>
      <c r="C171" s="167">
        <v>79</v>
      </c>
      <c r="D171" s="167">
        <v>3014</v>
      </c>
      <c r="E171" s="167">
        <v>1063</v>
      </c>
      <c r="F171" s="167">
        <v>681</v>
      </c>
      <c r="G171" s="504" t="s">
        <v>266</v>
      </c>
      <c r="H171" s="992" t="s">
        <v>780</v>
      </c>
      <c r="I171" s="188">
        <v>512044.35</v>
      </c>
      <c r="J171" s="188"/>
      <c r="K171" s="189"/>
      <c r="L171" s="199">
        <f>SUMIFS('EMPENHO '!J:J,'EMPENHO '!B:B,Tabela96[[#This Row],[PROGRAMA]],'EMPENHO '!C:C,Tabela96[[#This Row],[FICHA]],'EMPENHO '!D:D,Tabela96[[#This Row],[AÇÃO]],'EMPENHO '!E:E,Tabela96[[#This Row],[PROJETO]],'EMPENHO '!F:F,Tabela96[[#This Row],[RESERVA]])</f>
        <v>512044.35</v>
      </c>
      <c r="M171" s="859">
        <f>Tabela96[[#This Row],[VALOR]]+Tabela96[[#This Row],[COMPLEMENTO]]-Tabela96[[#This Row],[DESBLOQUEIO]]-Tabela96[[#This Row],[VALOR
 EMPENHO]]-Tabela96[[#This Row],[SALDO 
CANCELADO]]</f>
        <v>0</v>
      </c>
      <c r="N171" s="188"/>
      <c r="P171" s="10"/>
    </row>
    <row r="172" spans="1:16">
      <c r="A172" s="201">
        <v>45945</v>
      </c>
      <c r="B172" s="167">
        <v>13057</v>
      </c>
      <c r="C172" s="167">
        <v>79</v>
      </c>
      <c r="D172" s="167">
        <v>3014</v>
      </c>
      <c r="E172" s="167">
        <v>1063</v>
      </c>
      <c r="F172" s="167">
        <v>681</v>
      </c>
      <c r="G172" s="175" t="s">
        <v>266</v>
      </c>
      <c r="H172" s="175" t="s">
        <v>780</v>
      </c>
      <c r="I172" s="176">
        <v>393499.33</v>
      </c>
      <c r="J172" s="188"/>
      <c r="K172" s="189"/>
      <c r="L172" s="199">
        <f>SUMIFS('EMPENHO '!J:J,'EMPENHO '!B:B,Tabela96[[#This Row],[PROGRAMA]],'EMPENHO '!C:C,Tabela96[[#This Row],[FICHA]],'EMPENHO '!D:D,Tabela96[[#This Row],[AÇÃO]],'EMPENHO '!E:E,Tabela96[[#This Row],[PROJETO]],'EMPENHO '!F:F,Tabela96[[#This Row],[RESERVA]])</f>
        <v>393499.33</v>
      </c>
      <c r="M172" s="859">
        <f>Tabela96[[#This Row],[VALOR]]+Tabela96[[#This Row],[COMPLEMENTO]]-Tabela96[[#This Row],[DESBLOQUEIO]]-Tabela96[[#This Row],[VALOR
 EMPENHO]]-Tabela96[[#This Row],[SALDO 
CANCELADO]]</f>
        <v>0</v>
      </c>
      <c r="N172" s="188"/>
      <c r="P172" s="10"/>
    </row>
    <row r="173" spans="1:16">
      <c r="A173" s="201">
        <v>45973</v>
      </c>
      <c r="B173" s="167">
        <v>13778</v>
      </c>
      <c r="C173" s="167">
        <v>79</v>
      </c>
      <c r="D173" s="167">
        <v>3732</v>
      </c>
      <c r="E173" s="167">
        <v>2225</v>
      </c>
      <c r="F173" s="167">
        <v>681</v>
      </c>
      <c r="G173" s="504" t="s">
        <v>783</v>
      </c>
      <c r="H173" s="992" t="s">
        <v>784</v>
      </c>
      <c r="I173" s="176">
        <v>31000</v>
      </c>
      <c r="J173" s="188"/>
      <c r="K173" s="189"/>
      <c r="L173" s="199">
        <f>SUMIFS('EMPENHO '!J:J,'EMPENHO '!B:B,Tabela96[[#This Row],[PROGRAMA]],'EMPENHO '!C:C,Tabela96[[#This Row],[FICHA]],'EMPENHO '!D:D,Tabela96[[#This Row],[AÇÃO]],'EMPENHO '!E:E,Tabela96[[#This Row],[PROJETO]],'EMPENHO '!F:F,Tabela96[[#This Row],[RESERVA]])</f>
        <v>0</v>
      </c>
      <c r="M173" s="859">
        <f>Tabela96[[#This Row],[VALOR]]+Tabela96[[#This Row],[COMPLEMENTO]]-Tabela96[[#This Row],[DESBLOQUEIO]]-Tabela96[[#This Row],[VALOR
 EMPENHO]]-Tabela96[[#This Row],[SALDO 
CANCELADO]]</f>
        <v>31000</v>
      </c>
      <c r="N173" s="188"/>
      <c r="P173" s="10"/>
    </row>
    <row r="174" spans="1:16">
      <c r="A174" s="201">
        <v>45973</v>
      </c>
      <c r="B174" s="167">
        <v>13777</v>
      </c>
      <c r="C174" s="167">
        <v>79</v>
      </c>
      <c r="D174" s="167">
        <v>3732</v>
      </c>
      <c r="E174" s="167">
        <v>2225</v>
      </c>
      <c r="F174" s="167">
        <v>681</v>
      </c>
      <c r="G174" s="175" t="s">
        <v>783</v>
      </c>
      <c r="H174" s="175" t="s">
        <v>785</v>
      </c>
      <c r="I174" s="176">
        <v>293000</v>
      </c>
      <c r="J174" s="188"/>
      <c r="K174" s="189"/>
      <c r="L174" s="199">
        <f>SUMIFS('EMPENHO '!J:J,'EMPENHO '!B:B,Tabela96[[#This Row],[PROGRAMA]],'EMPENHO '!C:C,Tabela96[[#This Row],[FICHA]],'EMPENHO '!D:D,Tabela96[[#This Row],[AÇÃO]],'EMPENHO '!E:E,Tabela96[[#This Row],[PROJETO]],'EMPENHO '!F:F,Tabela96[[#This Row],[RESERVA]])</f>
        <v>0</v>
      </c>
      <c r="M174" s="859">
        <f>Tabela96[[#This Row],[VALOR]]+Tabela96[[#This Row],[COMPLEMENTO]]-Tabela96[[#This Row],[DESBLOQUEIO]]-Tabela96[[#This Row],[VALOR
 EMPENHO]]-Tabela96[[#This Row],[SALDO 
CANCELADO]]</f>
        <v>293000</v>
      </c>
      <c r="N174" s="188"/>
      <c r="P174" s="10"/>
    </row>
    <row r="175" spans="1:16">
      <c r="A175" s="201"/>
      <c r="B175" s="167">
        <v>13559</v>
      </c>
      <c r="C175" s="167">
        <v>79</v>
      </c>
      <c r="D175" s="167">
        <v>3732</v>
      </c>
      <c r="E175" s="167">
        <v>2225</v>
      </c>
      <c r="F175" s="167">
        <v>681</v>
      </c>
      <c r="G175" s="504" t="s">
        <v>783</v>
      </c>
      <c r="H175" s="992" t="s">
        <v>786</v>
      </c>
      <c r="I175" s="188">
        <v>3700</v>
      </c>
      <c r="J175" s="188"/>
      <c r="K175" s="189"/>
      <c r="L175" s="199">
        <f>SUMIFS('EMPENHO '!J:J,'EMPENHO '!B:B,Tabela96[[#This Row],[PROGRAMA]],'EMPENHO '!C:C,Tabela96[[#This Row],[FICHA]],'EMPENHO '!D:D,Tabela96[[#This Row],[AÇÃO]],'EMPENHO '!E:E,Tabela96[[#This Row],[PROJETO]],'EMPENHO '!F:F,Tabela96[[#This Row],[RESERVA]])</f>
        <v>3700</v>
      </c>
      <c r="M175" s="859">
        <f>Tabela96[[#This Row],[VALOR]]+Tabela96[[#This Row],[COMPLEMENTO]]-Tabela96[[#This Row],[DESBLOQUEIO]]-Tabela96[[#This Row],[VALOR
 EMPENHO]]-Tabela96[[#This Row],[SALDO 
CANCELADO]]</f>
        <v>0</v>
      </c>
      <c r="N175" s="188"/>
      <c r="P175" s="10"/>
    </row>
    <row r="176" spans="1:16">
      <c r="A176" s="201"/>
      <c r="B176" s="167">
        <v>13086</v>
      </c>
      <c r="C176" s="167">
        <v>79</v>
      </c>
      <c r="D176" s="167">
        <v>3732</v>
      </c>
      <c r="E176" s="167">
        <v>2225</v>
      </c>
      <c r="F176" s="167">
        <v>681</v>
      </c>
      <c r="G176" s="175" t="s">
        <v>783</v>
      </c>
      <c r="H176" s="175" t="s">
        <v>787</v>
      </c>
      <c r="I176" s="188">
        <v>29200</v>
      </c>
      <c r="J176" s="188"/>
      <c r="K176" s="189"/>
      <c r="L176" s="199">
        <f>SUMIFS('EMPENHO '!J:J,'EMPENHO '!B:B,Tabela96[[#This Row],[PROGRAMA]],'EMPENHO '!C:C,Tabela96[[#This Row],[FICHA]],'EMPENHO '!D:D,Tabela96[[#This Row],[AÇÃO]],'EMPENHO '!E:E,Tabela96[[#This Row],[PROJETO]],'EMPENHO '!F:F,Tabela96[[#This Row],[RESERVA]])</f>
        <v>29200</v>
      </c>
      <c r="M176" s="859">
        <f>Tabela96[[#This Row],[VALOR]]+Tabela96[[#This Row],[COMPLEMENTO]]-Tabela96[[#This Row],[DESBLOQUEIO]]-Tabela96[[#This Row],[VALOR
 EMPENHO]]-Tabela96[[#This Row],[SALDO 
CANCELADO]]</f>
        <v>0</v>
      </c>
      <c r="N176" s="188"/>
      <c r="P176" s="10"/>
    </row>
    <row r="177" spans="1:16">
      <c r="A177" s="201"/>
      <c r="B177" s="167">
        <v>12346</v>
      </c>
      <c r="C177" s="167">
        <v>79</v>
      </c>
      <c r="D177" s="167">
        <v>3013</v>
      </c>
      <c r="E177" s="167">
        <v>2225</v>
      </c>
      <c r="F177" s="167">
        <v>681</v>
      </c>
      <c r="G177" s="504" t="s">
        <v>783</v>
      </c>
      <c r="H177" s="992" t="s">
        <v>676</v>
      </c>
      <c r="I177" s="188">
        <v>61427.519999999997</v>
      </c>
      <c r="J177" s="188"/>
      <c r="K177" s="189"/>
      <c r="L177" s="199">
        <f>SUMIFS('EMPENHO '!J:J,'EMPENHO '!B:B,Tabela96[[#This Row],[PROGRAMA]],'EMPENHO '!C:C,Tabela96[[#This Row],[FICHA]],'EMPENHO '!D:D,Tabela96[[#This Row],[AÇÃO]],'EMPENHO '!E:E,Tabela96[[#This Row],[PROJETO]],'EMPENHO '!F:F,Tabela96[[#This Row],[RESERVA]])</f>
        <v>61427.519999999997</v>
      </c>
      <c r="M177" s="859">
        <f>Tabela96[[#This Row],[VALOR]]+Tabela96[[#This Row],[COMPLEMENTO]]-Tabela96[[#This Row],[DESBLOQUEIO]]-Tabela96[[#This Row],[VALOR
 EMPENHO]]-Tabela96[[#This Row],[SALDO 
CANCELADO]]</f>
        <v>0</v>
      </c>
      <c r="N177" s="188"/>
      <c r="P177" s="10"/>
    </row>
    <row r="178" spans="1:16">
      <c r="A178" s="201"/>
      <c r="B178" s="167">
        <v>13558</v>
      </c>
      <c r="C178" s="167">
        <v>79</v>
      </c>
      <c r="D178" s="167">
        <v>3731</v>
      </c>
      <c r="E178" s="167">
        <v>2225</v>
      </c>
      <c r="F178" s="167">
        <v>681</v>
      </c>
      <c r="G178" s="175" t="s">
        <v>677</v>
      </c>
      <c r="H178" s="175" t="s">
        <v>788</v>
      </c>
      <c r="I178" s="188">
        <v>32790</v>
      </c>
      <c r="J178" s="990"/>
      <c r="K178" s="189"/>
      <c r="L178" s="199">
        <f>SUMIFS('EMPENHO '!J:J,'EMPENHO '!B:B,Tabela96[[#This Row],[PROGRAMA]],'EMPENHO '!C:C,Tabela96[[#This Row],[FICHA]],'EMPENHO '!D:D,Tabela96[[#This Row],[AÇÃO]],'EMPENHO '!E:E,Tabela96[[#This Row],[PROJETO]],'EMPENHO '!F:F,Tabela96[[#This Row],[RESERVA]])</f>
        <v>32790</v>
      </c>
      <c r="M178" s="859">
        <f>Tabela96[[#This Row],[VALOR]]+Tabela96[[#This Row],[COMPLEMENTO]]-Tabela96[[#This Row],[DESBLOQUEIO]]-Tabela96[[#This Row],[VALOR
 EMPENHO]]-Tabela96[[#This Row],[SALDO 
CANCELADO]]</f>
        <v>0</v>
      </c>
      <c r="N178" s="188"/>
      <c r="P178" s="10"/>
    </row>
    <row r="179" spans="1:16">
      <c r="A179" s="201">
        <v>45663</v>
      </c>
      <c r="B179" s="167">
        <v>13539</v>
      </c>
      <c r="C179" s="167">
        <v>79</v>
      </c>
      <c r="D179" s="167">
        <v>3757</v>
      </c>
      <c r="E179" s="167">
        <v>1063</v>
      </c>
      <c r="F179" s="167">
        <v>681</v>
      </c>
      <c r="G179" s="504" t="s">
        <v>778</v>
      </c>
      <c r="H179" s="175" t="s">
        <v>781</v>
      </c>
      <c r="I179" s="188">
        <v>174138.89</v>
      </c>
      <c r="J179" s="990">
        <v>19348.77</v>
      </c>
      <c r="K179" s="189"/>
      <c r="L179" s="199">
        <f>SUMIFS('EMPENHO '!J:J,'EMPENHO '!B:B,Tabela96[[#This Row],[PROGRAMA]],'EMPENHO '!C:C,Tabela96[[#This Row],[FICHA]],'EMPENHO '!D:D,Tabela96[[#This Row],[AÇÃO]],'EMPENHO '!E:E,Tabela96[[#This Row],[PROJETO]],'EMPENHO '!F:F,Tabela96[[#This Row],[RESERVA]])</f>
        <v>174138.89</v>
      </c>
      <c r="M179" s="859">
        <f>Tabela96[[#This Row],[VALOR]]+Tabela96[[#This Row],[COMPLEMENTO]]-Tabela96[[#This Row],[DESBLOQUEIO]]-Tabela96[[#This Row],[VALOR
 EMPENHO]]-Tabela96[[#This Row],[SALDO 
CANCELADO]]</f>
        <v>19348.77</v>
      </c>
      <c r="N179" s="188"/>
      <c r="P179" s="10"/>
    </row>
    <row r="180" spans="1:16" ht="15.75" thickBot="1">
      <c r="A180" s="201">
        <v>45663</v>
      </c>
      <c r="B180" s="167">
        <v>13538</v>
      </c>
      <c r="C180" s="167">
        <v>79</v>
      </c>
      <c r="D180" s="167">
        <v>3757</v>
      </c>
      <c r="E180" s="167">
        <v>1063</v>
      </c>
      <c r="F180" s="167">
        <v>681</v>
      </c>
      <c r="G180" s="175" t="s">
        <v>778</v>
      </c>
      <c r="H180" s="175" t="s">
        <v>782</v>
      </c>
      <c r="I180" s="176">
        <v>213547.27</v>
      </c>
      <c r="J180" s="990">
        <v>23727.47</v>
      </c>
      <c r="K180" s="189"/>
      <c r="L180" s="199">
        <f>SUMIFS('EMPENHO '!J:J,'EMPENHO '!B:B,Tabela96[[#This Row],[PROGRAMA]],'EMPENHO '!C:C,Tabela96[[#This Row],[FICHA]],'EMPENHO '!D:D,Tabela96[[#This Row],[AÇÃO]],'EMPENHO '!E:E,Tabela96[[#This Row],[PROJETO]],'EMPENHO '!F:F,Tabela96[[#This Row],[RESERVA]])</f>
        <v>213547.27</v>
      </c>
      <c r="M180" s="859">
        <f>Tabela96[[#This Row],[VALOR]]+Tabela96[[#This Row],[COMPLEMENTO]]-Tabela96[[#This Row],[DESBLOQUEIO]]-Tabela96[[#This Row],[VALOR
 EMPENHO]]-Tabela96[[#This Row],[SALDO 
CANCELADO]]</f>
        <v>23727.47</v>
      </c>
      <c r="N180" s="188"/>
      <c r="P180" s="10"/>
    </row>
    <row r="181" spans="1:16" ht="15.75" thickBot="1">
      <c r="A181" s="201">
        <v>45925</v>
      </c>
      <c r="B181" s="167">
        <v>12090</v>
      </c>
      <c r="C181" s="167">
        <v>79</v>
      </c>
      <c r="D181" s="167">
        <v>3014</v>
      </c>
      <c r="E181" s="167">
        <v>1063</v>
      </c>
      <c r="F181" s="167">
        <v>681</v>
      </c>
      <c r="G181" s="175" t="s">
        <v>266</v>
      </c>
      <c r="H181" s="175" t="s">
        <v>678</v>
      </c>
      <c r="I181" s="188">
        <v>1059863.24</v>
      </c>
      <c r="J181" s="1004">
        <v>2812.19</v>
      </c>
      <c r="K181" s="1005"/>
      <c r="L181" s="199">
        <f>SUMIFS('EMPENHO '!J:J,'EMPENHO '!B:B,Tabela96[[#This Row],[PROGRAMA]],'EMPENHO '!C:C,Tabela96[[#This Row],[FICHA]],'EMPENHO '!D:D,Tabela96[[#This Row],[AÇÃO]],'EMPENHO '!E:E,Tabela96[[#This Row],[PROJETO]],'EMPENHO '!F:F,Tabela96[[#This Row],[RESERVA]])</f>
        <v>1062675.43</v>
      </c>
      <c r="M181" s="859">
        <f>Tabela96[[#This Row],[VALOR]]+Tabela96[[#This Row],[COMPLEMENTO]]-Tabela96[[#This Row],[DESBLOQUEIO]]-Tabela96[[#This Row],[VALOR
 EMPENHO]]-Tabela96[[#This Row],[SALDO 
CANCELADO]]</f>
        <v>0</v>
      </c>
      <c r="N181" s="188"/>
      <c r="P181" s="10"/>
    </row>
    <row r="182" spans="1:16" hidden="1">
      <c r="A182" s="201">
        <v>45930</v>
      </c>
      <c r="B182" s="167">
        <v>12330</v>
      </c>
      <c r="C182" s="167">
        <v>32</v>
      </c>
      <c r="D182" s="167">
        <v>2226</v>
      </c>
      <c r="E182" s="167">
        <v>2128</v>
      </c>
      <c r="F182" s="167">
        <v>84</v>
      </c>
      <c r="G182" s="504" t="s">
        <v>186</v>
      </c>
      <c r="H182" s="600" t="s">
        <v>649</v>
      </c>
      <c r="I182" s="176">
        <v>4455</v>
      </c>
      <c r="J182" s="855"/>
      <c r="K182" s="856"/>
      <c r="L182" s="857">
        <f>SUMIFS('EMPENHO '!J:J,'EMPENHO '!B:B,Tabela96[[#This Row],[PROGRAMA]],'EMPENHO '!C:C,Tabela96[[#This Row],[FICHA]],'EMPENHO '!D:D,Tabela96[[#This Row],[AÇÃO]],'EMPENHO '!E:E,Tabela96[[#This Row],[PROJETO]],'EMPENHO '!F:F,Tabela96[[#This Row],[RESERVA]])</f>
        <v>4455</v>
      </c>
      <c r="M182" s="858">
        <f>Tabela96[[#This Row],[VALOR]]+Tabela96[[#This Row],[COMPLEMENTO]]-Tabela96[[#This Row],[DESBLOQUEIO]]-Tabela96[[#This Row],[VALOR
 EMPENHO]]-Tabela96[[#This Row],[SALDO 
CANCELADO]]</f>
        <v>0</v>
      </c>
      <c r="N182" s="855"/>
      <c r="P182" s="10">
        <v>142884.96</v>
      </c>
    </row>
    <row r="183" spans="1:16" hidden="1">
      <c r="A183" s="201">
        <v>45930</v>
      </c>
      <c r="B183" s="167">
        <v>12329</v>
      </c>
      <c r="C183" s="167">
        <v>32</v>
      </c>
      <c r="D183" s="167">
        <v>2226</v>
      </c>
      <c r="E183" s="167">
        <v>2128</v>
      </c>
      <c r="F183" s="167">
        <v>84</v>
      </c>
      <c r="G183" s="640" t="s">
        <v>186</v>
      </c>
      <c r="H183" s="600" t="s">
        <v>650</v>
      </c>
      <c r="I183" s="176">
        <v>9673.2000000000007</v>
      </c>
      <c r="J183" s="855"/>
      <c r="K183" s="856"/>
      <c r="L183" s="857">
        <f>SUMIFS('EMPENHO '!J:J,'EMPENHO '!B:B,Tabela96[[#This Row],[PROGRAMA]],'EMPENHO '!C:C,Tabela96[[#This Row],[FICHA]],'EMPENHO '!D:D,Tabela96[[#This Row],[AÇÃO]],'EMPENHO '!E:E,Tabela96[[#This Row],[PROJETO]],'EMPENHO '!F:F,Tabela96[[#This Row],[RESERVA]])</f>
        <v>0</v>
      </c>
      <c r="M183" s="858">
        <f>Tabela96[[#This Row],[VALOR]]+Tabela96[[#This Row],[COMPLEMENTO]]-Tabela96[[#This Row],[DESBLOQUEIO]]-Tabela96[[#This Row],[VALOR
 EMPENHO]]-Tabela96[[#This Row],[SALDO 
CANCELADO]]</f>
        <v>0</v>
      </c>
      <c r="N183" s="855">
        <v>9673.2000000000007</v>
      </c>
      <c r="P183" s="10"/>
    </row>
    <row r="184" spans="1:16" hidden="1">
      <c r="A184" s="201">
        <v>45930</v>
      </c>
      <c r="B184" s="167">
        <v>12328</v>
      </c>
      <c r="C184" s="167">
        <v>32</v>
      </c>
      <c r="D184" s="167">
        <v>2229</v>
      </c>
      <c r="E184" s="167">
        <v>2128</v>
      </c>
      <c r="F184" s="167">
        <v>104</v>
      </c>
      <c r="G184" s="640" t="s">
        <v>176</v>
      </c>
      <c r="H184" s="600" t="s">
        <v>651</v>
      </c>
      <c r="I184" s="176">
        <v>673.13</v>
      </c>
      <c r="J184" s="855"/>
      <c r="K184" s="856">
        <v>673.13</v>
      </c>
      <c r="L184" s="857">
        <f>SUMIFS('EMPENHO '!J:J,'EMPENHO '!B:B,Tabela96[[#This Row],[PROGRAMA]],'EMPENHO '!C:C,Tabela96[[#This Row],[FICHA]],'EMPENHO '!D:D,Tabela96[[#This Row],[AÇÃO]],'EMPENHO '!E:E,Tabela96[[#This Row],[PROJETO]],'EMPENHO '!F:F,Tabela96[[#This Row],[RESERVA]])</f>
        <v>0</v>
      </c>
      <c r="M184" s="858">
        <f>Tabela96[[#This Row],[VALOR]]+Tabela96[[#This Row],[COMPLEMENTO]]-Tabela96[[#This Row],[DESBLOQUEIO]]-Tabela96[[#This Row],[VALOR
 EMPENHO]]-Tabela96[[#This Row],[SALDO 
CANCELADO]]</f>
        <v>0</v>
      </c>
      <c r="N184" s="855"/>
      <c r="P184" s="1007"/>
    </row>
    <row r="185" spans="1:16" hidden="1">
      <c r="A185" s="201">
        <v>45930</v>
      </c>
      <c r="B185" s="167">
        <v>12327</v>
      </c>
      <c r="C185" s="167">
        <v>32</v>
      </c>
      <c r="D185" s="167">
        <v>2231</v>
      </c>
      <c r="E185" s="167">
        <v>2128</v>
      </c>
      <c r="F185" s="167">
        <v>104</v>
      </c>
      <c r="G185" t="s">
        <v>192</v>
      </c>
      <c r="H185" s="600" t="s">
        <v>652</v>
      </c>
      <c r="I185" s="176">
        <v>6317.77</v>
      </c>
      <c r="J185" s="855"/>
      <c r="K185" s="856"/>
      <c r="L185" s="857">
        <f>SUMIFS('EMPENHO '!J:J,'EMPENHO '!B:B,Tabela96[[#This Row],[PROGRAMA]],'EMPENHO '!C:C,Tabela96[[#This Row],[FICHA]],'EMPENHO '!D:D,Tabela96[[#This Row],[AÇÃO]],'EMPENHO '!E:E,Tabela96[[#This Row],[PROJETO]],'EMPENHO '!F:F,Tabela96[[#This Row],[RESERVA]])</f>
        <v>0</v>
      </c>
      <c r="M185" s="858">
        <f>Tabela96[[#This Row],[VALOR]]+Tabela96[[#This Row],[COMPLEMENTO]]-Tabela96[[#This Row],[DESBLOQUEIO]]-Tabela96[[#This Row],[VALOR
 EMPENHO]]-Tabela96[[#This Row],[SALDO 
CANCELADO]]</f>
        <v>0</v>
      </c>
      <c r="N185" s="855">
        <v>6317.77</v>
      </c>
      <c r="P185" s="1007"/>
    </row>
    <row r="186" spans="1:16">
      <c r="A186" s="201"/>
      <c r="B186" s="167">
        <v>15062</v>
      </c>
      <c r="C186" s="167">
        <v>79</v>
      </c>
      <c r="D186" s="167">
        <v>3785</v>
      </c>
      <c r="E186" s="167">
        <v>2225</v>
      </c>
      <c r="F186" s="167">
        <v>681</v>
      </c>
      <c r="G186" s="175" t="s">
        <v>779</v>
      </c>
      <c r="H186" s="600"/>
      <c r="I186" s="176">
        <v>73080</v>
      </c>
      <c r="J186" s="188"/>
      <c r="K186" s="189"/>
      <c r="L186" s="199">
        <f>SUMIFS('EMPENHO '!J:J,'EMPENHO '!B:B,Tabela96[[#This Row],[PROGRAMA]],'EMPENHO '!C:C,Tabela96[[#This Row],[FICHA]],'EMPENHO '!D:D,Tabela96[[#This Row],[AÇÃO]],'EMPENHO '!E:E,Tabela96[[#This Row],[PROJETO]],'EMPENHO '!F:F,Tabela96[[#This Row],[RESERVA]])</f>
        <v>0</v>
      </c>
      <c r="M186" s="859">
        <f>Tabela96[[#This Row],[VALOR]]+Tabela96[[#This Row],[COMPLEMENTO]]-Tabela96[[#This Row],[DESBLOQUEIO]]-Tabela96[[#This Row],[VALOR
 EMPENHO]]-Tabela96[[#This Row],[SALDO 
CANCELADO]]</f>
        <v>73080</v>
      </c>
      <c r="N186" s="188"/>
      <c r="P186" s="1009"/>
    </row>
    <row r="187" spans="1:16">
      <c r="A187" s="201">
        <v>45930</v>
      </c>
      <c r="B187" s="167">
        <v>12346</v>
      </c>
      <c r="C187" s="167">
        <v>79</v>
      </c>
      <c r="D187" s="167">
        <v>3013</v>
      </c>
      <c r="E187" s="167">
        <v>2225</v>
      </c>
      <c r="F187" s="167">
        <v>681</v>
      </c>
      <c r="G187" s="175" t="s">
        <v>265</v>
      </c>
      <c r="H187" s="175" t="s">
        <v>676</v>
      </c>
      <c r="I187" s="176">
        <v>61427.519999999997</v>
      </c>
      <c r="J187" s="188"/>
      <c r="K187" s="189"/>
      <c r="L187" s="199">
        <f>SUMIFS('EMPENHO '!J:J,'EMPENHO '!B:B,Tabela96[[#This Row],[PROGRAMA]],'EMPENHO '!C:C,Tabela96[[#This Row],[FICHA]],'EMPENHO '!D:D,Tabela96[[#This Row],[AÇÃO]],'EMPENHO '!E:E,Tabela96[[#This Row],[PROJETO]],'EMPENHO '!F:F,Tabela96[[#This Row],[RESERVA]])</f>
        <v>61427.519999999997</v>
      </c>
      <c r="M187" s="859">
        <f>Tabela96[[#This Row],[VALOR]]+Tabela96[[#This Row],[COMPLEMENTO]]-Tabela96[[#This Row],[DESBLOQUEIO]]-Tabela96[[#This Row],[VALOR
 EMPENHO]]-Tabela96[[#This Row],[SALDO 
CANCELADO]]</f>
        <v>0</v>
      </c>
      <c r="N187" s="188"/>
      <c r="P187" s="1009"/>
    </row>
    <row r="188" spans="1:16" hidden="1">
      <c r="A188" s="201">
        <v>45936</v>
      </c>
      <c r="B188" s="167">
        <v>12542</v>
      </c>
      <c r="C188" s="167">
        <v>32</v>
      </c>
      <c r="D188" s="167">
        <v>2226</v>
      </c>
      <c r="E188" s="167">
        <v>2128</v>
      </c>
      <c r="F188" s="167">
        <v>84</v>
      </c>
      <c r="G188" s="640" t="s">
        <v>186</v>
      </c>
      <c r="H188" s="600" t="s">
        <v>650</v>
      </c>
      <c r="I188" s="176">
        <v>4650</v>
      </c>
      <c r="J188" s="855"/>
      <c r="K188" s="856"/>
      <c r="L188" s="857">
        <f>SUMIFS('EMPENHO '!J:J,'EMPENHO '!B:B,Tabela96[[#This Row],[PROGRAMA]],'EMPENHO '!C:C,Tabela96[[#This Row],[FICHA]],'EMPENHO '!D:D,Tabela96[[#This Row],[AÇÃO]],'EMPENHO '!E:E,Tabela96[[#This Row],[PROJETO]],'EMPENHO '!F:F,Tabela96[[#This Row],[RESERVA]])</f>
        <v>4650</v>
      </c>
      <c r="M188" s="858">
        <f>Tabela96[[#This Row],[VALOR]]+Tabela96[[#This Row],[COMPLEMENTO]]-Tabela96[[#This Row],[DESBLOQUEIO]]-Tabela96[[#This Row],[VALOR
 EMPENHO]]-Tabela96[[#This Row],[SALDO 
CANCELADO]]</f>
        <v>0</v>
      </c>
      <c r="N188" s="855"/>
      <c r="P188" s="1007">
        <v>73080</v>
      </c>
    </row>
    <row r="189" spans="1:16" hidden="1">
      <c r="A189" s="875">
        <v>45937</v>
      </c>
      <c r="B189" s="243">
        <v>12693</v>
      </c>
      <c r="C189" s="243">
        <v>32</v>
      </c>
      <c r="D189" s="243">
        <v>2226</v>
      </c>
      <c r="E189" s="243">
        <v>2128</v>
      </c>
      <c r="F189" s="243">
        <v>88</v>
      </c>
      <c r="G189" s="576" t="s">
        <v>186</v>
      </c>
      <c r="H189" s="600" t="s">
        <v>672</v>
      </c>
      <c r="I189" s="876">
        <v>2473</v>
      </c>
      <c r="J189" s="876"/>
      <c r="K189" s="877"/>
      <c r="L189" s="878">
        <f>SUMIFS('EMPENHO '!J:J,'EMPENHO '!B:B,Tabela96[[#This Row],[PROGRAMA]],'EMPENHO '!C:C,Tabela96[[#This Row],[FICHA]],'EMPENHO '!D:D,Tabela96[[#This Row],[AÇÃO]],'EMPENHO '!E:E,Tabela96[[#This Row],[PROJETO]],'EMPENHO '!F:F,Tabela96[[#This Row],[RESERVA]])</f>
        <v>0</v>
      </c>
      <c r="M189" s="879">
        <f>Tabela96[[#This Row],[VALOR]]+Tabela96[[#This Row],[COMPLEMENTO]]-Tabela96[[#This Row],[DESBLOQUEIO]]-Tabela96[[#This Row],[VALOR
 EMPENHO]]-Tabela96[[#This Row],[SALDO 
CANCELADO]]</f>
        <v>0</v>
      </c>
      <c r="N189" s="876">
        <v>2473</v>
      </c>
    </row>
    <row r="190" spans="1:16" hidden="1">
      <c r="A190" s="875">
        <v>45937</v>
      </c>
      <c r="B190" s="243">
        <v>12695</v>
      </c>
      <c r="C190" s="243">
        <v>32</v>
      </c>
      <c r="D190" s="243">
        <v>2231</v>
      </c>
      <c r="E190" s="243">
        <v>2128</v>
      </c>
      <c r="F190" s="243">
        <v>104</v>
      </c>
      <c r="G190" s="175" t="s">
        <v>192</v>
      </c>
      <c r="H190" s="600" t="s">
        <v>673</v>
      </c>
      <c r="I190" s="176">
        <v>3093.53</v>
      </c>
      <c r="J190" s="876"/>
      <c r="K190" s="176">
        <v>3093.53</v>
      </c>
      <c r="L190" s="878">
        <f>SUMIFS('EMPENHO '!J:J,'EMPENHO '!B:B,Tabela96[[#This Row],[PROGRAMA]],'EMPENHO '!C:C,Tabela96[[#This Row],[FICHA]],'EMPENHO '!D:D,Tabela96[[#This Row],[AÇÃO]],'EMPENHO '!E:E,Tabela96[[#This Row],[PROJETO]],'EMPENHO '!F:F,Tabela96[[#This Row],[RESERVA]])</f>
        <v>0</v>
      </c>
      <c r="M190" s="879">
        <f>Tabela96[[#This Row],[VALOR]]+Tabela96[[#This Row],[COMPLEMENTO]]-Tabela96[[#This Row],[DESBLOQUEIO]]-Tabela96[[#This Row],[VALOR
 EMPENHO]]-Tabela96[[#This Row],[SALDO 
CANCELADO]]</f>
        <v>0</v>
      </c>
      <c r="N190" s="876"/>
    </row>
    <row r="191" spans="1:16" hidden="1">
      <c r="A191" s="875">
        <v>45939</v>
      </c>
      <c r="B191" s="243">
        <v>12856</v>
      </c>
      <c r="C191" s="243">
        <v>32</v>
      </c>
      <c r="D191" s="243">
        <v>2231</v>
      </c>
      <c r="E191" s="243">
        <v>2128</v>
      </c>
      <c r="F191" s="243">
        <v>104</v>
      </c>
      <c r="G191" t="s">
        <v>671</v>
      </c>
      <c r="H191" s="600" t="s">
        <v>674</v>
      </c>
      <c r="I191" s="876">
        <v>14839.02</v>
      </c>
      <c r="J191" s="876"/>
      <c r="K191" s="877"/>
      <c r="L191" s="878">
        <f>SUMIFS('EMPENHO '!J:J,'EMPENHO '!B:B,Tabela96[[#This Row],[PROGRAMA]],'EMPENHO '!C:C,Tabela96[[#This Row],[FICHA]],'EMPENHO '!D:D,Tabela96[[#This Row],[AÇÃO]],'EMPENHO '!E:E,Tabela96[[#This Row],[PROJETO]],'EMPENHO '!F:F,Tabela96[[#This Row],[RESERVA]])</f>
        <v>0</v>
      </c>
      <c r="M191" s="879">
        <f>Tabela96[[#This Row],[VALOR]]+Tabela96[[#This Row],[COMPLEMENTO]]-Tabela96[[#This Row],[DESBLOQUEIO]]-Tabela96[[#This Row],[VALOR
 EMPENHO]]-Tabela96[[#This Row],[SALDO 
CANCELADO]]</f>
        <v>0</v>
      </c>
      <c r="N191" s="876">
        <v>14839.02</v>
      </c>
    </row>
    <row r="192" spans="1:16" hidden="1">
      <c r="A192" s="875">
        <v>45939</v>
      </c>
      <c r="B192" s="243">
        <v>12857</v>
      </c>
      <c r="C192" s="243">
        <v>32</v>
      </c>
      <c r="D192" s="243">
        <v>2229</v>
      </c>
      <c r="E192" s="243">
        <v>2128</v>
      </c>
      <c r="F192" s="243">
        <v>104</v>
      </c>
      <c r="G192" s="640" t="s">
        <v>176</v>
      </c>
      <c r="H192" s="576" t="s">
        <v>675</v>
      </c>
      <c r="I192" s="876">
        <v>1729.64</v>
      </c>
      <c r="J192" s="876"/>
      <c r="K192" s="876">
        <v>1729.64</v>
      </c>
      <c r="L192" s="878">
        <f>SUMIFS('EMPENHO '!J:J,'EMPENHO '!B:B,Tabela96[[#This Row],[PROGRAMA]],'EMPENHO '!C:C,Tabela96[[#This Row],[FICHA]],'EMPENHO '!D:D,Tabela96[[#This Row],[AÇÃO]],'EMPENHO '!E:E,Tabela96[[#This Row],[PROJETO]],'EMPENHO '!F:F,Tabela96[[#This Row],[RESERVA]])</f>
        <v>0</v>
      </c>
      <c r="M192" s="879">
        <f>Tabela96[[#This Row],[VALOR]]+Tabela96[[#This Row],[COMPLEMENTO]]-Tabela96[[#This Row],[DESBLOQUEIO]]-Tabela96[[#This Row],[VALOR
 EMPENHO]]-Tabela96[[#This Row],[SALDO 
CANCELADO]]</f>
        <v>0</v>
      </c>
      <c r="N192" s="876"/>
    </row>
    <row r="193" spans="1:14" ht="15.75" hidden="1" customHeight="1">
      <c r="A193" s="875">
        <v>45940</v>
      </c>
      <c r="B193" s="243">
        <v>12892</v>
      </c>
      <c r="C193" s="243">
        <v>32</v>
      </c>
      <c r="D193" s="243">
        <v>2226</v>
      </c>
      <c r="E193" s="243">
        <v>2128</v>
      </c>
      <c r="F193" s="243">
        <v>88</v>
      </c>
      <c r="G193" s="576" t="s">
        <v>186</v>
      </c>
      <c r="H193" s="884" t="s">
        <v>681</v>
      </c>
      <c r="I193" s="880">
        <v>508.67</v>
      </c>
      <c r="J193" s="880"/>
      <c r="K193" s="881"/>
      <c r="L193" s="882">
        <f>SUMIFS('EMPENHO '!J:J,'EMPENHO '!B:B,Tabela96[[#This Row],[PROGRAMA]],'EMPENHO '!C:C,Tabela96[[#This Row],[FICHA]],'EMPENHO '!D:D,Tabela96[[#This Row],[AÇÃO]],'EMPENHO '!E:E,Tabela96[[#This Row],[PROJETO]],'EMPENHO '!F:F,Tabela96[[#This Row],[RESERVA]])</f>
        <v>0</v>
      </c>
      <c r="M193" s="883">
        <f>Tabela96[[#This Row],[VALOR]]+Tabela96[[#This Row],[COMPLEMENTO]]-Tabela96[[#This Row],[DESBLOQUEIO]]-Tabela96[[#This Row],[VALOR
 EMPENHO]]-Tabela96[[#This Row],[SALDO 
CANCELADO]]</f>
        <v>0</v>
      </c>
      <c r="N193" s="880">
        <v>508.67</v>
      </c>
    </row>
    <row r="194" spans="1:14" hidden="1">
      <c r="A194" s="201">
        <v>45946</v>
      </c>
      <c r="B194" s="167">
        <v>13077</v>
      </c>
      <c r="C194" s="167">
        <v>32</v>
      </c>
      <c r="D194" s="167">
        <v>2268</v>
      </c>
      <c r="E194" s="167">
        <v>1032</v>
      </c>
      <c r="F194" s="167">
        <v>73</v>
      </c>
      <c r="G194" s="640" t="s">
        <v>178</v>
      </c>
      <c r="H194" s="600" t="s">
        <v>690</v>
      </c>
      <c r="I194" s="908">
        <v>314393.33</v>
      </c>
      <c r="J194" s="908"/>
      <c r="K194" s="908">
        <v>314393.33</v>
      </c>
      <c r="L194" s="910">
        <f>SUMIFS('EMPENHO '!J:J,'EMPENHO '!B:B,Tabela96[[#This Row],[PROGRAMA]],'EMPENHO '!C:C,Tabela96[[#This Row],[FICHA]],'EMPENHO '!D:D,Tabela96[[#This Row],[AÇÃO]],'EMPENHO '!E:E,Tabela96[[#This Row],[PROJETO]],'EMPENHO '!F:F,Tabela96[[#This Row],[RESERVA]])</f>
        <v>0</v>
      </c>
      <c r="M194" s="911">
        <f>Tabela96[[#This Row],[VALOR]]+Tabela96[[#This Row],[COMPLEMENTO]]-Tabela96[[#This Row],[DESBLOQUEIO]]-Tabela96[[#This Row],[VALOR
 EMPENHO]]-Tabela96[[#This Row],[SALDO 
CANCELADO]]</f>
        <v>0</v>
      </c>
      <c r="N194" s="908"/>
    </row>
    <row r="195" spans="1:14" hidden="1">
      <c r="A195" s="875">
        <v>45950</v>
      </c>
      <c r="B195" s="243">
        <v>13139</v>
      </c>
      <c r="C195" s="243">
        <v>29</v>
      </c>
      <c r="D195" s="243">
        <v>2248</v>
      </c>
      <c r="E195" s="243">
        <v>2123</v>
      </c>
      <c r="F195" s="243">
        <v>69</v>
      </c>
      <c r="G195" s="912" t="s">
        <v>191</v>
      </c>
      <c r="H195" s="913" t="s">
        <v>689</v>
      </c>
      <c r="I195" s="880">
        <v>43600</v>
      </c>
      <c r="J195" s="880"/>
      <c r="K195" s="881"/>
      <c r="L195" s="882">
        <f>SUMIFS('EMPENHO '!J:J,'EMPENHO '!B:B,Tabela96[[#This Row],[PROGRAMA]],'EMPENHO '!C:C,Tabela96[[#This Row],[FICHA]],'EMPENHO '!D:D,Tabela96[[#This Row],[AÇÃO]],'EMPENHO '!E:E,Tabela96[[#This Row],[PROJETO]],'EMPENHO '!F:F,Tabela96[[#This Row],[RESERVA]])</f>
        <v>0</v>
      </c>
      <c r="M195" s="883">
        <f>Tabela96[[#This Row],[VALOR]]+Tabela96[[#This Row],[COMPLEMENTO]]-Tabela96[[#This Row],[DESBLOQUEIO]]-Tabela96[[#This Row],[VALOR
 EMPENHO]]-Tabela96[[#This Row],[SALDO 
CANCELADO]]</f>
        <v>43600</v>
      </c>
      <c r="N195" s="880"/>
    </row>
    <row r="196" spans="1:14" hidden="1">
      <c r="A196" s="201">
        <v>45952</v>
      </c>
      <c r="B196" s="167">
        <v>13194</v>
      </c>
      <c r="C196" s="167">
        <v>32</v>
      </c>
      <c r="D196" s="167">
        <v>2226</v>
      </c>
      <c r="E196" s="167">
        <v>2128</v>
      </c>
      <c r="F196" s="167">
        <v>84</v>
      </c>
      <c r="G196" s="640" t="s">
        <v>186</v>
      </c>
      <c r="H196" s="600" t="s">
        <v>691</v>
      </c>
      <c r="I196" s="908">
        <v>492100</v>
      </c>
      <c r="J196" s="908"/>
      <c r="K196" s="909"/>
      <c r="L196" s="910">
        <f>SUMIFS('EMPENHO '!J:J,'EMPENHO '!B:B,Tabela96[[#This Row],[PROGRAMA]],'EMPENHO '!C:C,Tabela96[[#This Row],[FICHA]],'EMPENHO '!D:D,Tabela96[[#This Row],[AÇÃO]],'EMPENHO '!E:E,Tabela96[[#This Row],[PROJETO]],'EMPENHO '!F:F,Tabela96[[#This Row],[RESERVA]])</f>
        <v>492100</v>
      </c>
      <c r="M196" s="911">
        <f>Tabela96[[#This Row],[VALOR]]+Tabela96[[#This Row],[COMPLEMENTO]]-Tabela96[[#This Row],[DESBLOQUEIO]]-Tabela96[[#This Row],[VALOR
 EMPENHO]]-Tabela96[[#This Row],[SALDO 
CANCELADO]]</f>
        <v>0</v>
      </c>
      <c r="N196" s="908"/>
    </row>
    <row r="197" spans="1:14" hidden="1">
      <c r="A197" s="201">
        <v>45952</v>
      </c>
      <c r="B197" s="167">
        <v>13195</v>
      </c>
      <c r="C197" s="167">
        <v>32</v>
      </c>
      <c r="D197" s="167">
        <v>2226</v>
      </c>
      <c r="E197" s="167">
        <v>2128</v>
      </c>
      <c r="F197" s="167">
        <v>84</v>
      </c>
      <c r="G197" s="640" t="s">
        <v>186</v>
      </c>
      <c r="H197" s="600" t="s">
        <v>692</v>
      </c>
      <c r="I197" s="908">
        <v>42500</v>
      </c>
      <c r="J197" s="908"/>
      <c r="K197" s="909"/>
      <c r="L197" s="910">
        <f>SUMIFS('EMPENHO '!J:J,'EMPENHO '!B:B,Tabela96[[#This Row],[PROGRAMA]],'EMPENHO '!C:C,Tabela96[[#This Row],[FICHA]],'EMPENHO '!D:D,Tabela96[[#This Row],[AÇÃO]],'EMPENHO '!E:E,Tabela96[[#This Row],[PROJETO]],'EMPENHO '!F:F,Tabela96[[#This Row],[RESERVA]])</f>
        <v>42500</v>
      </c>
      <c r="M197" s="911">
        <f>Tabela96[[#This Row],[VALOR]]+Tabela96[[#This Row],[COMPLEMENTO]]-Tabela96[[#This Row],[DESBLOQUEIO]]-Tabela96[[#This Row],[VALOR
 EMPENHO]]-Tabela96[[#This Row],[SALDO 
CANCELADO]]</f>
        <v>0</v>
      </c>
      <c r="N197" s="908"/>
    </row>
    <row r="198" spans="1:14" hidden="1">
      <c r="A198" s="201">
        <v>45952</v>
      </c>
      <c r="B198" s="167">
        <v>13196</v>
      </c>
      <c r="C198" s="167">
        <v>32</v>
      </c>
      <c r="D198" s="167">
        <v>2226</v>
      </c>
      <c r="E198" s="167">
        <v>2128</v>
      </c>
      <c r="F198" s="167">
        <v>84</v>
      </c>
      <c r="G198" s="640" t="s">
        <v>186</v>
      </c>
      <c r="H198" s="600" t="s">
        <v>693</v>
      </c>
      <c r="I198" s="908">
        <v>39550</v>
      </c>
      <c r="J198" s="908"/>
      <c r="K198" s="909"/>
      <c r="L198" s="910">
        <f>SUMIFS('EMPENHO '!J:J,'EMPENHO '!B:B,Tabela96[[#This Row],[PROGRAMA]],'EMPENHO '!C:C,Tabela96[[#This Row],[FICHA]],'EMPENHO '!D:D,Tabela96[[#This Row],[AÇÃO]],'EMPENHO '!E:E,Tabela96[[#This Row],[PROJETO]],'EMPENHO '!F:F,Tabela96[[#This Row],[RESERVA]])</f>
        <v>39550</v>
      </c>
      <c r="M198" s="911">
        <f>Tabela96[[#This Row],[VALOR]]+Tabela96[[#This Row],[COMPLEMENTO]]-Tabela96[[#This Row],[DESBLOQUEIO]]-Tabela96[[#This Row],[VALOR
 EMPENHO]]-Tabela96[[#This Row],[SALDO 
CANCELADO]]</f>
        <v>0</v>
      </c>
      <c r="N198" s="908"/>
    </row>
    <row r="199" spans="1:14" hidden="1">
      <c r="A199" s="201">
        <v>45952</v>
      </c>
      <c r="B199" s="167">
        <v>13197</v>
      </c>
      <c r="C199" s="167">
        <v>32</v>
      </c>
      <c r="D199" s="167">
        <v>2226</v>
      </c>
      <c r="E199" s="167">
        <v>2128</v>
      </c>
      <c r="F199" s="167">
        <v>84</v>
      </c>
      <c r="G199" s="640" t="s">
        <v>186</v>
      </c>
      <c r="H199" s="600" t="s">
        <v>694</v>
      </c>
      <c r="I199" s="908">
        <v>44550</v>
      </c>
      <c r="J199" s="908"/>
      <c r="K199" s="909"/>
      <c r="L199" s="910">
        <f>SUMIFS('EMPENHO '!J:J,'EMPENHO '!B:B,Tabela96[[#This Row],[PROGRAMA]],'EMPENHO '!C:C,Tabela96[[#This Row],[FICHA]],'EMPENHO '!D:D,Tabela96[[#This Row],[AÇÃO]],'EMPENHO '!E:E,Tabela96[[#This Row],[PROJETO]],'EMPENHO '!F:F,Tabela96[[#This Row],[RESERVA]])</f>
        <v>44500</v>
      </c>
      <c r="M199" s="911">
        <f>Tabela96[[#This Row],[VALOR]]+Tabela96[[#This Row],[COMPLEMENTO]]-Tabela96[[#This Row],[DESBLOQUEIO]]-Tabela96[[#This Row],[VALOR
 EMPENHO]]-Tabela96[[#This Row],[SALDO 
CANCELADO]]</f>
        <v>50</v>
      </c>
      <c r="N199" s="908"/>
    </row>
    <row r="200" spans="1:14" hidden="1">
      <c r="A200" s="201">
        <v>45952</v>
      </c>
      <c r="B200" s="167">
        <v>13198</v>
      </c>
      <c r="C200" s="167">
        <v>32</v>
      </c>
      <c r="D200" s="167">
        <v>2226</v>
      </c>
      <c r="E200" s="167">
        <v>2128</v>
      </c>
      <c r="F200" s="167">
        <v>84</v>
      </c>
      <c r="G200" s="640" t="s">
        <v>186</v>
      </c>
      <c r="H200" s="600" t="s">
        <v>695</v>
      </c>
      <c r="I200" s="908">
        <v>396500</v>
      </c>
      <c r="J200" s="908"/>
      <c r="K200" s="909"/>
      <c r="L200" s="910">
        <f>SUMIFS('EMPENHO '!J:J,'EMPENHO '!B:B,Tabela96[[#This Row],[PROGRAMA]],'EMPENHO '!C:C,Tabela96[[#This Row],[FICHA]],'EMPENHO '!D:D,Tabela96[[#This Row],[AÇÃO]],'EMPENHO '!E:E,Tabela96[[#This Row],[PROJETO]],'EMPENHO '!F:F,Tabela96[[#This Row],[RESERVA]])</f>
        <v>396500</v>
      </c>
      <c r="M200" s="911">
        <f>Tabela96[[#This Row],[VALOR]]+Tabela96[[#This Row],[COMPLEMENTO]]-Tabela96[[#This Row],[DESBLOQUEIO]]-Tabela96[[#This Row],[VALOR
 EMPENHO]]-Tabela96[[#This Row],[SALDO 
CANCELADO]]</f>
        <v>0</v>
      </c>
      <c r="N200" s="908"/>
    </row>
    <row r="201" spans="1:14" hidden="1">
      <c r="A201" s="201">
        <v>45954</v>
      </c>
      <c r="B201" s="167">
        <v>13231</v>
      </c>
      <c r="C201" s="167">
        <v>32</v>
      </c>
      <c r="D201" s="167">
        <v>2226</v>
      </c>
      <c r="E201" s="167">
        <v>2128</v>
      </c>
      <c r="F201" s="167">
        <v>86</v>
      </c>
      <c r="G201" s="640" t="s">
        <v>186</v>
      </c>
      <c r="H201" s="576" t="s">
        <v>700</v>
      </c>
      <c r="I201" s="908">
        <v>7250</v>
      </c>
      <c r="J201" s="908"/>
      <c r="K201" s="189"/>
      <c r="L201" s="199">
        <f>SUMIFS('EMPENHO '!J:J,'EMPENHO '!B:B,Tabela96[[#This Row],[PROGRAMA]],'EMPENHO '!C:C,Tabela96[[#This Row],[FICHA]],'EMPENHO '!D:D,Tabela96[[#This Row],[AÇÃO]],'EMPENHO '!E:E,Tabela96[[#This Row],[PROJETO]],'EMPENHO '!F:F,Tabela96[[#This Row],[RESERVA]])</f>
        <v>7250</v>
      </c>
      <c r="M201" s="859">
        <f>Tabela96[[#This Row],[VALOR]]+Tabela96[[#This Row],[COMPLEMENTO]]-Tabela96[[#This Row],[DESBLOQUEIO]]-Tabela96[[#This Row],[VALOR
 EMPENHO]]-Tabela96[[#This Row],[SALDO 
CANCELADO]]</f>
        <v>0</v>
      </c>
      <c r="N201" s="188"/>
    </row>
    <row r="202" spans="1:14" hidden="1">
      <c r="A202" s="201">
        <v>45954</v>
      </c>
      <c r="B202" s="167">
        <v>13229</v>
      </c>
      <c r="C202" s="167">
        <v>32</v>
      </c>
      <c r="D202" s="167">
        <v>2226</v>
      </c>
      <c r="E202" s="167">
        <v>2128</v>
      </c>
      <c r="F202" s="167">
        <v>138</v>
      </c>
      <c r="G202" s="175" t="s">
        <v>186</v>
      </c>
      <c r="H202" s="600" t="s">
        <v>734</v>
      </c>
      <c r="I202" s="975">
        <v>102300</v>
      </c>
      <c r="J202" s="975"/>
      <c r="K202" s="976"/>
      <c r="L202" s="977">
        <f>SUMIFS('EMPENHO '!J:J,'EMPENHO '!B:B,Tabela96[[#This Row],[PROGRAMA]],'EMPENHO '!C:C,Tabela96[[#This Row],[FICHA]],'EMPENHO '!D:D,Tabela96[[#This Row],[AÇÃO]],'EMPENHO '!E:E,Tabela96[[#This Row],[PROJETO]],'EMPENHO '!F:F,Tabela96[[#This Row],[RESERVA]])</f>
        <v>102300</v>
      </c>
      <c r="M202" s="978">
        <f>Tabela96[[#This Row],[VALOR]]+Tabela96[[#This Row],[COMPLEMENTO]]-Tabela96[[#This Row],[DESBLOQUEIO]]-Tabela96[[#This Row],[VALOR
 EMPENHO]]-Tabela96[[#This Row],[SALDO 
CANCELADO]]</f>
        <v>0</v>
      </c>
      <c r="N202" s="975"/>
    </row>
    <row r="203" spans="1:14" hidden="1">
      <c r="A203" s="201">
        <v>45954</v>
      </c>
      <c r="B203" s="167">
        <v>13228</v>
      </c>
      <c r="C203" s="167">
        <v>32</v>
      </c>
      <c r="D203" s="167">
        <v>2226</v>
      </c>
      <c r="E203" s="167">
        <v>2128</v>
      </c>
      <c r="F203" s="167">
        <v>88</v>
      </c>
      <c r="G203" s="504" t="s">
        <v>186</v>
      </c>
      <c r="H203" s="600" t="s">
        <v>737</v>
      </c>
      <c r="I203" s="188">
        <v>4914</v>
      </c>
      <c r="J203" s="188"/>
      <c r="K203" s="189"/>
      <c r="L203" s="199">
        <f>SUMIFS('EMPENHO '!J:J,'EMPENHO '!B:B,Tabela96[[#This Row],[PROGRAMA]],'EMPENHO '!C:C,Tabela96[[#This Row],[FICHA]],'EMPENHO '!D:D,Tabela96[[#This Row],[AÇÃO]],'EMPENHO '!E:E,Tabela96[[#This Row],[PROJETO]],'EMPENHO '!F:F,Tabela96[[#This Row],[RESERVA]])</f>
        <v>4914</v>
      </c>
      <c r="M203" s="859">
        <f>Tabela96[[#This Row],[VALOR]]+Tabela96[[#This Row],[COMPLEMENTO]]-Tabela96[[#This Row],[DESBLOQUEIO]]-Tabela96[[#This Row],[VALOR
 EMPENHO]]-Tabela96[[#This Row],[SALDO 
CANCELADO]]</f>
        <v>0</v>
      </c>
      <c r="N203" s="188"/>
    </row>
    <row r="204" spans="1:14" hidden="1">
      <c r="A204" s="201">
        <v>45959</v>
      </c>
      <c r="B204" s="167">
        <v>13230</v>
      </c>
      <c r="C204" s="167">
        <v>32</v>
      </c>
      <c r="D204" s="167">
        <v>2226</v>
      </c>
      <c r="E204" s="167">
        <v>2128</v>
      </c>
      <c r="F204" s="167">
        <v>88</v>
      </c>
      <c r="G204" s="504" t="s">
        <v>186</v>
      </c>
      <c r="H204" s="600" t="s">
        <v>735</v>
      </c>
      <c r="I204" s="188">
        <v>5184</v>
      </c>
      <c r="J204" s="188"/>
      <c r="K204" s="189"/>
      <c r="L204" s="199">
        <f>SUMIFS('EMPENHO '!J:J,'EMPENHO '!B:B,Tabela96[[#This Row],[PROGRAMA]],'EMPENHO '!C:C,Tabela96[[#This Row],[FICHA]],'EMPENHO '!D:D,Tabela96[[#This Row],[AÇÃO]],'EMPENHO '!E:E,Tabela96[[#This Row],[PROJETO]],'EMPENHO '!F:F,Tabela96[[#This Row],[RESERVA]])</f>
        <v>10368</v>
      </c>
      <c r="M204" s="859">
        <f>Tabela96[[#This Row],[VALOR]]+Tabela96[[#This Row],[COMPLEMENTO]]-Tabela96[[#This Row],[DESBLOQUEIO]]-Tabela96[[#This Row],[VALOR
 EMPENHO]]-Tabela96[[#This Row],[SALDO 
CANCELADO]]</f>
        <v>-5184</v>
      </c>
      <c r="N204" s="188"/>
    </row>
    <row r="205" spans="1:14" hidden="1">
      <c r="A205" s="201">
        <v>45968</v>
      </c>
      <c r="B205" s="167">
        <v>13563</v>
      </c>
      <c r="C205" s="167">
        <v>32</v>
      </c>
      <c r="D205" s="167">
        <v>3484</v>
      </c>
      <c r="E205" s="167">
        <v>2128</v>
      </c>
      <c r="F205" s="167">
        <v>242</v>
      </c>
      <c r="G205" s="640" t="s">
        <v>392</v>
      </c>
      <c r="H205" s="600" t="s">
        <v>723</v>
      </c>
      <c r="I205" s="188">
        <v>270305.64</v>
      </c>
      <c r="J205" s="188"/>
      <c r="K205" s="189"/>
      <c r="L205" s="199">
        <f>SUMIFS('EMPENHO '!J:J,'EMPENHO '!B:B,Tabela96[[#This Row],[PROGRAMA]],'EMPENHO '!C:C,Tabela96[[#This Row],[FICHA]],'EMPENHO '!D:D,Tabela96[[#This Row],[AÇÃO]],'EMPENHO '!E:E,Tabela96[[#This Row],[PROJETO]],'EMPENHO '!F:F,Tabela96[[#This Row],[RESERVA]])</f>
        <v>270305.64</v>
      </c>
      <c r="M205" s="859">
        <f>Tabela96[[#This Row],[VALOR]]+Tabela96[[#This Row],[COMPLEMENTO]]-Tabela96[[#This Row],[DESBLOQUEIO]]-Tabela96[[#This Row],[VALOR
 EMPENHO]]-Tabela96[[#This Row],[SALDO 
CANCELADO]]</f>
        <v>0</v>
      </c>
      <c r="N205" s="188"/>
    </row>
    <row r="206" spans="1:14" hidden="1">
      <c r="A206" s="201">
        <v>45989</v>
      </c>
      <c r="B206" s="167">
        <v>14463</v>
      </c>
      <c r="C206" s="167">
        <v>32</v>
      </c>
      <c r="D206" s="167">
        <v>2232</v>
      </c>
      <c r="E206" s="167">
        <v>2129</v>
      </c>
      <c r="F206" s="167">
        <v>56</v>
      </c>
      <c r="G206" s="640" t="s">
        <v>271</v>
      </c>
      <c r="H206" s="600" t="s">
        <v>720</v>
      </c>
      <c r="I206" s="188">
        <v>28275.3</v>
      </c>
      <c r="J206" s="188"/>
      <c r="K206" s="189"/>
      <c r="L206" s="199">
        <f>SUMIFS('EMPENHO '!J:J,'EMPENHO '!B:B,Tabela96[[#This Row],[PROGRAMA]],'EMPENHO '!C:C,Tabela96[[#This Row],[FICHA]],'EMPENHO '!D:D,Tabela96[[#This Row],[AÇÃO]],'EMPENHO '!E:E,Tabela96[[#This Row],[PROJETO]],'EMPENHO '!F:F,Tabela96[[#This Row],[RESERVA]])</f>
        <v>0</v>
      </c>
      <c r="M206" s="859">
        <f>Tabela96[[#This Row],[VALOR]]+Tabela96[[#This Row],[COMPLEMENTO]]-Tabela96[[#This Row],[DESBLOQUEIO]]-Tabela96[[#This Row],[VALOR
 EMPENHO]]-Tabela96[[#This Row],[SALDO 
CANCELADO]]</f>
        <v>28275.3</v>
      </c>
      <c r="N206" s="188"/>
    </row>
    <row r="207" spans="1:14" hidden="1">
      <c r="A207" s="201">
        <v>45989</v>
      </c>
      <c r="B207" s="167">
        <v>14462</v>
      </c>
      <c r="C207" s="167">
        <v>32</v>
      </c>
      <c r="D207" s="167">
        <v>2229</v>
      </c>
      <c r="E207" s="167">
        <v>2128</v>
      </c>
      <c r="F207" s="167">
        <v>117</v>
      </c>
      <c r="G207" s="640" t="s">
        <v>176</v>
      </c>
      <c r="H207" s="600" t="s">
        <v>721</v>
      </c>
      <c r="I207" s="188">
        <v>5798</v>
      </c>
      <c r="J207" s="188"/>
      <c r="K207" s="189"/>
      <c r="L207" s="199">
        <f>SUMIFS('EMPENHO '!J:J,'EMPENHO '!B:B,Tabela96[[#This Row],[PROGRAMA]],'EMPENHO '!C:C,Tabela96[[#This Row],[FICHA]],'EMPENHO '!D:D,Tabela96[[#This Row],[AÇÃO]],'EMPENHO '!E:E,Tabela96[[#This Row],[PROJETO]],'EMPENHO '!F:F,Tabela96[[#This Row],[RESERVA]])</f>
        <v>5798</v>
      </c>
      <c r="M207" s="859">
        <f>Tabela96[[#This Row],[VALOR]]+Tabela96[[#This Row],[COMPLEMENTO]]-Tabela96[[#This Row],[DESBLOQUEIO]]-Tabela96[[#This Row],[VALOR
 EMPENHO]]-Tabela96[[#This Row],[SALDO 
CANCELADO]]</f>
        <v>0</v>
      </c>
      <c r="N207" s="188"/>
    </row>
    <row r="208" spans="1:14" hidden="1">
      <c r="A208" s="201">
        <v>45989</v>
      </c>
      <c r="B208" s="167">
        <v>14429</v>
      </c>
      <c r="C208" s="167">
        <v>32</v>
      </c>
      <c r="D208" s="167">
        <v>2268</v>
      </c>
      <c r="E208" s="167">
        <v>1032</v>
      </c>
      <c r="F208" s="167">
        <v>73</v>
      </c>
      <c r="G208" s="640" t="s">
        <v>178</v>
      </c>
      <c r="H208" s="600" t="s">
        <v>722</v>
      </c>
      <c r="I208" s="188">
        <v>130500</v>
      </c>
      <c r="J208" s="188"/>
      <c r="K208" s="188"/>
      <c r="L208" s="199">
        <f>SUMIFS('EMPENHO '!J:J,'EMPENHO '!B:B,Tabela96[[#This Row],[PROGRAMA]],'EMPENHO '!C:C,Tabela96[[#This Row],[FICHA]],'EMPENHO '!D:D,Tabela96[[#This Row],[AÇÃO]],'EMPENHO '!E:E,Tabela96[[#This Row],[PROJETO]],'EMPENHO '!F:F,Tabela96[[#This Row],[RESERVA]])</f>
        <v>0</v>
      </c>
      <c r="M208" s="859">
        <f>Tabela96[[#This Row],[VALOR]]+Tabela96[[#This Row],[COMPLEMENTO]]-Tabela96[[#This Row],[DESBLOQUEIO]]-Tabela96[[#This Row],[VALOR
 EMPENHO]]-Tabela96[[#This Row],[SALDO 
CANCELADO]]</f>
        <v>130500</v>
      </c>
      <c r="N208" s="188"/>
    </row>
    <row r="209" spans="1:14" hidden="1">
      <c r="A209" s="201">
        <v>45989</v>
      </c>
      <c r="B209" s="167">
        <v>14465</v>
      </c>
      <c r="C209" s="167">
        <v>32</v>
      </c>
      <c r="D209" s="167">
        <v>2229</v>
      </c>
      <c r="E209" s="167">
        <v>2128</v>
      </c>
      <c r="F209" s="167">
        <v>117</v>
      </c>
      <c r="G209" s="979" t="s">
        <v>176</v>
      </c>
      <c r="H209" s="600" t="s">
        <v>719</v>
      </c>
      <c r="I209" s="188">
        <v>8881.33</v>
      </c>
      <c r="J209" s="188"/>
      <c r="K209" s="189"/>
      <c r="L209" s="199">
        <f>SUMIFS('EMPENHO '!J:J,'EMPENHO '!B:B,Tabela96[[#This Row],[PROGRAMA]],'EMPENHO '!C:C,Tabela96[[#This Row],[FICHA]],'EMPENHO '!D:D,Tabela96[[#This Row],[AÇÃO]],'EMPENHO '!E:E,Tabela96[[#This Row],[PROJETO]],'EMPENHO '!F:F,Tabela96[[#This Row],[RESERVA]])</f>
        <v>8881.33</v>
      </c>
      <c r="M209" s="859">
        <f>Tabela96[[#This Row],[VALOR]]+Tabela96[[#This Row],[COMPLEMENTO]]-Tabela96[[#This Row],[DESBLOQUEIO]]-Tabela96[[#This Row],[VALOR
 EMPENHO]]-Tabela96[[#This Row],[SALDO 
CANCELADO]]</f>
        <v>0</v>
      </c>
      <c r="N209" s="188"/>
    </row>
    <row r="210" spans="1:14" ht="15.75" hidden="1" thickBot="1">
      <c r="A210" s="201">
        <v>45989</v>
      </c>
      <c r="B210" s="167">
        <v>4244</v>
      </c>
      <c r="C210" s="167">
        <v>32</v>
      </c>
      <c r="D210" s="167">
        <v>3484</v>
      </c>
      <c r="E210" s="167">
        <v>2128</v>
      </c>
      <c r="F210" s="167">
        <v>117</v>
      </c>
      <c r="G210" s="991" t="s">
        <v>392</v>
      </c>
      <c r="H210" s="992" t="s">
        <v>398</v>
      </c>
      <c r="I210" s="188">
        <v>8881.33</v>
      </c>
      <c r="J210" s="188"/>
      <c r="K210" s="189"/>
      <c r="L210" s="199">
        <f>SUMIFS('EMPENHO '!J:J,'EMPENHO '!B:B,Tabela96[[#This Row],[PROGRAMA]],'EMPENHO '!C:C,Tabela96[[#This Row],[FICHA]],'EMPENHO '!D:D,Tabela96[[#This Row],[AÇÃO]],'EMPENHO '!E:E,Tabela96[[#This Row],[PROJETO]],'EMPENHO '!F:F,Tabela96[[#This Row],[RESERVA]])</f>
        <v>8881.33</v>
      </c>
      <c r="M210" s="859">
        <f>Tabela96[[#This Row],[VALOR]]+Tabela96[[#This Row],[COMPLEMENTO]]-Tabela96[[#This Row],[DESBLOQUEIO]]-Tabela96[[#This Row],[VALOR
 EMPENHO]]-Tabela96[[#This Row],[SALDO 
CANCELADO]]</f>
        <v>0</v>
      </c>
      <c r="N210" s="188"/>
    </row>
    <row r="211" spans="1:14" hidden="1">
      <c r="A211" s="201">
        <v>45994</v>
      </c>
      <c r="B211" s="167">
        <v>14868</v>
      </c>
      <c r="C211" s="167">
        <v>30</v>
      </c>
      <c r="D211" s="167">
        <v>2253</v>
      </c>
      <c r="E211" s="167">
        <v>2124</v>
      </c>
      <c r="F211" s="167">
        <v>25</v>
      </c>
      <c r="G211" s="175" t="s">
        <v>169</v>
      </c>
      <c r="H211" s="600" t="s">
        <v>732</v>
      </c>
      <c r="I211" s="975">
        <v>1737843.24</v>
      </c>
      <c r="J211" s="975"/>
      <c r="K211" s="976"/>
      <c r="L211" s="977">
        <f>SUMIFS('EMPENHO '!J:J,'EMPENHO '!B:B,Tabela96[[#This Row],[PROGRAMA]],'EMPENHO '!C:C,Tabela96[[#This Row],[FICHA]],'EMPENHO '!D:D,Tabela96[[#This Row],[AÇÃO]],'EMPENHO '!E:E,Tabela96[[#This Row],[PROJETO]],'EMPENHO '!F:F,Tabela96[[#This Row],[RESERVA]])</f>
        <v>1737843.25</v>
      </c>
      <c r="M211" s="978">
        <f>Tabela96[[#This Row],[VALOR]]+Tabela96[[#This Row],[COMPLEMENTO]]-Tabela96[[#This Row],[DESBLOQUEIO]]-Tabela96[[#This Row],[VALOR
 EMPENHO]]-Tabela96[[#This Row],[SALDO 
CANCELADO]]</f>
        <v>-0.01</v>
      </c>
      <c r="N211" s="975"/>
    </row>
    <row r="212" spans="1:14" hidden="1">
      <c r="A212" s="201">
        <v>46010</v>
      </c>
      <c r="B212" s="167">
        <v>15525</v>
      </c>
      <c r="C212" s="167">
        <v>30</v>
      </c>
      <c r="D212" s="167">
        <v>3487</v>
      </c>
      <c r="E212" s="167">
        <v>2124</v>
      </c>
      <c r="F212" s="167">
        <v>25</v>
      </c>
      <c r="G212" t="s">
        <v>390</v>
      </c>
      <c r="H212" s="600" t="s">
        <v>751</v>
      </c>
      <c r="I212" s="188">
        <v>194154.62</v>
      </c>
      <c r="J212" s="188"/>
      <c r="K212" s="189"/>
      <c r="L212" s="199">
        <f>SUMIFS('EMPENHO '!J:J,'EMPENHO '!B:B,Tabela96[[#This Row],[PROGRAMA]],'EMPENHO '!C:C,Tabela96[[#This Row],[FICHA]],'EMPENHO '!D:D,Tabela96[[#This Row],[AÇÃO]],'EMPENHO '!E:E,Tabela96[[#This Row],[PROJETO]],'EMPENHO '!F:F,Tabela96[[#This Row],[RESERVA]])</f>
        <v>194154.62</v>
      </c>
      <c r="M212" s="859">
        <f>Tabela96[[#This Row],[VALOR]]+Tabela96[[#This Row],[COMPLEMENTO]]-Tabela96[[#This Row],[DESBLOQUEIO]]-Tabela96[[#This Row],[VALOR
 EMPENHO]]-Tabela96[[#This Row],[SALDO 
CANCELADO]]</f>
        <v>0</v>
      </c>
      <c r="N212" s="188"/>
    </row>
    <row r="213" spans="1:14" hidden="1">
      <c r="A213" s="201"/>
      <c r="B213" s="167">
        <v>22</v>
      </c>
      <c r="C213" s="167">
        <v>30</v>
      </c>
      <c r="D213" s="167">
        <v>2253</v>
      </c>
      <c r="E213" s="167">
        <v>2124</v>
      </c>
      <c r="F213" s="167">
        <v>25</v>
      </c>
      <c r="G213" s="180" t="s">
        <v>169</v>
      </c>
      <c r="H213" s="600" t="s">
        <v>777</v>
      </c>
      <c r="I213" s="188">
        <v>1000</v>
      </c>
      <c r="J213" s="188"/>
      <c r="K213" s="189"/>
      <c r="L213" s="199">
        <f>SUMIFS('EMPENHO '!J:J,'EMPENHO '!B:B,Tabela96[[#This Row],[PROGRAMA]],'EMPENHO '!C:C,Tabela96[[#This Row],[FICHA]],'EMPENHO '!D:D,Tabela96[[#This Row],[AÇÃO]],'EMPENHO '!E:E,Tabela96[[#This Row],[PROJETO]],'EMPENHO '!F:F,Tabela96[[#This Row],[RESERVA]])</f>
        <v>0</v>
      </c>
      <c r="M213" s="859">
        <f>Tabela96[[#This Row],[VALOR]]+Tabela96[[#This Row],[COMPLEMENTO]]-Tabela96[[#This Row],[DESBLOQUEIO]]-Tabela96[[#This Row],[VALOR
 EMPENHO]]-Tabela96[[#This Row],[SALDO 
CANCELADO]]</f>
        <v>1000</v>
      </c>
      <c r="N213" s="188"/>
    </row>
    <row r="214" spans="1:14" ht="15.75" thickBot="1">
      <c r="I214" s="101">
        <f>SUBTOTAL(109,Tabela96[VALOR])</f>
        <v>3439987.66</v>
      </c>
      <c r="J214" s="101">
        <f>SUBTOTAL(109,Tabela96[COMPLEMENTO])</f>
        <v>45888.43</v>
      </c>
      <c r="K214" s="564">
        <f>SUBTOTAL(9,K3:K213)</f>
        <v>0</v>
      </c>
      <c r="L214" s="101">
        <f>SUBTOTAL(109,Tabela96[VALOR
 EMPENHO])</f>
        <v>3048886.75</v>
      </c>
      <c r="M214" s="101">
        <f>SUBTOTAL(109,Tabela96[SALDO RESERVA])</f>
        <v>436989.34</v>
      </c>
      <c r="N214" s="101">
        <f>SUBTOTAL(9,N3:N154)</f>
        <v>0</v>
      </c>
    </row>
    <row r="215" spans="1:14" ht="15.75" thickTop="1"/>
    <row r="216" spans="1:14">
      <c r="I216" s="16"/>
      <c r="M216" s="16"/>
    </row>
    <row r="217" spans="1:14">
      <c r="G217" s="12"/>
      <c r="H217" s="31"/>
      <c r="I217" s="11"/>
      <c r="K217" s="303"/>
      <c r="M217" s="149"/>
    </row>
    <row r="218" spans="1:14">
      <c r="G218" s="12"/>
      <c r="M218" s="149"/>
    </row>
    <row r="219" spans="1:14">
      <c r="G219" s="12"/>
      <c r="M219" s="149"/>
    </row>
    <row r="220" spans="1:14">
      <c r="G220" s="12"/>
      <c r="M220" s="149"/>
    </row>
    <row r="221" spans="1:14">
      <c r="G221" s="12"/>
      <c r="J221" s="16"/>
      <c r="K221" s="49"/>
      <c r="M221" s="149"/>
    </row>
    <row r="222" spans="1:14">
      <c r="G222" s="12"/>
      <c r="M222" s="149"/>
    </row>
    <row r="223" spans="1:14">
      <c r="G223" s="12"/>
      <c r="M223" s="149"/>
    </row>
    <row r="224" spans="1:14">
      <c r="G224" s="12"/>
      <c r="L224" s="15"/>
    </row>
    <row r="225" spans="7:12">
      <c r="G225" s="12"/>
    </row>
    <row r="226" spans="7:12">
      <c r="G226" s="12"/>
    </row>
    <row r="229" spans="7:12">
      <c r="L229" s="10"/>
    </row>
  </sheetData>
  <sheetProtection formatCells="0" formatColumns="0" formatRows="0" insertColumns="0" insertRows="0" insertHyperlinks="0" sort="0" autoFilter="0" pivotTables="0"/>
  <phoneticPr fontId="9" type="noConversion"/>
  <dataValidations disablePrompts="1" count="1">
    <dataValidation allowBlank="1" showInputMessage="1" showErrorMessage="1" promptTitle="*** ATENÇÃO ***" prompt="ESTA CÉLULA CONTÉM FÓRMULA, NÃO DIGITAR VALORES NELA!" sqref="L3:M213" xr:uid="{262F8C60-DDCE-4A60-A94F-3E2AE4D87B69}"/>
  </dataValidations>
  <pageMargins left="0.511811024" right="0.511811024" top="0.78740157499999996" bottom="0.78740157499999996" header="0.31496062000000002" footer="0.31496062000000002"/>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12">
    <tabColor theme="4" tint="-0.499984740745262"/>
    <pageSetUpPr fitToPage="1"/>
  </sheetPr>
  <dimension ref="A1:Q577"/>
  <sheetViews>
    <sheetView showGridLines="0" zoomScale="80" zoomScaleNormal="80" zoomScaleSheetLayoutView="100" workbookViewId="0">
      <pane ySplit="3" topLeftCell="A313" activePane="bottomLeft" state="frozen"/>
      <selection activeCell="H131" sqref="H131"/>
      <selection pane="bottomLeft" activeCell="F334" sqref="F334"/>
    </sheetView>
  </sheetViews>
  <sheetFormatPr defaultColWidth="9.140625" defaultRowHeight="15"/>
  <cols>
    <col min="1" max="1" width="13.140625" style="54" customWidth="1"/>
    <col min="2" max="2" width="13.140625" style="17" customWidth="1"/>
    <col min="3" max="3" width="11.7109375" style="17" customWidth="1"/>
    <col min="4" max="4" width="11.140625" style="17" bestFit="1" customWidth="1"/>
    <col min="5" max="5" width="11" style="17" bestFit="1" customWidth="1"/>
    <col min="6" max="6" width="11" style="17" customWidth="1"/>
    <col min="7" max="7" width="15.5703125" style="17" customWidth="1"/>
    <col min="8" max="8" width="122.7109375" style="44" customWidth="1"/>
    <col min="9" max="9" width="15.7109375" style="44" bestFit="1" customWidth="1"/>
    <col min="10" max="10" width="20.28515625" style="62" bestFit="1" customWidth="1"/>
    <col min="11" max="11" width="18.140625" style="62" bestFit="1" customWidth="1"/>
    <col min="12" max="12" width="25" style="62" bestFit="1" customWidth="1"/>
    <col min="13" max="13" width="18.28515625" style="62" bestFit="1" customWidth="1"/>
    <col min="14" max="14" width="20" style="62" customWidth="1"/>
    <col min="15" max="15" width="1.85546875" customWidth="1"/>
    <col min="16" max="16" width="19.5703125" customWidth="1"/>
    <col min="17" max="20" width="19.5703125" bestFit="1" customWidth="1"/>
    <col min="21" max="22" width="10.7109375" bestFit="1" customWidth="1"/>
  </cols>
  <sheetData>
    <row r="1" spans="1:16" ht="87" customHeight="1"/>
    <row r="2" spans="1:16" ht="33" customHeight="1">
      <c r="G2" s="1056"/>
      <c r="H2" s="1056"/>
    </row>
    <row r="3" spans="1:16" ht="31.5">
      <c r="A3" s="76" t="s">
        <v>96</v>
      </c>
      <c r="B3" s="60" t="s">
        <v>105</v>
      </c>
      <c r="C3" s="60" t="s">
        <v>14</v>
      </c>
      <c r="D3" s="61" t="s">
        <v>16</v>
      </c>
      <c r="E3" s="61" t="s">
        <v>18</v>
      </c>
      <c r="F3" s="34" t="s">
        <v>42</v>
      </c>
      <c r="G3" s="70" t="s">
        <v>63</v>
      </c>
      <c r="H3" s="217" t="s">
        <v>1</v>
      </c>
      <c r="I3" s="34" t="s">
        <v>7</v>
      </c>
      <c r="J3" s="63" t="s">
        <v>88</v>
      </c>
      <c r="K3" s="67" t="s">
        <v>38</v>
      </c>
      <c r="L3" s="63" t="s">
        <v>155</v>
      </c>
      <c r="M3" s="67" t="s">
        <v>67</v>
      </c>
      <c r="N3" s="68" t="s">
        <v>127</v>
      </c>
      <c r="P3" s="18"/>
    </row>
    <row r="4" spans="1:16">
      <c r="A4" s="152">
        <v>45674</v>
      </c>
      <c r="B4" s="48">
        <f>IFERROR(VLOOKUP(Tabela3[[#This Row],[RESERVA]],Tabela96[[RESERVA]:[PROJETO]],2,FALSE),"")</f>
        <v>30</v>
      </c>
      <c r="C4" s="48">
        <f>IFERROR(VLOOKUP(Tabela3[[#This Row],[RESERVA]],Tabela96[[RESERVA]:[PROJETO]],3,FALSE),"")</f>
        <v>2253</v>
      </c>
      <c r="D4" s="103">
        <f>IFERROR(VLOOKUP(Tabela3[[#This Row],[RESERVA]],Tabela96[[RESERVA]:[PROJETO]],4,FALSE),"")</f>
        <v>2124</v>
      </c>
      <c r="E4" s="103">
        <f>IFERROR(VLOOKUP(Tabela3[[#This Row],[RESERVA]],Tabela96[[RESERVA]:[PROJETO]],5,FALSE),"")</f>
        <v>25</v>
      </c>
      <c r="F4" s="36">
        <v>2645</v>
      </c>
      <c r="G4" s="36">
        <v>103747</v>
      </c>
      <c r="H4" s="104" t="s">
        <v>371</v>
      </c>
      <c r="I4" s="156">
        <v>4182</v>
      </c>
      <c r="J4" s="64">
        <v>3659751.7</v>
      </c>
      <c r="K4" s="79"/>
      <c r="L4" s="428">
        <f>Tabela3[[#This Row],[VALOR
 EMPENHO]]-Tabela3[[#This Row],[ESTORNO]]</f>
        <v>3659751.7</v>
      </c>
      <c r="M4" s="304">
        <f>SUMIFS('LIQUIDAÇÃO 2025'!K:K,'LIQUIDAÇÃO 2025'!B:B,Tabela3[[#This Row],[CÓDIGO
 EMPRESA ]],'LIQUIDAÇÃO 2025'!C:C,Tabela3[[#This Row],[EMPRESA]],'LIQUIDAÇÃO 2025'!F:F,Tabela3[[#This Row],[EMPENHO]])</f>
        <v>3659751.7</v>
      </c>
      <c r="N4" s="69">
        <f t="shared" ref="N4:N35" si="0">L4-M4</f>
        <v>0</v>
      </c>
      <c r="P4" s="18"/>
    </row>
    <row r="5" spans="1:16">
      <c r="A5" s="153">
        <v>45687</v>
      </c>
      <c r="B5" s="48">
        <f>IFERROR(VLOOKUP(Tabela3[[#This Row],[RESERVA]],Tabela96[[RESERVA]:[PROJETO]],2,FALSE),"")</f>
        <v>30</v>
      </c>
      <c r="C5" s="48">
        <f>IFERROR(VLOOKUP(Tabela3[[#This Row],[RESERVA]],Tabela96[[RESERVA]:[PROJETO]],3,FALSE),"")</f>
        <v>2253</v>
      </c>
      <c r="D5" s="103">
        <f>IFERROR(VLOOKUP(Tabela3[[#This Row],[RESERVA]],Tabela96[[RESERVA]:[PROJETO]],4,FALSE),"")</f>
        <v>2124</v>
      </c>
      <c r="E5" s="103">
        <f>IFERROR(VLOOKUP(Tabela3[[#This Row],[RESERVA]],Tabela96[[RESERVA]:[PROJETO]],5,FALSE),"")</f>
        <v>25</v>
      </c>
      <c r="F5" s="78">
        <v>2636</v>
      </c>
      <c r="G5" s="78">
        <v>76116</v>
      </c>
      <c r="H5" s="104" t="s">
        <v>120</v>
      </c>
      <c r="I5" s="156">
        <v>2916</v>
      </c>
      <c r="J5" s="79">
        <v>438900</v>
      </c>
      <c r="K5" s="65"/>
      <c r="L5" s="428">
        <f>Tabela3[[#This Row],[VALOR
 EMPENHO]]-Tabela3[[#This Row],[ESTORNO]]</f>
        <v>438900</v>
      </c>
      <c r="M5" s="304">
        <f>SUMIFS('LIQUIDAÇÃO 2025'!K:K,'LIQUIDAÇÃO 2025'!B:B,Tabela3[[#This Row],[CÓDIGO
 EMPRESA ]],'LIQUIDAÇÃO 2025'!C:C,Tabela3[[#This Row],[EMPRESA]],'LIQUIDAÇÃO 2025'!F:F,Tabela3[[#This Row],[EMPENHO]])</f>
        <v>438900</v>
      </c>
      <c r="N5" s="69">
        <f t="shared" si="0"/>
        <v>0</v>
      </c>
    </row>
    <row r="6" spans="1:16">
      <c r="A6" s="153">
        <v>45687</v>
      </c>
      <c r="B6" s="48">
        <f>IFERROR(VLOOKUP(Tabela3[[#This Row],[RESERVA]],Tabela96[[RESERVA]:[PROJETO]],2,FALSE),"")</f>
        <v>30</v>
      </c>
      <c r="C6" s="48">
        <f>IFERROR(VLOOKUP(Tabela3[[#This Row],[RESERVA]],Tabela96[[RESERVA]:[PROJETO]],3,FALSE),"")</f>
        <v>2253</v>
      </c>
      <c r="D6" s="103">
        <f>IFERROR(VLOOKUP(Tabela3[[#This Row],[RESERVA]],Tabela96[[RESERVA]:[PROJETO]],4,FALSE),"")</f>
        <v>2124</v>
      </c>
      <c r="E6" s="103">
        <f>IFERROR(VLOOKUP(Tabela3[[#This Row],[RESERVA]],Tabela96[[RESERVA]:[PROJETO]],5,FALSE),"")</f>
        <v>25</v>
      </c>
      <c r="F6" s="78">
        <v>2639</v>
      </c>
      <c r="G6" s="36">
        <v>73115</v>
      </c>
      <c r="H6" s="104" t="s">
        <v>29</v>
      </c>
      <c r="I6" s="156">
        <v>2921</v>
      </c>
      <c r="J6" s="79">
        <v>8466219.5800000001</v>
      </c>
      <c r="K6" s="79"/>
      <c r="L6" s="428">
        <f>Tabela3[[#This Row],[VALOR
 EMPENHO]]-Tabela3[[#This Row],[ESTORNO]]</f>
        <v>8466219.5800000001</v>
      </c>
      <c r="M6" s="304">
        <f>SUMIFS('LIQUIDAÇÃO 2025'!K:K,'LIQUIDAÇÃO 2025'!B:B,Tabela3[[#This Row],[CÓDIGO
 EMPRESA ]],'LIQUIDAÇÃO 2025'!C:C,Tabela3[[#This Row],[EMPRESA]],'LIQUIDAÇÃO 2025'!F:F,Tabela3[[#This Row],[EMPENHO]])</f>
        <v>8466219.5800000001</v>
      </c>
      <c r="N6" s="69">
        <f t="shared" si="0"/>
        <v>0</v>
      </c>
    </row>
    <row r="7" spans="1:16">
      <c r="A7" s="152">
        <v>45687</v>
      </c>
      <c r="B7" s="48">
        <f>IFERROR(VLOOKUP(Tabela3[[#This Row],[RESERVA]],Tabela96[[RESERVA]:[PROJETO]],2,FALSE),"")</f>
        <v>32</v>
      </c>
      <c r="C7" s="48">
        <f>IFERROR(VLOOKUP(Tabela3[[#This Row],[RESERVA]],Tabela96[[RESERVA]:[PROJETO]],3,FALSE),"")</f>
        <v>3484</v>
      </c>
      <c r="D7" s="103">
        <f>IFERROR(VLOOKUP(Tabela3[[#This Row],[RESERVA]],Tabela96[[RESERVA]:[PROJETO]],4,FALSE),"")</f>
        <v>2128</v>
      </c>
      <c r="E7" s="103">
        <f>IFERROR(VLOOKUP(Tabela3[[#This Row],[RESERVA]],Tabela96[[RESERVA]:[PROJETO]],5,FALSE),"")</f>
        <v>88</v>
      </c>
      <c r="F7" s="78">
        <v>4248</v>
      </c>
      <c r="G7" s="59">
        <v>121920</v>
      </c>
      <c r="H7" s="104" t="s">
        <v>379</v>
      </c>
      <c r="I7" s="155">
        <v>2871</v>
      </c>
      <c r="J7" s="65">
        <v>3220</v>
      </c>
      <c r="K7" s="65"/>
      <c r="L7" s="428">
        <f>Tabela3[[#This Row],[VALOR
 EMPENHO]]-Tabela3[[#This Row],[ESTORNO]]</f>
        <v>3220</v>
      </c>
      <c r="M7" s="304">
        <f>SUMIFS('LIQUIDAÇÃO 2025'!K:K,'LIQUIDAÇÃO 2025'!B:B,Tabela3[[#This Row],[CÓDIGO
 EMPRESA ]],'LIQUIDAÇÃO 2025'!C:C,Tabela3[[#This Row],[EMPRESA]],'LIQUIDAÇÃO 2025'!F:F,Tabela3[[#This Row],[EMPENHO]])</f>
        <v>3220</v>
      </c>
      <c r="N7" s="69">
        <f t="shared" si="0"/>
        <v>0</v>
      </c>
    </row>
    <row r="8" spans="1:16">
      <c r="A8" s="151">
        <v>45687</v>
      </c>
      <c r="B8" s="48">
        <f>IFERROR(VLOOKUP(Tabela3[[#This Row],[RESERVA]],Tabela96[[RESERVA]:[PROJETO]],2,FALSE),"")</f>
        <v>32</v>
      </c>
      <c r="C8" s="48">
        <f>IFERROR(VLOOKUP(Tabela3[[#This Row],[RESERVA]],Tabela96[[RESERVA]:[PROJETO]],3,FALSE),"")</f>
        <v>2226</v>
      </c>
      <c r="D8" s="103">
        <f>IFERROR(VLOOKUP(Tabela3[[#This Row],[RESERVA]],Tabela96[[RESERVA]:[PROJETO]],4,FALSE),"")</f>
        <v>2128</v>
      </c>
      <c r="E8" s="103">
        <f>IFERROR(VLOOKUP(Tabela3[[#This Row],[RESERVA]],Tabela96[[RESERVA]:[PROJETO]],5,FALSE),"")</f>
        <v>50</v>
      </c>
      <c r="F8" s="78">
        <v>2635</v>
      </c>
      <c r="G8" s="59">
        <v>111624</v>
      </c>
      <c r="H8" s="104" t="s">
        <v>367</v>
      </c>
      <c r="I8" s="155">
        <v>2861</v>
      </c>
      <c r="J8" s="65">
        <v>3996</v>
      </c>
      <c r="K8" s="64">
        <v>3996</v>
      </c>
      <c r="L8" s="428">
        <f>Tabela3[[#This Row],[VALOR
 EMPENHO]]-Tabela3[[#This Row],[ESTORNO]]</f>
        <v>0</v>
      </c>
      <c r="M8" s="304">
        <f>SUMIFS('LIQUIDAÇÃO 2025'!K:K,'LIQUIDAÇÃO 2025'!B:B,Tabela3[[#This Row],[CÓDIGO
 EMPRESA ]],'LIQUIDAÇÃO 2025'!C:C,Tabela3[[#This Row],[EMPRESA]],'LIQUIDAÇÃO 2025'!F:F,Tabela3[[#This Row],[EMPENHO]])</f>
        <v>0</v>
      </c>
      <c r="N8" s="69">
        <f t="shared" si="0"/>
        <v>0</v>
      </c>
    </row>
    <row r="9" spans="1:16">
      <c r="A9" s="151">
        <v>45687</v>
      </c>
      <c r="B9" s="48">
        <f>IFERROR(VLOOKUP(Tabela3[[#This Row],[RESERVA]],Tabela96[[RESERVA]:[PROJETO]],2,FALSE),"")</f>
        <v>30</v>
      </c>
      <c r="C9" s="48">
        <f>IFERROR(VLOOKUP(Tabela3[[#This Row],[RESERVA]],Tabela96[[RESERVA]:[PROJETO]],3,FALSE),"")</f>
        <v>2258</v>
      </c>
      <c r="D9" s="103">
        <f>IFERROR(VLOOKUP(Tabela3[[#This Row],[RESERVA]],Tabela96[[RESERVA]:[PROJETO]],4,FALSE),"")</f>
        <v>2126</v>
      </c>
      <c r="E9" s="103">
        <f>IFERROR(VLOOKUP(Tabela3[[#This Row],[RESERVA]],Tabela96[[RESERVA]:[PROJETO]],5,FALSE),"")</f>
        <v>104</v>
      </c>
      <c r="F9" s="78">
        <v>2640</v>
      </c>
      <c r="G9" s="59">
        <v>111624</v>
      </c>
      <c r="H9" s="104" t="s">
        <v>367</v>
      </c>
      <c r="I9" s="155">
        <v>2866</v>
      </c>
      <c r="J9" s="65">
        <v>4000</v>
      </c>
      <c r="K9" s="65">
        <v>4000</v>
      </c>
      <c r="L9" s="428">
        <f>Tabela3[[#This Row],[VALOR
 EMPENHO]]-Tabela3[[#This Row],[ESTORNO]]</f>
        <v>0</v>
      </c>
      <c r="M9" s="304">
        <f>SUMIFS('LIQUIDAÇÃO 2025'!K:K,'LIQUIDAÇÃO 2025'!B:B,Tabela3[[#This Row],[CÓDIGO
 EMPRESA ]],'LIQUIDAÇÃO 2025'!C:C,Tabela3[[#This Row],[EMPRESA]],'LIQUIDAÇÃO 2025'!F:F,Tabela3[[#This Row],[EMPENHO]])</f>
        <v>0</v>
      </c>
      <c r="N9" s="69">
        <f t="shared" si="0"/>
        <v>0</v>
      </c>
    </row>
    <row r="10" spans="1:16">
      <c r="A10" s="152">
        <v>45687</v>
      </c>
      <c r="B10" s="48">
        <f>IFERROR(VLOOKUP(Tabela3[[#This Row],[RESERVA]],Tabela96[[RESERVA]:[PROJETO]],2,FALSE),"")</f>
        <v>30</v>
      </c>
      <c r="C10" s="48">
        <f>IFERROR(VLOOKUP(Tabela3[[#This Row],[RESERVA]],Tabela96[[RESERVA]:[PROJETO]],3,FALSE),"")</f>
        <v>2261</v>
      </c>
      <c r="D10" s="103">
        <f>IFERROR(VLOOKUP(Tabela3[[#This Row],[RESERVA]],Tabela96[[RESERVA]:[PROJETO]],4,FALSE),"")</f>
        <v>2126</v>
      </c>
      <c r="E10" s="103">
        <f>IFERROR(VLOOKUP(Tabela3[[#This Row],[RESERVA]],Tabela96[[RESERVA]:[PROJETO]],5,FALSE),"")</f>
        <v>104</v>
      </c>
      <c r="F10" s="78">
        <v>2623</v>
      </c>
      <c r="G10" s="36">
        <v>67538</v>
      </c>
      <c r="H10" s="104" t="s">
        <v>325</v>
      </c>
      <c r="I10" s="155">
        <v>3068</v>
      </c>
      <c r="J10" s="64">
        <v>3070.32</v>
      </c>
      <c r="K10" s="79"/>
      <c r="L10" s="428">
        <f>Tabela3[[#This Row],[VALOR
 EMPENHO]]-Tabela3[[#This Row],[ESTORNO]]</f>
        <v>3070.32</v>
      </c>
      <c r="M10" s="304">
        <f>SUMIFS('LIQUIDAÇÃO 2025'!K:K,'LIQUIDAÇÃO 2025'!B:B,Tabela3[[#This Row],[CÓDIGO
 EMPRESA ]],'LIQUIDAÇÃO 2025'!C:C,Tabela3[[#This Row],[EMPRESA]],'LIQUIDAÇÃO 2025'!F:F,Tabela3[[#This Row],[EMPENHO]])</f>
        <v>3070.32</v>
      </c>
      <c r="N10" s="69">
        <f t="shared" si="0"/>
        <v>0</v>
      </c>
    </row>
    <row r="11" spans="1:16">
      <c r="A11" s="153">
        <v>45687</v>
      </c>
      <c r="B11" s="48">
        <f>IFERROR(VLOOKUP(Tabela3[[#This Row],[RESERVA]],Tabela96[[RESERVA]:[PROJETO]],2,FALSE),"")</f>
        <v>30</v>
      </c>
      <c r="C11" s="48">
        <f>IFERROR(VLOOKUP(Tabela3[[#This Row],[RESERVA]],Tabela96[[RESERVA]:[PROJETO]],3,FALSE),"")</f>
        <v>2258</v>
      </c>
      <c r="D11" s="103">
        <f>IFERROR(VLOOKUP(Tabela3[[#This Row],[RESERVA]],Tabela96[[RESERVA]:[PROJETO]],4,FALSE),"")</f>
        <v>2126</v>
      </c>
      <c r="E11" s="103">
        <f>IFERROR(VLOOKUP(Tabela3[[#This Row],[RESERVA]],Tabela96[[RESERVA]:[PROJETO]],5,FALSE),"")</f>
        <v>104</v>
      </c>
      <c r="F11" s="78">
        <v>2642</v>
      </c>
      <c r="G11" s="78">
        <v>67538</v>
      </c>
      <c r="H11" s="104" t="s">
        <v>325</v>
      </c>
      <c r="I11" s="156">
        <v>3071</v>
      </c>
      <c r="J11" s="79">
        <v>1168.9000000000001</v>
      </c>
      <c r="K11" s="79"/>
      <c r="L11" s="428">
        <f>Tabela3[[#This Row],[VALOR
 EMPENHO]]-Tabela3[[#This Row],[ESTORNO]]</f>
        <v>1168.9000000000001</v>
      </c>
      <c r="M11" s="304">
        <f>SUMIFS('LIQUIDAÇÃO 2025'!K:K,'LIQUIDAÇÃO 2025'!B:B,Tabela3[[#This Row],[CÓDIGO
 EMPRESA ]],'LIQUIDAÇÃO 2025'!C:C,Tabela3[[#This Row],[EMPRESA]],'LIQUIDAÇÃO 2025'!F:F,Tabela3[[#This Row],[EMPENHO]])</f>
        <v>0</v>
      </c>
      <c r="N11" s="69">
        <f t="shared" si="0"/>
        <v>1168.9000000000001</v>
      </c>
    </row>
    <row r="12" spans="1:16">
      <c r="A12" s="151">
        <v>45687</v>
      </c>
      <c r="B12" s="48">
        <f>IFERROR(VLOOKUP(Tabela3[[#This Row],[RESERVA]],Tabela96[[RESERVA]:[PROJETO]],2,FALSE),"")</f>
        <v>29</v>
      </c>
      <c r="C12" s="48">
        <f>IFERROR(VLOOKUP(Tabela3[[#This Row],[RESERVA]],Tabela96[[RESERVA]:[PROJETO]],3,FALSE),"")</f>
        <v>2248</v>
      </c>
      <c r="D12" s="103">
        <f>IFERROR(VLOOKUP(Tabela3[[#This Row],[RESERVA]],Tabela96[[RESERVA]:[PROJETO]],4,FALSE),"")</f>
        <v>2123</v>
      </c>
      <c r="E12" s="103">
        <f>IFERROR(VLOOKUP(Tabela3[[#This Row],[RESERVA]],Tabela96[[RESERVA]:[PROJETO]],5,FALSE),"")</f>
        <v>69</v>
      </c>
      <c r="F12" s="78">
        <v>2624</v>
      </c>
      <c r="G12" s="36">
        <v>67547</v>
      </c>
      <c r="H12" s="104" t="s">
        <v>294</v>
      </c>
      <c r="I12" s="155">
        <v>2834</v>
      </c>
      <c r="J12" s="65">
        <v>44282</v>
      </c>
      <c r="K12" s="65">
        <v>1890</v>
      </c>
      <c r="L12" s="428">
        <f>Tabela3[[#This Row],[VALOR
 EMPENHO]]-Tabela3[[#This Row],[ESTORNO]]</f>
        <v>42392</v>
      </c>
      <c r="M12" s="304">
        <f>SUMIFS('LIQUIDAÇÃO 2025'!K:K,'LIQUIDAÇÃO 2025'!B:B,Tabela3[[#This Row],[CÓDIGO
 EMPRESA ]],'LIQUIDAÇÃO 2025'!C:C,Tabela3[[#This Row],[EMPRESA]],'LIQUIDAÇÃO 2025'!F:F,Tabela3[[#This Row],[EMPENHO]])</f>
        <v>42392</v>
      </c>
      <c r="N12" s="69">
        <f t="shared" si="0"/>
        <v>0</v>
      </c>
    </row>
    <row r="13" spans="1:16">
      <c r="A13" s="152">
        <v>45687</v>
      </c>
      <c r="B13" s="48">
        <f>IFERROR(VLOOKUP(Tabela3[[#This Row],[RESERVA]],Tabela96[[RESERVA]:[PROJETO]],2,FALSE),"")</f>
        <v>30</v>
      </c>
      <c r="C13" s="48">
        <f>IFERROR(VLOOKUP(Tabela3[[#This Row],[RESERVA]],Tabela96[[RESERVA]:[PROJETO]],3,FALSE),"")</f>
        <v>2253</v>
      </c>
      <c r="D13" s="103">
        <f>IFERROR(VLOOKUP(Tabela3[[#This Row],[RESERVA]],Tabela96[[RESERVA]:[PROJETO]],4,FALSE),"")</f>
        <v>2124</v>
      </c>
      <c r="E13" s="103">
        <f>IFERROR(VLOOKUP(Tabela3[[#This Row],[RESERVA]],Tabela96[[RESERVA]:[PROJETO]],5,FALSE),"")</f>
        <v>25</v>
      </c>
      <c r="F13" s="78">
        <v>2637</v>
      </c>
      <c r="G13" s="36">
        <v>117936</v>
      </c>
      <c r="H13" s="104" t="s">
        <v>154</v>
      </c>
      <c r="I13" s="155">
        <v>2929</v>
      </c>
      <c r="J13" s="64">
        <v>241000</v>
      </c>
      <c r="K13" s="79"/>
      <c r="L13" s="428">
        <f>Tabela3[[#This Row],[VALOR
 EMPENHO]]-Tabela3[[#This Row],[ESTORNO]]</f>
        <v>241000</v>
      </c>
      <c r="M13" s="304">
        <f>SUMIFS('LIQUIDAÇÃO 2025'!K:K,'LIQUIDAÇÃO 2025'!B:B,Tabela3[[#This Row],[CÓDIGO
 EMPRESA ]],'LIQUIDAÇÃO 2025'!C:C,Tabela3[[#This Row],[EMPRESA]],'LIQUIDAÇÃO 2025'!F:F,Tabela3[[#This Row],[EMPENHO]])</f>
        <v>241000</v>
      </c>
      <c r="N13" s="69">
        <f t="shared" si="0"/>
        <v>0</v>
      </c>
    </row>
    <row r="14" spans="1:16">
      <c r="A14" s="152">
        <v>45687</v>
      </c>
      <c r="B14" s="48">
        <f>IFERROR(VLOOKUP(Tabela3[[#This Row],[RESERVA]],Tabela96[[RESERVA]:[PROJETO]],2,FALSE),"")</f>
        <v>30</v>
      </c>
      <c r="C14" s="48">
        <f>IFERROR(VLOOKUP(Tabela3[[#This Row],[RESERVA]],Tabela96[[RESERVA]:[PROJETO]],3,FALSE),"")</f>
        <v>2253</v>
      </c>
      <c r="D14" s="103">
        <f>IFERROR(VLOOKUP(Tabela3[[#This Row],[RESERVA]],Tabela96[[RESERVA]:[PROJETO]],4,FALSE),"")</f>
        <v>2124</v>
      </c>
      <c r="E14" s="103">
        <f>IFERROR(VLOOKUP(Tabela3[[#This Row],[RESERVA]],Tabela96[[RESERVA]:[PROJETO]],5,FALSE),"")</f>
        <v>25</v>
      </c>
      <c r="F14" s="36">
        <v>5786</v>
      </c>
      <c r="G14" s="36">
        <v>117936</v>
      </c>
      <c r="H14" s="104" t="s">
        <v>154</v>
      </c>
      <c r="I14" s="156">
        <v>8371</v>
      </c>
      <c r="J14" s="64">
        <v>18500</v>
      </c>
      <c r="K14" s="65"/>
      <c r="L14" s="428">
        <f>Tabela3[[#This Row],[VALOR
 EMPENHO]]-Tabela3[[#This Row],[ESTORNO]]</f>
        <v>18500</v>
      </c>
      <c r="M14" s="304">
        <f>SUMIFS('LIQUIDAÇÃO 2025'!K:K,'LIQUIDAÇÃO 2025'!B:B,Tabela3[[#This Row],[CÓDIGO
 EMPRESA ]],'LIQUIDAÇÃO 2025'!C:C,Tabela3[[#This Row],[EMPRESA]],'LIQUIDAÇÃO 2025'!F:F,Tabela3[[#This Row],[EMPENHO]])</f>
        <v>18500</v>
      </c>
      <c r="N14" s="245">
        <f t="shared" si="0"/>
        <v>0</v>
      </c>
    </row>
    <row r="15" spans="1:16">
      <c r="A15" s="152">
        <v>45687</v>
      </c>
      <c r="B15" s="48">
        <f>IFERROR(VLOOKUP(Tabela3[[#This Row],[RESERVA]],Tabela96[[RESERVA]:[PROJETO]],2,FALSE),"")</f>
        <v>30</v>
      </c>
      <c r="C15" s="48">
        <f>IFERROR(VLOOKUP(Tabela3[[#This Row],[RESERVA]],Tabela96[[RESERVA]:[PROJETO]],3,FALSE),"")</f>
        <v>3487</v>
      </c>
      <c r="D15" s="103">
        <f>IFERROR(VLOOKUP(Tabela3[[#This Row],[RESERVA]],Tabela96[[RESERVA]:[PROJETO]],4,FALSE),"")</f>
        <v>2124</v>
      </c>
      <c r="E15" s="103">
        <f>IFERROR(VLOOKUP(Tabela3[[#This Row],[RESERVA]],Tabela96[[RESERVA]:[PROJETO]],5,FALSE),"")</f>
        <v>25</v>
      </c>
      <c r="F15" s="36">
        <v>7055</v>
      </c>
      <c r="G15" s="36">
        <v>117936</v>
      </c>
      <c r="H15" s="104" t="s">
        <v>154</v>
      </c>
      <c r="I15" s="156">
        <v>11420</v>
      </c>
      <c r="J15" s="479">
        <v>18500</v>
      </c>
      <c r="K15" s="64"/>
      <c r="L15" s="428">
        <f>Tabela3[[#This Row],[VALOR
 EMPENHO]]-Tabela3[[#This Row],[ESTORNO]]</f>
        <v>18500</v>
      </c>
      <c r="M15" s="304">
        <f>SUMIFS('LIQUIDAÇÃO 2025'!K:K,'LIQUIDAÇÃO 2025'!B:B,Tabela3[[#This Row],[CÓDIGO
 EMPRESA ]],'LIQUIDAÇÃO 2025'!C:C,Tabela3[[#This Row],[EMPRESA]],'LIQUIDAÇÃO 2025'!F:F,Tabela3[[#This Row],[EMPENHO]])</f>
        <v>18500</v>
      </c>
      <c r="N15" s="245">
        <f t="shared" si="0"/>
        <v>0</v>
      </c>
    </row>
    <row r="16" spans="1:16">
      <c r="A16" s="152">
        <v>45687</v>
      </c>
      <c r="B16" s="48">
        <f>IFERROR(VLOOKUP(Tabela3[[#This Row],[RESERVA]],Tabela96[[RESERVA]:[PROJETO]],2,FALSE),"")</f>
        <v>30</v>
      </c>
      <c r="C16" s="48">
        <f>IFERROR(VLOOKUP(Tabela3[[#This Row],[RESERVA]],Tabela96[[RESERVA]:[PROJETO]],3,FALSE),"")</f>
        <v>2253</v>
      </c>
      <c r="D16" s="103">
        <f>IFERROR(VLOOKUP(Tabela3[[#This Row],[RESERVA]],Tabela96[[RESERVA]:[PROJETO]],4,FALSE),"")</f>
        <v>2124</v>
      </c>
      <c r="E16" s="103">
        <f>IFERROR(VLOOKUP(Tabela3[[#This Row],[RESERVA]],Tabela96[[RESERVA]:[PROJETO]],5,FALSE),"")</f>
        <v>25</v>
      </c>
      <c r="F16" s="556">
        <v>5786</v>
      </c>
      <c r="G16" s="556">
        <v>117936</v>
      </c>
      <c r="H16" s="104" t="s">
        <v>154</v>
      </c>
      <c r="I16" s="943">
        <v>16586</v>
      </c>
      <c r="J16" s="557">
        <v>37000</v>
      </c>
      <c r="K16" s="417"/>
      <c r="L16" s="509">
        <f>Tabela3[[#This Row],[VALOR
 EMPENHO]]-Tabela3[[#This Row],[ESTORNO]]</f>
        <v>37000</v>
      </c>
      <c r="M16" s="304">
        <f>SUMIFS('LIQUIDAÇÃO 2025'!K:K,'LIQUIDAÇÃO 2025'!B:B,Tabela3[[#This Row],[CÓDIGO
 EMPRESA ]],'LIQUIDAÇÃO 2025'!C:C,Tabela3[[#This Row],[EMPRESA]],'LIQUIDAÇÃO 2025'!F:F,Tabela3[[#This Row],[EMPENHO]])</f>
        <v>37000</v>
      </c>
      <c r="N16" s="245">
        <f t="shared" si="0"/>
        <v>0</v>
      </c>
    </row>
    <row r="17" spans="1:17">
      <c r="A17" s="152">
        <v>45687</v>
      </c>
      <c r="B17" s="48">
        <f>IFERROR(VLOOKUP(Tabela3[[#This Row],[RESERVA]],Tabela96[[RESERVA]:[PROJETO]],2,FALSE),"")</f>
        <v>30</v>
      </c>
      <c r="C17" s="48">
        <f>IFERROR(VLOOKUP(Tabela3[[#This Row],[RESERVA]],Tabela96[[RESERVA]:[PROJETO]],3,FALSE),"")</f>
        <v>2253</v>
      </c>
      <c r="D17" s="103">
        <f>IFERROR(VLOOKUP(Tabela3[[#This Row],[RESERVA]],Tabela96[[RESERVA]:[PROJETO]],4,FALSE),"")</f>
        <v>2124</v>
      </c>
      <c r="E17" s="103">
        <f>IFERROR(VLOOKUP(Tabela3[[#This Row],[RESERVA]],Tabela96[[RESERVA]:[PROJETO]],5,FALSE),"")</f>
        <v>25</v>
      </c>
      <c r="F17" s="629">
        <v>5786</v>
      </c>
      <c r="G17" s="629">
        <v>117936</v>
      </c>
      <c r="H17" s="104" t="s">
        <v>154</v>
      </c>
      <c r="I17" s="943">
        <v>19149</v>
      </c>
      <c r="J17" s="630">
        <v>37000</v>
      </c>
      <c r="K17" s="945"/>
      <c r="L17" s="509">
        <f>Tabela3[[#This Row],[VALOR
 EMPENHO]]-Tabela3[[#This Row],[ESTORNO]]</f>
        <v>37000</v>
      </c>
      <c r="M17" s="304">
        <f>SUMIFS('LIQUIDAÇÃO 2025'!K:K,'LIQUIDAÇÃO 2025'!B:B,Tabela3[[#This Row],[CÓDIGO
 EMPRESA ]],'LIQUIDAÇÃO 2025'!C:C,Tabela3[[#This Row],[EMPRESA]],'LIQUIDAÇÃO 2025'!F:F,Tabela3[[#This Row],[EMPENHO]])</f>
        <v>37000</v>
      </c>
      <c r="N17" s="245">
        <f t="shared" si="0"/>
        <v>0</v>
      </c>
    </row>
    <row r="18" spans="1:17">
      <c r="A18" s="151">
        <v>45687</v>
      </c>
      <c r="B18" s="48">
        <f>IFERROR(VLOOKUP(Tabela3[[#This Row],[RESERVA]],Tabela96[[RESERVA]:[PROJETO]],2,FALSE),"")</f>
        <v>29</v>
      </c>
      <c r="C18" s="48">
        <f>IFERROR(VLOOKUP(Tabela3[[#This Row],[RESERVA]],Tabela96[[RESERVA]:[PROJETO]],3,FALSE),"")</f>
        <v>2248</v>
      </c>
      <c r="D18" s="103">
        <f>IFERROR(VLOOKUP(Tabela3[[#This Row],[RESERVA]],Tabela96[[RESERVA]:[PROJETO]],4,FALSE),"")</f>
        <v>2123</v>
      </c>
      <c r="E18" s="103">
        <f>IFERROR(VLOOKUP(Tabela3[[#This Row],[RESERVA]],Tabela96[[RESERVA]:[PROJETO]],5,FALSE),"")</f>
        <v>69</v>
      </c>
      <c r="F18" s="78">
        <v>2643</v>
      </c>
      <c r="G18" s="59">
        <v>73402</v>
      </c>
      <c r="H18" s="104" t="s">
        <v>295</v>
      </c>
      <c r="I18" s="155">
        <v>2830</v>
      </c>
      <c r="J18" s="65">
        <v>219020</v>
      </c>
      <c r="K18" s="65">
        <v>73771.37</v>
      </c>
      <c r="L18" s="428">
        <f>Tabela3[[#This Row],[VALOR
 EMPENHO]]-Tabela3[[#This Row],[ESTORNO]]</f>
        <v>145248.63</v>
      </c>
      <c r="M18" s="304">
        <f>SUMIFS('LIQUIDAÇÃO 2025'!K:K,'LIQUIDAÇÃO 2025'!B:B,Tabela3[[#This Row],[CÓDIGO
 EMPRESA ]],'LIQUIDAÇÃO 2025'!C:C,Tabela3[[#This Row],[EMPRESA]],'LIQUIDAÇÃO 2025'!F:F,Tabela3[[#This Row],[EMPENHO]])</f>
        <v>145248.63</v>
      </c>
      <c r="N18" s="69">
        <f t="shared" si="0"/>
        <v>0</v>
      </c>
    </row>
    <row r="19" spans="1:17">
      <c r="A19" s="151">
        <v>45687</v>
      </c>
      <c r="B19" s="48">
        <f>IFERROR(VLOOKUP(Tabela3[[#This Row],[RESERVA]],Tabela96[[RESERVA]:[PROJETO]],2,FALSE),"")</f>
        <v>32</v>
      </c>
      <c r="C19" s="48">
        <f>IFERROR(VLOOKUP(Tabela3[[#This Row],[RESERVA]],Tabela96[[RESERVA]:[PROJETO]],3,FALSE),"")</f>
        <v>2229</v>
      </c>
      <c r="D19" s="103">
        <f>IFERROR(VLOOKUP(Tabela3[[#This Row],[RESERVA]],Tabela96[[RESERVA]:[PROJETO]],4,FALSE),"")</f>
        <v>2128</v>
      </c>
      <c r="E19" s="103">
        <f>IFERROR(VLOOKUP(Tabela3[[#This Row],[RESERVA]],Tabela96[[RESERVA]:[PROJETO]],5,FALSE),"")</f>
        <v>245</v>
      </c>
      <c r="F19" s="78">
        <v>2644</v>
      </c>
      <c r="G19" s="59">
        <v>54615</v>
      </c>
      <c r="H19" s="104" t="s">
        <v>158</v>
      </c>
      <c r="I19" s="155">
        <v>2854</v>
      </c>
      <c r="J19" s="65">
        <v>36603</v>
      </c>
      <c r="K19" s="65">
        <v>20916</v>
      </c>
      <c r="L19" s="428">
        <f>Tabela3[[#This Row],[VALOR
 EMPENHO]]-Tabela3[[#This Row],[ESTORNO]]</f>
        <v>15687</v>
      </c>
      <c r="M19" s="304">
        <f>SUMIFS('LIQUIDAÇÃO 2025'!K:K,'LIQUIDAÇÃO 2025'!B:B,Tabela3[[#This Row],[CÓDIGO
 EMPRESA ]],'LIQUIDAÇÃO 2025'!C:C,Tabela3[[#This Row],[EMPRESA]],'LIQUIDAÇÃO 2025'!F:F,Tabela3[[#This Row],[EMPENHO]])</f>
        <v>15687</v>
      </c>
      <c r="N19" s="69">
        <f t="shared" si="0"/>
        <v>0</v>
      </c>
    </row>
    <row r="20" spans="1:17">
      <c r="A20" s="151">
        <v>45687</v>
      </c>
      <c r="B20" s="48">
        <f>IFERROR(VLOOKUP(Tabela3[[#This Row],[RESERVA]],Tabela96[[RESERVA]:[PROJETO]],2,FALSE),"")</f>
        <v>29</v>
      </c>
      <c r="C20" s="48">
        <f>IFERROR(VLOOKUP(Tabela3[[#This Row],[RESERVA]],Tabela96[[RESERVA]:[PROJETO]],3,FALSE),"")</f>
        <v>2248</v>
      </c>
      <c r="D20" s="103">
        <f>IFERROR(VLOOKUP(Tabela3[[#This Row],[RESERVA]],Tabela96[[RESERVA]:[PROJETO]],4,FALSE),"")</f>
        <v>2123</v>
      </c>
      <c r="E20" s="103">
        <f>IFERROR(VLOOKUP(Tabela3[[#This Row],[RESERVA]],Tabela96[[RESERVA]:[PROJETO]],5,FALSE),"")</f>
        <v>69</v>
      </c>
      <c r="F20" s="78">
        <v>2638</v>
      </c>
      <c r="G20" s="59">
        <v>122083</v>
      </c>
      <c r="H20" s="104" t="s">
        <v>293</v>
      </c>
      <c r="I20" s="155">
        <v>2835</v>
      </c>
      <c r="J20" s="65">
        <v>60500</v>
      </c>
      <c r="K20" s="79"/>
      <c r="L20" s="428">
        <f>Tabela3[[#This Row],[VALOR
 EMPENHO]]-Tabela3[[#This Row],[ESTORNO]]</f>
        <v>60500</v>
      </c>
      <c r="M20" s="304">
        <f>SUMIFS('LIQUIDAÇÃO 2025'!K:K,'LIQUIDAÇÃO 2025'!B:B,Tabela3[[#This Row],[CÓDIGO
 EMPRESA ]],'LIQUIDAÇÃO 2025'!C:C,Tabela3[[#This Row],[EMPRESA]],'LIQUIDAÇÃO 2025'!F:F,Tabela3[[#This Row],[EMPENHO]])</f>
        <v>60500</v>
      </c>
      <c r="N20" s="69">
        <f t="shared" si="0"/>
        <v>0</v>
      </c>
    </row>
    <row r="21" spans="1:17">
      <c r="A21" s="151">
        <v>45687</v>
      </c>
      <c r="B21" s="48">
        <f>IFERROR(VLOOKUP(Tabela3[[#This Row],[RESERVA]],Tabela96[[RESERVA]:[PROJETO]],2,FALSE),"")</f>
        <v>29</v>
      </c>
      <c r="C21" s="48">
        <f>IFERROR(VLOOKUP(Tabela3[[#This Row],[RESERVA]],Tabela96[[RESERVA]:[PROJETO]],3,FALSE),"")</f>
        <v>2244</v>
      </c>
      <c r="D21" s="103">
        <f>IFERROR(VLOOKUP(Tabela3[[#This Row],[RESERVA]],Tabela96[[RESERVA]:[PROJETO]],4,FALSE),"")</f>
        <v>2123</v>
      </c>
      <c r="E21" s="103">
        <f>IFERROR(VLOOKUP(Tabela3[[#This Row],[RESERVA]],Tabela96[[RESERVA]:[PROJETO]],5,FALSE),"")</f>
        <v>92</v>
      </c>
      <c r="F21" s="78">
        <v>2629</v>
      </c>
      <c r="G21" s="59">
        <v>122083</v>
      </c>
      <c r="H21" s="104" t="s">
        <v>293</v>
      </c>
      <c r="I21" s="155">
        <v>2836</v>
      </c>
      <c r="J21" s="65">
        <v>16200</v>
      </c>
      <c r="K21" s="65"/>
      <c r="L21" s="428">
        <f>Tabela3[[#This Row],[VALOR
 EMPENHO]]-Tabela3[[#This Row],[ESTORNO]]</f>
        <v>16200</v>
      </c>
      <c r="M21" s="304">
        <f>SUMIFS('LIQUIDAÇÃO 2025'!K:K,'LIQUIDAÇÃO 2025'!B:B,Tabela3[[#This Row],[CÓDIGO
 EMPRESA ]],'LIQUIDAÇÃO 2025'!C:C,Tabela3[[#This Row],[EMPRESA]],'LIQUIDAÇÃO 2025'!F:F,Tabela3[[#This Row],[EMPENHO]])</f>
        <v>8800</v>
      </c>
      <c r="N21" s="69">
        <f t="shared" si="0"/>
        <v>7400</v>
      </c>
      <c r="P21" s="62"/>
      <c r="Q21" s="62"/>
    </row>
    <row r="22" spans="1:17">
      <c r="A22" s="152">
        <v>45687</v>
      </c>
      <c r="B22" s="48">
        <f>IFERROR(VLOOKUP(Tabela3[[#This Row],[RESERVA]],Tabela96[[RESERVA]:[PROJETO]],2,FALSE),"")</f>
        <v>32</v>
      </c>
      <c r="C22" s="48">
        <f>IFERROR(VLOOKUP(Tabela3[[#This Row],[RESERVA]],Tabela96[[RESERVA]:[PROJETO]],3,FALSE),"")</f>
        <v>2229</v>
      </c>
      <c r="D22" s="103">
        <f>IFERROR(VLOOKUP(Tabela3[[#This Row],[RESERVA]],Tabela96[[RESERVA]:[PROJETO]],4,FALSE),"")</f>
        <v>2128</v>
      </c>
      <c r="E22" s="103">
        <f>IFERROR(VLOOKUP(Tabela3[[#This Row],[RESERVA]],Tabela96[[RESERVA]:[PROJETO]],5,FALSE),"")</f>
        <v>117</v>
      </c>
      <c r="F22" s="78">
        <v>2641</v>
      </c>
      <c r="G22" s="36">
        <v>34074</v>
      </c>
      <c r="H22" s="104" t="s">
        <v>360</v>
      </c>
      <c r="I22" s="155">
        <v>2885</v>
      </c>
      <c r="J22" s="64">
        <v>5798</v>
      </c>
      <c r="K22" s="65"/>
      <c r="L22" s="428">
        <f>Tabela3[[#This Row],[VALOR
 EMPENHO]]-Tabela3[[#This Row],[ESTORNO]]</f>
        <v>5798</v>
      </c>
      <c r="M22" s="304">
        <f>SUMIFS('LIQUIDAÇÃO 2025'!K:K,'LIQUIDAÇÃO 2025'!B:B,Tabela3[[#This Row],[CÓDIGO
 EMPRESA ]],'LIQUIDAÇÃO 2025'!C:C,Tabela3[[#This Row],[EMPRESA]],'LIQUIDAÇÃO 2025'!F:F,Tabela3[[#This Row],[EMPENHO]])</f>
        <v>5798</v>
      </c>
      <c r="N22" s="69">
        <f t="shared" si="0"/>
        <v>0</v>
      </c>
      <c r="P22" s="10"/>
      <c r="Q22" s="62"/>
    </row>
    <row r="23" spans="1:17">
      <c r="A23" s="152">
        <v>45687</v>
      </c>
      <c r="B23" s="48">
        <f>IFERROR(VLOOKUP(Tabela3[[#This Row],[RESERVA]],Tabela96[[RESERVA]:[PROJETO]],2,FALSE),"")</f>
        <v>30</v>
      </c>
      <c r="C23" s="48">
        <f>IFERROR(VLOOKUP(Tabela3[[#This Row],[RESERVA]],Tabela96[[RESERVA]:[PROJETO]],3,FALSE),"")</f>
        <v>2253</v>
      </c>
      <c r="D23" s="103">
        <f>IFERROR(VLOOKUP(Tabela3[[#This Row],[RESERVA]],Tabela96[[RESERVA]:[PROJETO]],4,FALSE),"")</f>
        <v>2124</v>
      </c>
      <c r="E23" s="103">
        <f>IFERROR(VLOOKUP(Tabela3[[#This Row],[RESERVA]],Tabela96[[RESERVA]:[PROJETO]],5,FALSE),"")</f>
        <v>25</v>
      </c>
      <c r="F23" s="78">
        <v>2627</v>
      </c>
      <c r="G23" s="36">
        <v>68004</v>
      </c>
      <c r="H23" s="104" t="s">
        <v>382</v>
      </c>
      <c r="I23" s="155">
        <v>2927</v>
      </c>
      <c r="J23" s="64">
        <v>38011.15</v>
      </c>
      <c r="K23" s="79"/>
      <c r="L23" s="428">
        <f>Tabela3[[#This Row],[VALOR
 EMPENHO]]-Tabela3[[#This Row],[ESTORNO]]</f>
        <v>38011.15</v>
      </c>
      <c r="M23" s="304">
        <f>SUMIFS('LIQUIDAÇÃO 2025'!K:K,'LIQUIDAÇÃO 2025'!B:B,Tabela3[[#This Row],[CÓDIGO
 EMPRESA ]],'LIQUIDAÇÃO 2025'!C:C,Tabela3[[#This Row],[EMPRESA]],'LIQUIDAÇÃO 2025'!F:F,Tabela3[[#This Row],[EMPENHO]])</f>
        <v>38011.15</v>
      </c>
      <c r="N23" s="69">
        <f t="shared" si="0"/>
        <v>0</v>
      </c>
      <c r="P23" s="10"/>
    </row>
    <row r="24" spans="1:17">
      <c r="A24" s="152">
        <v>45688</v>
      </c>
      <c r="B24" s="48">
        <f>IFERROR(VLOOKUP(Tabela3[[#This Row],[RESERVA]],Tabela96[[RESERVA]:[PROJETO]],2,FALSE),"")</f>
        <v>32</v>
      </c>
      <c r="C24" s="48">
        <f>IFERROR(VLOOKUP(Tabela3[[#This Row],[RESERVA]],Tabela96[[RESERVA]:[PROJETO]],3,FALSE),"")</f>
        <v>2229</v>
      </c>
      <c r="D24" s="103">
        <f>IFERROR(VLOOKUP(Tabela3[[#This Row],[RESERVA]],Tabela96[[RESERVA]:[PROJETO]],4,FALSE),"")</f>
        <v>2128</v>
      </c>
      <c r="E24" s="103">
        <f>IFERROR(VLOOKUP(Tabela3[[#This Row],[RESERVA]],Tabela96[[RESERVA]:[PROJETO]],5,FALSE),"")</f>
        <v>237</v>
      </c>
      <c r="F24" s="36">
        <v>3006</v>
      </c>
      <c r="G24" s="36">
        <v>43964</v>
      </c>
      <c r="H24" s="104" t="s">
        <v>361</v>
      </c>
      <c r="I24" s="156">
        <v>3675</v>
      </c>
      <c r="J24" s="64">
        <v>2540376.2400000002</v>
      </c>
      <c r="K24" s="69">
        <v>2332915.9700000002</v>
      </c>
      <c r="L24" s="428">
        <f>Tabela3[[#This Row],[VALOR
 EMPENHO]]-Tabela3[[#This Row],[ESTORNO]]</f>
        <v>207460.27</v>
      </c>
      <c r="M24" s="304">
        <f>SUMIFS('LIQUIDAÇÃO 2025'!K:K,'LIQUIDAÇÃO 2025'!B:B,Tabela3[[#This Row],[CÓDIGO
 EMPRESA ]],'LIQUIDAÇÃO 2025'!C:C,Tabela3[[#This Row],[EMPRESA]],'LIQUIDAÇÃO 2025'!F:F,Tabela3[[#This Row],[EMPENHO]])</f>
        <v>207460.27</v>
      </c>
      <c r="N24" s="69">
        <f t="shared" si="0"/>
        <v>0</v>
      </c>
    </row>
    <row r="25" spans="1:17">
      <c r="A25" s="151">
        <v>45688</v>
      </c>
      <c r="B25" s="48">
        <f>IFERROR(VLOOKUP(Tabela3[[#This Row],[RESERVA]],Tabela96[[RESERVA]:[PROJETO]],2,FALSE),"")</f>
        <v>30</v>
      </c>
      <c r="C25" s="48">
        <f>IFERROR(VLOOKUP(Tabela3[[#This Row],[RESERVA]],Tabela96[[RESERVA]:[PROJETO]],3,FALSE),"")</f>
        <v>2253</v>
      </c>
      <c r="D25" s="103">
        <f>IFERROR(VLOOKUP(Tabela3[[#This Row],[RESERVA]],Tabela96[[RESERVA]:[PROJETO]],4,FALSE),"")</f>
        <v>2124</v>
      </c>
      <c r="E25" s="103">
        <f>IFERROR(VLOOKUP(Tabela3[[#This Row],[RESERVA]],Tabela96[[RESERVA]:[PROJETO]],5,FALSE),"")</f>
        <v>25</v>
      </c>
      <c r="F25" s="78">
        <v>2999</v>
      </c>
      <c r="G25" s="59">
        <v>121426</v>
      </c>
      <c r="H25" s="104" t="s">
        <v>316</v>
      </c>
      <c r="I25" s="155">
        <v>3677</v>
      </c>
      <c r="J25" s="65">
        <v>411942.67</v>
      </c>
      <c r="K25" s="65"/>
      <c r="L25" s="428">
        <f>Tabela3[[#This Row],[VALOR
 EMPENHO]]-Tabela3[[#This Row],[ESTORNO]]</f>
        <v>411942.67</v>
      </c>
      <c r="M25" s="304">
        <f>SUMIFS('LIQUIDAÇÃO 2025'!K:K,'LIQUIDAÇÃO 2025'!B:B,Tabela3[[#This Row],[CÓDIGO
 EMPRESA ]],'LIQUIDAÇÃO 2025'!C:C,Tabela3[[#This Row],[EMPRESA]],'LIQUIDAÇÃO 2025'!F:F,Tabela3[[#This Row],[EMPENHO]])</f>
        <v>411942.67</v>
      </c>
      <c r="N25" s="69">
        <f t="shared" si="0"/>
        <v>0</v>
      </c>
      <c r="Q25" s="10"/>
    </row>
    <row r="26" spans="1:17">
      <c r="A26" s="152">
        <v>45688</v>
      </c>
      <c r="B26" s="48">
        <f>IFERROR(VLOOKUP(Tabela3[[#This Row],[RESERVA]],Tabela96[[RESERVA]:[PROJETO]],2,FALSE),"")</f>
        <v>30</v>
      </c>
      <c r="C26" s="48">
        <f>IFERROR(VLOOKUP(Tabela3[[#This Row],[RESERVA]],Tabela96[[RESERVA]:[PROJETO]],3,FALSE),"")</f>
        <v>2253</v>
      </c>
      <c r="D26" s="103">
        <f>IFERROR(VLOOKUP(Tabela3[[#This Row],[RESERVA]],Tabela96[[RESERVA]:[PROJETO]],4,FALSE),"")</f>
        <v>2124</v>
      </c>
      <c r="E26" s="103">
        <f>IFERROR(VLOOKUP(Tabela3[[#This Row],[RESERVA]],Tabela96[[RESERVA]:[PROJETO]],5,FALSE),"")</f>
        <v>25</v>
      </c>
      <c r="F26" s="78">
        <v>2636</v>
      </c>
      <c r="G26" s="78">
        <v>76116</v>
      </c>
      <c r="H26" s="104" t="s">
        <v>120</v>
      </c>
      <c r="I26" s="156">
        <v>3256</v>
      </c>
      <c r="J26" s="79">
        <v>438900</v>
      </c>
      <c r="K26" s="701"/>
      <c r="L26" s="428">
        <f>Tabela3[[#This Row],[VALOR
 EMPENHO]]-Tabela3[[#This Row],[ESTORNO]]</f>
        <v>438900</v>
      </c>
      <c r="M26" s="304">
        <f>SUMIFS('LIQUIDAÇÃO 2025'!K:K,'LIQUIDAÇÃO 2025'!B:B,Tabela3[[#This Row],[CÓDIGO
 EMPRESA ]],'LIQUIDAÇÃO 2025'!C:C,Tabela3[[#This Row],[EMPRESA]],'LIQUIDAÇÃO 2025'!F:F,Tabela3[[#This Row],[EMPENHO]])</f>
        <v>438900</v>
      </c>
      <c r="N26" s="69">
        <f t="shared" si="0"/>
        <v>0</v>
      </c>
      <c r="P26" s="10"/>
    </row>
    <row r="27" spans="1:17">
      <c r="A27" s="152">
        <v>45688</v>
      </c>
      <c r="B27" s="48">
        <f>IFERROR(VLOOKUP(Tabela3[[#This Row],[RESERVA]],Tabela96[[RESERVA]:[PROJETO]],2,FALSE),"")</f>
        <v>30</v>
      </c>
      <c r="C27" s="48">
        <f>IFERROR(VLOOKUP(Tabela3[[#This Row],[RESERVA]],Tabela96[[RESERVA]:[PROJETO]],3,FALSE),"")</f>
        <v>2253</v>
      </c>
      <c r="D27" s="103">
        <f>IFERROR(VLOOKUP(Tabela3[[#This Row],[RESERVA]],Tabela96[[RESERVA]:[PROJETO]],4,FALSE),"")</f>
        <v>2124</v>
      </c>
      <c r="E27" s="103">
        <f>IFERROR(VLOOKUP(Tabela3[[#This Row],[RESERVA]],Tabela96[[RESERVA]:[PROJETO]],5,FALSE),"")</f>
        <v>25</v>
      </c>
      <c r="F27" s="78">
        <v>2634</v>
      </c>
      <c r="G27" s="36">
        <v>58778</v>
      </c>
      <c r="H27" s="104" t="s">
        <v>57</v>
      </c>
      <c r="I27" s="155">
        <v>2925</v>
      </c>
      <c r="J27" s="64">
        <v>405500</v>
      </c>
      <c r="K27" s="79"/>
      <c r="L27" s="428">
        <f>Tabela3[[#This Row],[VALOR
 EMPENHO]]-Tabela3[[#This Row],[ESTORNO]]</f>
        <v>405500</v>
      </c>
      <c r="M27" s="304">
        <f>SUMIFS('LIQUIDAÇÃO 2025'!K:K,'LIQUIDAÇÃO 2025'!B:B,Tabela3[[#This Row],[CÓDIGO
 EMPRESA ]],'LIQUIDAÇÃO 2025'!C:C,Tabela3[[#This Row],[EMPRESA]],'LIQUIDAÇÃO 2025'!F:F,Tabela3[[#This Row],[EMPENHO]])</f>
        <v>405500</v>
      </c>
      <c r="N27" s="69">
        <f t="shared" si="0"/>
        <v>0</v>
      </c>
    </row>
    <row r="28" spans="1:17">
      <c r="A28" s="152">
        <v>45688</v>
      </c>
      <c r="B28" s="48">
        <f>IFERROR(VLOOKUP(Tabela3[[#This Row],[RESERVA]],Tabela96[[RESERVA]:[PROJETO]],2,FALSE),"")</f>
        <v>30</v>
      </c>
      <c r="C28" s="48">
        <f>IFERROR(VLOOKUP(Tabela3[[#This Row],[RESERVA]],Tabela96[[RESERVA]:[PROJETO]],3,FALSE),"")</f>
        <v>2253</v>
      </c>
      <c r="D28" s="103">
        <f>IFERROR(VLOOKUP(Tabela3[[#This Row],[RESERVA]],Tabela96[[RESERVA]:[PROJETO]],4,FALSE),"")</f>
        <v>2124</v>
      </c>
      <c r="E28" s="103">
        <f>IFERROR(VLOOKUP(Tabela3[[#This Row],[RESERVA]],Tabela96[[RESERVA]:[PROJETO]],5,FALSE),"")</f>
        <v>25</v>
      </c>
      <c r="F28" s="78">
        <v>2634</v>
      </c>
      <c r="G28" s="36">
        <v>58778</v>
      </c>
      <c r="H28" s="104" t="s">
        <v>57</v>
      </c>
      <c r="I28" s="155">
        <v>3261</v>
      </c>
      <c r="J28" s="64">
        <v>405500</v>
      </c>
      <c r="K28" s="79"/>
      <c r="L28" s="428">
        <f>Tabela3[[#This Row],[VALOR
 EMPENHO]]-Tabela3[[#This Row],[ESTORNO]]</f>
        <v>405500</v>
      </c>
      <c r="M28" s="304">
        <f>SUMIFS('LIQUIDAÇÃO 2025'!K:K,'LIQUIDAÇÃO 2025'!B:B,Tabela3[[#This Row],[CÓDIGO
 EMPRESA ]],'LIQUIDAÇÃO 2025'!C:C,Tabela3[[#This Row],[EMPRESA]],'LIQUIDAÇÃO 2025'!F:F,Tabela3[[#This Row],[EMPENHO]])</f>
        <v>405500</v>
      </c>
      <c r="N28" s="69">
        <f t="shared" si="0"/>
        <v>0</v>
      </c>
    </row>
    <row r="29" spans="1:17">
      <c r="A29" s="153">
        <v>45688</v>
      </c>
      <c r="B29" s="48">
        <f>IFERROR(VLOOKUP(Tabela3[[#This Row],[RESERVA]],Tabela96[[RESERVA]:[PROJETO]],2,FALSE),"")</f>
        <v>32</v>
      </c>
      <c r="C29" s="48">
        <f>IFERROR(VLOOKUP(Tabela3[[#This Row],[RESERVA]],Tabela96[[RESERVA]:[PROJETO]],3,FALSE),"")</f>
        <v>2226</v>
      </c>
      <c r="D29" s="103">
        <f>IFERROR(VLOOKUP(Tabela3[[#This Row],[RESERVA]],Tabela96[[RESERVA]:[PROJETO]],4,FALSE),"")</f>
        <v>2128</v>
      </c>
      <c r="E29" s="103">
        <f>IFERROR(VLOOKUP(Tabela3[[#This Row],[RESERVA]],Tabela96[[RESERVA]:[PROJETO]],5,FALSE),"")</f>
        <v>88</v>
      </c>
      <c r="F29" s="78">
        <v>3092</v>
      </c>
      <c r="G29" s="78">
        <v>64671</v>
      </c>
      <c r="H29" s="503" t="s">
        <v>319</v>
      </c>
      <c r="I29" s="156">
        <v>3750</v>
      </c>
      <c r="J29" s="79">
        <v>7778.67</v>
      </c>
      <c r="K29" s="79"/>
      <c r="L29" s="428">
        <f>Tabela3[[#This Row],[VALOR
 EMPENHO]]-Tabela3[[#This Row],[ESTORNO]]</f>
        <v>7778.67</v>
      </c>
      <c r="M29" s="304">
        <f>SUMIFS('LIQUIDAÇÃO 2025'!K:K,'LIQUIDAÇÃO 2025'!B:B,Tabela3[[#This Row],[CÓDIGO
 EMPRESA ]],'LIQUIDAÇÃO 2025'!C:C,Tabela3[[#This Row],[EMPRESA]],'LIQUIDAÇÃO 2025'!F:F,Tabela3[[#This Row],[EMPENHO]])</f>
        <v>7778.67</v>
      </c>
      <c r="N29" s="69">
        <f t="shared" si="0"/>
        <v>0</v>
      </c>
    </row>
    <row r="30" spans="1:17">
      <c r="A30" s="153">
        <v>45688</v>
      </c>
      <c r="B30" s="48">
        <f>IFERROR(VLOOKUP(Tabela3[[#This Row],[RESERVA]],Tabela96[[RESERVA]:[PROJETO]],2,FALSE),"")</f>
        <v>30</v>
      </c>
      <c r="C30" s="48">
        <f>IFERROR(VLOOKUP(Tabela3[[#This Row],[RESERVA]],Tabela96[[RESERVA]:[PROJETO]],3,FALSE),"")</f>
        <v>2253</v>
      </c>
      <c r="D30" s="103">
        <f>IFERROR(VLOOKUP(Tabela3[[#This Row],[RESERVA]],Tabela96[[RESERVA]:[PROJETO]],4,FALSE),"")</f>
        <v>2124</v>
      </c>
      <c r="E30" s="103">
        <f>IFERROR(VLOOKUP(Tabela3[[#This Row],[RESERVA]],Tabela96[[RESERVA]:[PROJETO]],5,FALSE),"")</f>
        <v>25</v>
      </c>
      <c r="F30" s="78">
        <v>2645</v>
      </c>
      <c r="G30" s="78">
        <v>103747</v>
      </c>
      <c r="H30" s="104" t="s">
        <v>371</v>
      </c>
      <c r="I30" s="156">
        <v>2956</v>
      </c>
      <c r="J30" s="79">
        <v>3520000</v>
      </c>
      <c r="K30" s="79"/>
      <c r="L30" s="428">
        <f>Tabela3[[#This Row],[VALOR
 EMPENHO]]-Tabela3[[#This Row],[ESTORNO]]</f>
        <v>3520000</v>
      </c>
      <c r="M30" s="304">
        <f>SUMIFS('LIQUIDAÇÃO 2025'!K:K,'LIQUIDAÇÃO 2025'!B:B,Tabela3[[#This Row],[CÓDIGO
 EMPRESA ]],'LIQUIDAÇÃO 2025'!C:C,Tabela3[[#This Row],[EMPRESA]],'LIQUIDAÇÃO 2025'!F:F,Tabela3[[#This Row],[EMPENHO]])</f>
        <v>3520000</v>
      </c>
      <c r="N30" s="69">
        <f t="shared" si="0"/>
        <v>0</v>
      </c>
    </row>
    <row r="31" spans="1:17">
      <c r="A31" s="153">
        <v>45688</v>
      </c>
      <c r="B31" s="48">
        <f>IFERROR(VLOOKUP(Tabela3[[#This Row],[RESERVA]],Tabela96[[RESERVA]:[PROJETO]],2,FALSE),"")</f>
        <v>30</v>
      </c>
      <c r="C31" s="48">
        <f>IFERROR(VLOOKUP(Tabela3[[#This Row],[RESERVA]],Tabela96[[RESERVA]:[PROJETO]],3,FALSE),"")</f>
        <v>2253</v>
      </c>
      <c r="D31" s="103">
        <f>IFERROR(VLOOKUP(Tabela3[[#This Row],[RESERVA]],Tabela96[[RESERVA]:[PROJETO]],4,FALSE),"")</f>
        <v>2124</v>
      </c>
      <c r="E31" s="103">
        <f>IFERROR(VLOOKUP(Tabela3[[#This Row],[RESERVA]],Tabela96[[RESERVA]:[PROJETO]],5,FALSE),"")</f>
        <v>25</v>
      </c>
      <c r="F31" s="78">
        <v>2645</v>
      </c>
      <c r="G31" s="59">
        <v>103747</v>
      </c>
      <c r="H31" s="104" t="s">
        <v>371</v>
      </c>
      <c r="I31" s="156">
        <v>3682</v>
      </c>
      <c r="J31" s="79">
        <v>3410000</v>
      </c>
      <c r="K31" s="79"/>
      <c r="L31" s="428">
        <f>Tabela3[[#This Row],[VALOR
 EMPENHO]]-Tabela3[[#This Row],[ESTORNO]]</f>
        <v>3410000</v>
      </c>
      <c r="M31" s="304">
        <f>SUMIFS('LIQUIDAÇÃO 2025'!K:K,'LIQUIDAÇÃO 2025'!B:B,Tabela3[[#This Row],[CÓDIGO
 EMPRESA ]],'LIQUIDAÇÃO 2025'!C:C,Tabela3[[#This Row],[EMPRESA]],'LIQUIDAÇÃO 2025'!F:F,Tabela3[[#This Row],[EMPENHO]])</f>
        <v>3410000</v>
      </c>
      <c r="N31" s="69">
        <f t="shared" si="0"/>
        <v>0</v>
      </c>
    </row>
    <row r="32" spans="1:17">
      <c r="A32" s="153">
        <v>45688</v>
      </c>
      <c r="B32" s="48">
        <f>IFERROR(VLOOKUP(Tabela3[[#This Row],[RESERVA]],Tabela96[[RESERVA]:[PROJETO]],2,FALSE),"")</f>
        <v>30</v>
      </c>
      <c r="C32" s="48">
        <f>IFERROR(VLOOKUP(Tabela3[[#This Row],[RESERVA]],Tabela96[[RESERVA]:[PROJETO]],3,FALSE),"")</f>
        <v>2253</v>
      </c>
      <c r="D32" s="103">
        <f>IFERROR(VLOOKUP(Tabela3[[#This Row],[RESERVA]],Tabela96[[RESERVA]:[PROJETO]],4,FALSE),"")</f>
        <v>2124</v>
      </c>
      <c r="E32" s="103">
        <f>IFERROR(VLOOKUP(Tabela3[[#This Row],[RESERVA]],Tabela96[[RESERVA]:[PROJETO]],5,FALSE),"")</f>
        <v>25</v>
      </c>
      <c r="F32" s="78">
        <v>2639</v>
      </c>
      <c r="G32" s="78">
        <v>73115</v>
      </c>
      <c r="H32" s="104" t="s">
        <v>29</v>
      </c>
      <c r="I32" s="156">
        <v>3258</v>
      </c>
      <c r="J32" s="79">
        <v>8466219.5800000001</v>
      </c>
      <c r="K32" s="64"/>
      <c r="L32" s="428">
        <f>Tabela3[[#This Row],[VALOR
 EMPENHO]]-Tabela3[[#This Row],[ESTORNO]]</f>
        <v>8466219.5800000001</v>
      </c>
      <c r="M32" s="304">
        <f>SUMIFS('LIQUIDAÇÃO 2025'!K:K,'LIQUIDAÇÃO 2025'!B:B,Tabela3[[#This Row],[CÓDIGO
 EMPRESA ]],'LIQUIDAÇÃO 2025'!C:C,Tabela3[[#This Row],[EMPRESA]],'LIQUIDAÇÃO 2025'!F:F,Tabela3[[#This Row],[EMPENHO]])</f>
        <v>8466219.5800000001</v>
      </c>
      <c r="N32" s="69">
        <f t="shared" si="0"/>
        <v>0</v>
      </c>
    </row>
    <row r="33" spans="1:14">
      <c r="A33" s="153">
        <v>45688</v>
      </c>
      <c r="B33" s="48">
        <f>IFERROR(VLOOKUP(Tabela3[[#This Row],[RESERVA]],Tabela96[[RESERVA]:[PROJETO]],2,FALSE),"")</f>
        <v>30</v>
      </c>
      <c r="C33" s="48">
        <f>IFERROR(VLOOKUP(Tabela3[[#This Row],[RESERVA]],Tabela96[[RESERVA]:[PROJETO]],3,FALSE),"")</f>
        <v>2253</v>
      </c>
      <c r="D33" s="103">
        <f>IFERROR(VLOOKUP(Tabela3[[#This Row],[RESERVA]],Tabela96[[RESERVA]:[PROJETO]],4,FALSE),"")</f>
        <v>2124</v>
      </c>
      <c r="E33" s="103">
        <f>IFERROR(VLOOKUP(Tabela3[[#This Row],[RESERVA]],Tabela96[[RESERVA]:[PROJETO]],5,FALSE),"")</f>
        <v>25</v>
      </c>
      <c r="F33" s="78">
        <v>3008</v>
      </c>
      <c r="G33" s="78">
        <v>119162</v>
      </c>
      <c r="H33" s="104" t="s">
        <v>373</v>
      </c>
      <c r="I33" s="156">
        <v>3689</v>
      </c>
      <c r="J33" s="79">
        <v>47206.6</v>
      </c>
      <c r="K33" s="695"/>
      <c r="L33" s="428">
        <f>Tabela3[[#This Row],[VALOR
 EMPENHO]]-Tabela3[[#This Row],[ESTORNO]]</f>
        <v>47206.6</v>
      </c>
      <c r="M33" s="304">
        <f>SUMIFS('LIQUIDAÇÃO 2025'!K:K,'LIQUIDAÇÃO 2025'!B:B,Tabela3[[#This Row],[CÓDIGO
 EMPRESA ]],'LIQUIDAÇÃO 2025'!C:C,Tabela3[[#This Row],[EMPRESA]],'LIQUIDAÇÃO 2025'!F:F,Tabela3[[#This Row],[EMPENHO]])</f>
        <v>47206.6</v>
      </c>
      <c r="N33" s="69">
        <f t="shared" si="0"/>
        <v>0</v>
      </c>
    </row>
    <row r="34" spans="1:14">
      <c r="A34" s="153">
        <v>45688</v>
      </c>
      <c r="B34" s="48">
        <f>IFERROR(VLOOKUP(Tabela3[[#This Row],[RESERVA]],Tabela96[[RESERVA]:[PROJETO]],2,FALSE),"")</f>
        <v>30</v>
      </c>
      <c r="C34" s="48">
        <f>IFERROR(VLOOKUP(Tabela3[[#This Row],[RESERVA]],Tabela96[[RESERVA]:[PROJETO]],3,FALSE),"")</f>
        <v>2253</v>
      </c>
      <c r="D34" s="103">
        <f>IFERROR(VLOOKUP(Tabela3[[#This Row],[RESERVA]],Tabela96[[RESERVA]:[PROJETO]],4,FALSE),"")</f>
        <v>2124</v>
      </c>
      <c r="E34" s="103">
        <f>IFERROR(VLOOKUP(Tabela3[[#This Row],[RESERVA]],Tabela96[[RESERVA]:[PROJETO]],5,FALSE),"")</f>
        <v>25</v>
      </c>
      <c r="F34" s="78">
        <v>3001</v>
      </c>
      <c r="G34" s="78">
        <v>118229</v>
      </c>
      <c r="H34" s="104" t="s">
        <v>374</v>
      </c>
      <c r="I34" s="156">
        <v>3693</v>
      </c>
      <c r="J34" s="79">
        <v>77547.600000000006</v>
      </c>
      <c r="K34" s="79"/>
      <c r="L34" s="428">
        <f>Tabela3[[#This Row],[VALOR
 EMPENHO]]-Tabela3[[#This Row],[ESTORNO]]</f>
        <v>77547.600000000006</v>
      </c>
      <c r="M34" s="304">
        <f>SUMIFS('LIQUIDAÇÃO 2025'!K:K,'LIQUIDAÇÃO 2025'!B:B,Tabela3[[#This Row],[CÓDIGO
 EMPRESA ]],'LIQUIDAÇÃO 2025'!C:C,Tabela3[[#This Row],[EMPRESA]],'LIQUIDAÇÃO 2025'!F:F,Tabela3[[#This Row],[EMPENHO]])</f>
        <v>77547.600000000006</v>
      </c>
      <c r="N34" s="69">
        <f t="shared" si="0"/>
        <v>0</v>
      </c>
    </row>
    <row r="35" spans="1:14">
      <c r="A35" s="151">
        <v>45688</v>
      </c>
      <c r="B35" s="48">
        <f>IFERROR(VLOOKUP(Tabela3[[#This Row],[RESERVA]],Tabela96[[RESERVA]:[PROJETO]],2,FALSE),"")</f>
        <v>30</v>
      </c>
      <c r="C35" s="48">
        <f>IFERROR(VLOOKUP(Tabela3[[#This Row],[RESERVA]],Tabela96[[RESERVA]:[PROJETO]],3,FALSE),"")</f>
        <v>2253</v>
      </c>
      <c r="D35" s="103">
        <f>IFERROR(VLOOKUP(Tabela3[[#This Row],[RESERVA]],Tabela96[[RESERVA]:[PROJETO]],4,FALSE),"")</f>
        <v>2124</v>
      </c>
      <c r="E35" s="103">
        <f>IFERROR(VLOOKUP(Tabela3[[#This Row],[RESERVA]],Tabela96[[RESERVA]:[PROJETO]],5,FALSE),"")</f>
        <v>25</v>
      </c>
      <c r="F35" s="78">
        <v>3007</v>
      </c>
      <c r="G35" s="59">
        <v>119151</v>
      </c>
      <c r="H35" s="104" t="s">
        <v>366</v>
      </c>
      <c r="I35" s="155">
        <v>3691</v>
      </c>
      <c r="J35" s="65">
        <v>47206.6</v>
      </c>
      <c r="K35" s="946"/>
      <c r="L35" s="428">
        <f>Tabela3[[#This Row],[VALOR
 EMPENHO]]-Tabela3[[#This Row],[ESTORNO]]</f>
        <v>47206.6</v>
      </c>
      <c r="M35" s="304">
        <f>SUMIFS('LIQUIDAÇÃO 2025'!K:K,'LIQUIDAÇÃO 2025'!B:B,Tabela3[[#This Row],[CÓDIGO
 EMPRESA ]],'LIQUIDAÇÃO 2025'!C:C,Tabela3[[#This Row],[EMPRESA]],'LIQUIDAÇÃO 2025'!F:F,Tabela3[[#This Row],[EMPENHO]])</f>
        <v>47206.6</v>
      </c>
      <c r="N35" s="69">
        <f t="shared" si="0"/>
        <v>0</v>
      </c>
    </row>
    <row r="36" spans="1:14">
      <c r="A36" s="153">
        <v>45688</v>
      </c>
      <c r="B36" s="48">
        <f>IFERROR(VLOOKUP(Tabela3[[#This Row],[RESERVA]],Tabela96[[RESERVA]:[PROJETO]],2,FALSE),"")</f>
        <v>30</v>
      </c>
      <c r="C36" s="48">
        <f>IFERROR(VLOOKUP(Tabela3[[#This Row],[RESERVA]],Tabela96[[RESERVA]:[PROJETO]],3,FALSE),"")</f>
        <v>2253</v>
      </c>
      <c r="D36" s="103">
        <f>IFERROR(VLOOKUP(Tabela3[[#This Row],[RESERVA]],Tabela96[[RESERVA]:[PROJETO]],4,FALSE),"")</f>
        <v>2124</v>
      </c>
      <c r="E36" s="103">
        <f>IFERROR(VLOOKUP(Tabela3[[#This Row],[RESERVA]],Tabela96[[RESERVA]:[PROJETO]],5,FALSE),"")</f>
        <v>25</v>
      </c>
      <c r="F36" s="78">
        <v>3000</v>
      </c>
      <c r="G36" s="78">
        <v>119152</v>
      </c>
      <c r="H36" s="805" t="s">
        <v>376</v>
      </c>
      <c r="I36" s="155">
        <v>3688</v>
      </c>
      <c r="J36" s="64">
        <v>47206.6</v>
      </c>
      <c r="K36" s="79"/>
      <c r="L36" s="428">
        <f>Tabela3[[#This Row],[VALOR
 EMPENHO]]-Tabela3[[#This Row],[ESTORNO]]</f>
        <v>47206.6</v>
      </c>
      <c r="M36" s="304">
        <f>SUMIFS('LIQUIDAÇÃO 2025'!K:K,'LIQUIDAÇÃO 2025'!B:B,Tabela3[[#This Row],[CÓDIGO
 EMPRESA ]],'LIQUIDAÇÃO 2025'!C:C,Tabela3[[#This Row],[EMPRESA]],'LIQUIDAÇÃO 2025'!F:F,Tabela3[[#This Row],[EMPENHO]])</f>
        <v>47206.6</v>
      </c>
      <c r="N36" s="69">
        <f t="shared" ref="N36:N66" si="1">L36-M36</f>
        <v>0</v>
      </c>
    </row>
    <row r="37" spans="1:14">
      <c r="A37" s="153">
        <v>45688</v>
      </c>
      <c r="B37" s="48">
        <f>IFERROR(VLOOKUP(Tabela3[[#This Row],[RESERVA]],Tabela96[[RESERVA]:[PROJETO]],2,FALSE),"")</f>
        <v>30</v>
      </c>
      <c r="C37" s="48">
        <f>IFERROR(VLOOKUP(Tabela3[[#This Row],[RESERVA]],Tabela96[[RESERVA]:[PROJETO]],3,FALSE),"")</f>
        <v>2253</v>
      </c>
      <c r="D37" s="103">
        <f>IFERROR(VLOOKUP(Tabela3[[#This Row],[RESERVA]],Tabela96[[RESERVA]:[PROJETO]],4,FALSE),"")</f>
        <v>2124</v>
      </c>
      <c r="E37" s="103">
        <f>IFERROR(VLOOKUP(Tabela3[[#This Row],[RESERVA]],Tabela96[[RESERVA]:[PROJETO]],5,FALSE),"")</f>
        <v>25</v>
      </c>
      <c r="F37" s="78">
        <v>3003</v>
      </c>
      <c r="G37" s="78">
        <v>119166</v>
      </c>
      <c r="H37" s="104" t="s">
        <v>363</v>
      </c>
      <c r="I37" s="156">
        <v>3683</v>
      </c>
      <c r="J37" s="79">
        <v>47206.6</v>
      </c>
      <c r="K37" s="79"/>
      <c r="L37" s="428">
        <f>Tabela3[[#This Row],[VALOR
 EMPENHO]]-Tabela3[[#This Row],[ESTORNO]]</f>
        <v>47206.6</v>
      </c>
      <c r="M37" s="304">
        <f>SUMIFS('LIQUIDAÇÃO 2025'!K:K,'LIQUIDAÇÃO 2025'!B:B,Tabela3[[#This Row],[CÓDIGO
 EMPRESA ]],'LIQUIDAÇÃO 2025'!C:C,Tabela3[[#This Row],[EMPRESA]],'LIQUIDAÇÃO 2025'!F:F,Tabela3[[#This Row],[EMPENHO]])</f>
        <v>47206.6</v>
      </c>
      <c r="N37" s="69">
        <f t="shared" si="1"/>
        <v>0</v>
      </c>
    </row>
    <row r="38" spans="1:14">
      <c r="A38" s="152">
        <v>45688</v>
      </c>
      <c r="B38" s="48">
        <f>IFERROR(VLOOKUP(Tabela3[[#This Row],[RESERVA]],Tabela96[[RESERVA]:[PROJETO]],2,FALSE),"")</f>
        <v>30</v>
      </c>
      <c r="C38" s="48">
        <f>IFERROR(VLOOKUP(Tabela3[[#This Row],[RESERVA]],Tabela96[[RESERVA]:[PROJETO]],3,FALSE),"")</f>
        <v>2253</v>
      </c>
      <c r="D38" s="48">
        <f>IFERROR(VLOOKUP(Tabela3[[#This Row],[RESERVA]],Tabela96[[RESERVA]:[PROJETO]],4,FALSE),"")</f>
        <v>2124</v>
      </c>
      <c r="E38" s="48">
        <f>IFERROR(VLOOKUP(Tabela3[[#This Row],[RESERVA]],Tabela96[[RESERVA]:[PROJETO]],5,FALSE),"")</f>
        <v>25</v>
      </c>
      <c r="F38" s="36">
        <v>3132</v>
      </c>
      <c r="G38" s="36">
        <v>119166</v>
      </c>
      <c r="H38" s="217" t="s">
        <v>363</v>
      </c>
      <c r="I38" s="156">
        <v>3879</v>
      </c>
      <c r="J38" s="64">
        <v>78369.600000000006</v>
      </c>
      <c r="K38" s="64">
        <v>78369.600000000006</v>
      </c>
      <c r="L38" s="509">
        <f>Tabela3[[#This Row],[VALOR
 EMPENHO]]-Tabela3[[#This Row],[ESTORNO]]</f>
        <v>0</v>
      </c>
      <c r="M38" s="304">
        <f>SUMIFS('LIQUIDAÇÃO 2025'!K:K,'LIQUIDAÇÃO 2025'!B:B,Tabela3[[#This Row],[CÓDIGO
 EMPRESA ]],'LIQUIDAÇÃO 2025'!C:C,Tabela3[[#This Row],[EMPRESA]],'LIQUIDAÇÃO 2025'!F:F,Tabela3[[#This Row],[EMPENHO]])</f>
        <v>0</v>
      </c>
      <c r="N38" s="69">
        <f t="shared" si="1"/>
        <v>0</v>
      </c>
    </row>
    <row r="39" spans="1:14">
      <c r="A39" s="153">
        <v>45688</v>
      </c>
      <c r="B39" s="48">
        <f>IFERROR(VLOOKUP(Tabela3[[#This Row],[RESERVA]],Tabela96[[RESERVA]:[PROJETO]],2,FALSE),"")</f>
        <v>30</v>
      </c>
      <c r="C39" s="48">
        <f>IFERROR(VLOOKUP(Tabela3[[#This Row],[RESERVA]],Tabela96[[RESERVA]:[PROJETO]],3,FALSE),"")</f>
        <v>2253</v>
      </c>
      <c r="D39" s="103">
        <f>IFERROR(VLOOKUP(Tabela3[[#This Row],[RESERVA]],Tabela96[[RESERVA]:[PROJETO]],4,FALSE),"")</f>
        <v>2124</v>
      </c>
      <c r="E39" s="103">
        <f>IFERROR(VLOOKUP(Tabela3[[#This Row],[RESERVA]],Tabela96[[RESERVA]:[PROJETO]],5,FALSE),"")</f>
        <v>25</v>
      </c>
      <c r="F39" s="78">
        <v>2998</v>
      </c>
      <c r="G39" s="78">
        <v>112466</v>
      </c>
      <c r="H39" s="104" t="s">
        <v>377</v>
      </c>
      <c r="I39" s="156">
        <v>3684</v>
      </c>
      <c r="J39" s="79">
        <v>47206.6</v>
      </c>
      <c r="K39" s="64"/>
      <c r="L39" s="428">
        <f>Tabela3[[#This Row],[VALOR
 EMPENHO]]-Tabela3[[#This Row],[ESTORNO]]</f>
        <v>47206.6</v>
      </c>
      <c r="M39" s="304">
        <f>SUMIFS('LIQUIDAÇÃO 2025'!K:K,'LIQUIDAÇÃO 2025'!B:B,Tabela3[[#This Row],[CÓDIGO
 EMPRESA ]],'LIQUIDAÇÃO 2025'!C:C,Tabela3[[#This Row],[EMPRESA]],'LIQUIDAÇÃO 2025'!F:F,Tabela3[[#This Row],[EMPENHO]])</f>
        <v>47206.6</v>
      </c>
      <c r="N39" s="69">
        <f t="shared" si="1"/>
        <v>0</v>
      </c>
    </row>
    <row r="40" spans="1:14">
      <c r="A40" s="153">
        <v>45688</v>
      </c>
      <c r="B40" s="48">
        <f>IFERROR(VLOOKUP(Tabela3[[#This Row],[RESERVA]],Tabela96[[RESERVA]:[PROJETO]],2,FALSE),"")</f>
        <v>30</v>
      </c>
      <c r="C40" s="48">
        <f>IFERROR(VLOOKUP(Tabela3[[#This Row],[RESERVA]],Tabela96[[RESERVA]:[PROJETO]],3,FALSE),"")</f>
        <v>2253</v>
      </c>
      <c r="D40" s="103">
        <f>IFERROR(VLOOKUP(Tabela3[[#This Row],[RESERVA]],Tabela96[[RESERVA]:[PROJETO]],4,FALSE),"")</f>
        <v>2124</v>
      </c>
      <c r="E40" s="103">
        <f>IFERROR(VLOOKUP(Tabela3[[#This Row],[RESERVA]],Tabela96[[RESERVA]:[PROJETO]],5,FALSE),"")</f>
        <v>25</v>
      </c>
      <c r="F40" s="78">
        <v>3005</v>
      </c>
      <c r="G40" s="78">
        <v>118253</v>
      </c>
      <c r="H40" s="805" t="s">
        <v>378</v>
      </c>
      <c r="I40" s="156">
        <v>3692</v>
      </c>
      <c r="J40" s="79">
        <v>75261.600000000006</v>
      </c>
      <c r="K40" s="79"/>
      <c r="L40" s="428">
        <f>Tabela3[[#This Row],[VALOR
 EMPENHO]]-Tabela3[[#This Row],[ESTORNO]]</f>
        <v>75261.600000000006</v>
      </c>
      <c r="M40" s="304">
        <f>SUMIFS('LIQUIDAÇÃO 2025'!K:K,'LIQUIDAÇÃO 2025'!B:B,Tabela3[[#This Row],[CÓDIGO
 EMPRESA ]],'LIQUIDAÇÃO 2025'!C:C,Tabela3[[#This Row],[EMPRESA]],'LIQUIDAÇÃO 2025'!F:F,Tabela3[[#This Row],[EMPENHO]])</f>
        <v>75261.600000000006</v>
      </c>
      <c r="N40" s="69">
        <f t="shared" si="1"/>
        <v>0</v>
      </c>
    </row>
    <row r="41" spans="1:14">
      <c r="A41" s="152">
        <v>45688</v>
      </c>
      <c r="B41" s="48">
        <f>IFERROR(VLOOKUP(Tabela3[[#This Row],[RESERVA]],Tabela96[[RESERVA]:[PROJETO]],2,FALSE),"")</f>
        <v>30</v>
      </c>
      <c r="C41" s="48">
        <f>IFERROR(VLOOKUP(Tabela3[[#This Row],[RESERVA]],Tabela96[[RESERVA]:[PROJETO]],3,FALSE),"")</f>
        <v>2253</v>
      </c>
      <c r="D41" s="103">
        <f>IFERROR(VLOOKUP(Tabela3[[#This Row],[RESERVA]],Tabela96[[RESERVA]:[PROJETO]],4,FALSE),"")</f>
        <v>2124</v>
      </c>
      <c r="E41" s="103">
        <f>IFERROR(VLOOKUP(Tabela3[[#This Row],[RESERVA]],Tabela96[[RESERVA]:[PROJETO]],5,FALSE),"")</f>
        <v>25</v>
      </c>
      <c r="F41" s="78">
        <v>2996</v>
      </c>
      <c r="G41" s="36">
        <v>119149</v>
      </c>
      <c r="H41" s="941" t="s">
        <v>314</v>
      </c>
      <c r="I41" s="155">
        <v>3690</v>
      </c>
      <c r="J41" s="64">
        <v>47206.6</v>
      </c>
      <c r="K41" s="79"/>
      <c r="L41" s="428">
        <f>Tabela3[[#This Row],[VALOR
 EMPENHO]]-Tabela3[[#This Row],[ESTORNO]]</f>
        <v>47206.6</v>
      </c>
      <c r="M41" s="304">
        <f>SUMIFS('LIQUIDAÇÃO 2025'!K:K,'LIQUIDAÇÃO 2025'!B:B,Tabela3[[#This Row],[CÓDIGO
 EMPRESA ]],'LIQUIDAÇÃO 2025'!C:C,Tabela3[[#This Row],[EMPRESA]],'LIQUIDAÇÃO 2025'!F:F,Tabela3[[#This Row],[EMPENHO]])</f>
        <v>47206.6</v>
      </c>
      <c r="N41" s="69">
        <f t="shared" si="1"/>
        <v>0</v>
      </c>
    </row>
    <row r="42" spans="1:14">
      <c r="A42" s="153">
        <v>45688</v>
      </c>
      <c r="B42" s="512">
        <f>IFERROR(VLOOKUP(Tabela3[[#This Row],[RESERVA]],Tabela96[[RESERVA]:[PROJETO]],2,FALSE),"")</f>
        <v>32</v>
      </c>
      <c r="C42" s="48">
        <f>IFERROR(VLOOKUP(Tabela3[[#This Row],[RESERVA]],Tabela96[[RESERVA]:[PROJETO]],3,FALSE),"")</f>
        <v>2229</v>
      </c>
      <c r="D42" s="513">
        <f>IFERROR(VLOOKUP(Tabela3[[#This Row],[RESERVA]],Tabela96[[RESERVA]:[PROJETO]],4,FALSE),"")</f>
        <v>2128</v>
      </c>
      <c r="E42" s="513">
        <f>IFERROR(VLOOKUP(Tabela3[[#This Row],[RESERVA]],Tabela96[[RESERVA]:[PROJETO]],5,FALSE),"")</f>
        <v>122</v>
      </c>
      <c r="F42" s="78">
        <v>3004</v>
      </c>
      <c r="G42" s="78">
        <v>2808</v>
      </c>
      <c r="H42" s="217" t="s">
        <v>59</v>
      </c>
      <c r="I42" s="156">
        <v>3678</v>
      </c>
      <c r="J42" s="79">
        <v>37040.9</v>
      </c>
      <c r="K42" s="69">
        <v>28081.55</v>
      </c>
      <c r="L42" s="428">
        <f>Tabela3[[#This Row],[VALOR
 EMPENHO]]-Tabela3[[#This Row],[ESTORNO]]</f>
        <v>8959.35</v>
      </c>
      <c r="M42" s="304">
        <f>SUMIFS('LIQUIDAÇÃO 2025'!K:K,'LIQUIDAÇÃO 2025'!B:B,Tabela3[[#This Row],[CÓDIGO
 EMPRESA ]],'LIQUIDAÇÃO 2025'!C:C,Tabela3[[#This Row],[EMPRESA]],'LIQUIDAÇÃO 2025'!F:F,Tabela3[[#This Row],[EMPENHO]])</f>
        <v>8959.35</v>
      </c>
      <c r="N42" s="69">
        <f t="shared" si="1"/>
        <v>0</v>
      </c>
    </row>
    <row r="43" spans="1:14">
      <c r="A43" s="153">
        <v>45688</v>
      </c>
      <c r="B43" s="48">
        <f>IFERROR(VLOOKUP(Tabela3[[#This Row],[RESERVA]],Tabela96[[RESERVA]:[PROJETO]],2,FALSE),"")</f>
        <v>29</v>
      </c>
      <c r="C43" s="48">
        <f>IFERROR(VLOOKUP(Tabela3[[#This Row],[RESERVA]],Tabela96[[RESERVA]:[PROJETO]],3,FALSE),"")</f>
        <v>2242</v>
      </c>
      <c r="D43" s="103">
        <f>IFERROR(VLOOKUP(Tabela3[[#This Row],[RESERVA]],Tabela96[[RESERVA]:[PROJETO]],4,FALSE),"")</f>
        <v>1028</v>
      </c>
      <c r="E43" s="103">
        <f>IFERROR(VLOOKUP(Tabela3[[#This Row],[RESERVA]],Tabela96[[RESERVA]:[PROJETO]],5,FALSE),"")</f>
        <v>181</v>
      </c>
      <c r="F43" s="78">
        <v>3010</v>
      </c>
      <c r="G43" s="36" t="s">
        <v>126</v>
      </c>
      <c r="H43" s="104" t="s">
        <v>124</v>
      </c>
      <c r="I43" s="156">
        <v>3685</v>
      </c>
      <c r="J43" s="79">
        <v>1073057.17</v>
      </c>
      <c r="K43" s="803">
        <v>777901.8</v>
      </c>
      <c r="L43" s="428">
        <f>Tabela3[[#This Row],[VALOR
 EMPENHO]]-Tabela3[[#This Row],[ESTORNO]]</f>
        <v>295155.37</v>
      </c>
      <c r="M43" s="304">
        <f>SUMIFS('LIQUIDAÇÃO 2025'!K:K,'LIQUIDAÇÃO 2025'!B:B,Tabela3[[#This Row],[CÓDIGO
 EMPRESA ]],'LIQUIDAÇÃO 2025'!C:C,Tabela3[[#This Row],[EMPRESA]],'LIQUIDAÇÃO 2025'!F:F,Tabela3[[#This Row],[EMPENHO]])</f>
        <v>295155.37</v>
      </c>
      <c r="N43" s="69">
        <f t="shared" si="1"/>
        <v>0</v>
      </c>
    </row>
    <row r="44" spans="1:14">
      <c r="A44" s="153">
        <v>45688</v>
      </c>
      <c r="B44" s="48">
        <f>IFERROR(VLOOKUP(Tabela3[[#This Row],[RESERVA]],Tabela96[[RESERVA]:[PROJETO]],2,FALSE),"")</f>
        <v>29</v>
      </c>
      <c r="C44" s="48">
        <f>IFERROR(VLOOKUP(Tabela3[[#This Row],[RESERVA]],Tabela96[[RESERVA]:[PROJETO]],3,FALSE),"")</f>
        <v>2242</v>
      </c>
      <c r="D44" s="103">
        <f>IFERROR(VLOOKUP(Tabela3[[#This Row],[RESERVA]],Tabela96[[RESERVA]:[PROJETO]],4,FALSE),"")</f>
        <v>1028</v>
      </c>
      <c r="E44" s="103">
        <f>IFERROR(VLOOKUP(Tabela3[[#This Row],[RESERVA]],Tabela96[[RESERVA]:[PROJETO]],5,FALSE),"")</f>
        <v>181</v>
      </c>
      <c r="F44" s="78">
        <v>3093</v>
      </c>
      <c r="G44" s="36" t="s">
        <v>126</v>
      </c>
      <c r="H44" s="217" t="s">
        <v>124</v>
      </c>
      <c r="I44" s="156">
        <v>3751</v>
      </c>
      <c r="J44" s="79">
        <v>350000</v>
      </c>
      <c r="K44" s="803">
        <v>113936.51</v>
      </c>
      <c r="L44" s="428">
        <f>Tabela3[[#This Row],[VALOR
 EMPENHO]]-Tabela3[[#This Row],[ESTORNO]]</f>
        <v>236063.49</v>
      </c>
      <c r="M44" s="304">
        <f>SUMIFS('LIQUIDAÇÃO 2025'!K:K,'LIQUIDAÇÃO 2025'!B:B,Tabela3[[#This Row],[CÓDIGO
 EMPRESA ]],'LIQUIDAÇÃO 2025'!C:C,Tabela3[[#This Row],[EMPRESA]],'LIQUIDAÇÃO 2025'!F:F,Tabela3[[#This Row],[EMPENHO]])</f>
        <v>236063.49</v>
      </c>
      <c r="N44" s="69">
        <f t="shared" si="1"/>
        <v>0</v>
      </c>
    </row>
    <row r="45" spans="1:14">
      <c r="A45" s="152">
        <v>45688</v>
      </c>
      <c r="B45" s="48">
        <f>IFERROR(VLOOKUP(Tabela3[[#This Row],[RESERVA]],Tabela96[[RESERVA]:[PROJETO]],2,FALSE),"")</f>
        <v>29</v>
      </c>
      <c r="C45" s="48">
        <f>IFERROR(VLOOKUP(Tabela3[[#This Row],[RESERVA]],Tabela96[[RESERVA]:[PROJETO]],3,FALSE),"")</f>
        <v>2242</v>
      </c>
      <c r="D45" s="103">
        <f>IFERROR(VLOOKUP(Tabela3[[#This Row],[RESERVA]],Tabela96[[RESERVA]:[PROJETO]],4,FALSE),"")</f>
        <v>1028</v>
      </c>
      <c r="E45" s="103">
        <f>IFERROR(VLOOKUP(Tabela3[[#This Row],[RESERVA]],Tabela96[[RESERVA]:[PROJETO]],5,FALSE),"")</f>
        <v>184</v>
      </c>
      <c r="F45" s="78">
        <v>2997</v>
      </c>
      <c r="G45" s="36" t="s">
        <v>125</v>
      </c>
      <c r="H45" s="104" t="s">
        <v>457</v>
      </c>
      <c r="I45" s="155">
        <v>3674</v>
      </c>
      <c r="J45" s="945">
        <v>897454.21</v>
      </c>
      <c r="K45" s="577">
        <v>170837.12</v>
      </c>
      <c r="L45" s="428">
        <f>Tabela3[[#This Row],[VALOR
 EMPENHO]]-Tabela3[[#This Row],[ESTORNO]]</f>
        <v>726617.09</v>
      </c>
      <c r="M45" s="304">
        <f>SUMIFS('LIQUIDAÇÃO 2025'!K:K,'LIQUIDAÇÃO 2025'!B:B,Tabela3[[#This Row],[CÓDIGO
 EMPRESA ]],'LIQUIDAÇÃO 2025'!C:C,Tabela3[[#This Row],[EMPRESA]],'LIQUIDAÇÃO 2025'!F:F,Tabela3[[#This Row],[EMPENHO]])</f>
        <v>726617.09</v>
      </c>
      <c r="N45" s="69">
        <f t="shared" si="1"/>
        <v>0</v>
      </c>
    </row>
    <row r="46" spans="1:14">
      <c r="A46" s="153">
        <v>45688</v>
      </c>
      <c r="B46" s="48">
        <f>IFERROR(VLOOKUP(Tabela3[[#This Row],[RESERVA]],Tabela96[[RESERVA]:[PROJETO]],2,FALSE),"")</f>
        <v>29</v>
      </c>
      <c r="C46" s="48">
        <f>IFERROR(VLOOKUP(Tabela3[[#This Row],[RESERVA]],Tabela96[[RESERVA]:[PROJETO]],3,FALSE),"")</f>
        <v>2242</v>
      </c>
      <c r="D46" s="103">
        <f>IFERROR(VLOOKUP(Tabela3[[#This Row],[RESERVA]],Tabela96[[RESERVA]:[PROJETO]],4,FALSE),"")</f>
        <v>1028</v>
      </c>
      <c r="E46" s="103">
        <f>IFERROR(VLOOKUP(Tabela3[[#This Row],[RESERVA]],Tabela96[[RESERVA]:[PROJETO]],5,FALSE),"")</f>
        <v>184</v>
      </c>
      <c r="F46" s="78">
        <v>3094</v>
      </c>
      <c r="G46" s="36" t="s">
        <v>125</v>
      </c>
      <c r="H46" s="805" t="s">
        <v>457</v>
      </c>
      <c r="I46" s="156">
        <v>3752</v>
      </c>
      <c r="J46" s="79">
        <v>350000</v>
      </c>
      <c r="K46" s="79"/>
      <c r="L46" s="428">
        <f>Tabela3[[#This Row],[VALOR
 EMPENHO]]-Tabela3[[#This Row],[ESTORNO]]</f>
        <v>350000</v>
      </c>
      <c r="M46" s="304">
        <f>SUMIFS('LIQUIDAÇÃO 2025'!K:K,'LIQUIDAÇÃO 2025'!B:B,Tabela3[[#This Row],[CÓDIGO
 EMPRESA ]],'LIQUIDAÇÃO 2025'!C:C,Tabela3[[#This Row],[EMPRESA]],'LIQUIDAÇÃO 2025'!F:F,Tabela3[[#This Row],[EMPENHO]])</f>
        <v>350000</v>
      </c>
      <c r="N46" s="69">
        <f t="shared" si="1"/>
        <v>0</v>
      </c>
    </row>
    <row r="47" spans="1:14">
      <c r="A47" s="153">
        <v>45688</v>
      </c>
      <c r="B47" s="512">
        <f>IFERROR(VLOOKUP(Tabela3[[#This Row],[RESERVA]],Tabela96[[RESERVA]:[PROJETO]],2,FALSE),"")</f>
        <v>32</v>
      </c>
      <c r="C47" s="48">
        <f>IFERROR(VLOOKUP(Tabela3[[#This Row],[RESERVA]],Tabela96[[RESERVA]:[PROJETO]],3,FALSE),"")</f>
        <v>2229</v>
      </c>
      <c r="D47" s="513">
        <f>IFERROR(VLOOKUP(Tabela3[[#This Row],[RESERVA]],Tabela96[[RESERVA]:[PROJETO]],4,FALSE),"")</f>
        <v>2128</v>
      </c>
      <c r="E47" s="513">
        <f>IFERROR(VLOOKUP(Tabela3[[#This Row],[RESERVA]],Tabela96[[RESERVA]:[PROJETO]],5,FALSE),"")</f>
        <v>242</v>
      </c>
      <c r="F47" s="78">
        <v>3052</v>
      </c>
      <c r="G47" s="78">
        <v>46674</v>
      </c>
      <c r="H47" s="950" t="s">
        <v>338</v>
      </c>
      <c r="I47" s="156">
        <v>3702</v>
      </c>
      <c r="J47" s="79">
        <v>449542.08</v>
      </c>
      <c r="K47" s="79"/>
      <c r="L47" s="428">
        <f>Tabela3[[#This Row],[VALOR
 EMPENHO]]-Tabela3[[#This Row],[ESTORNO]]</f>
        <v>449542.08</v>
      </c>
      <c r="M47" s="304">
        <f>SUMIFS('LIQUIDAÇÃO 2025'!K:K,'LIQUIDAÇÃO 2025'!B:B,Tabela3[[#This Row],[CÓDIGO
 EMPRESA ]],'LIQUIDAÇÃO 2025'!C:C,Tabela3[[#This Row],[EMPRESA]],'LIQUIDAÇÃO 2025'!F:F,Tabela3[[#This Row],[EMPENHO]])</f>
        <v>449542.08</v>
      </c>
      <c r="N47" s="69">
        <f t="shared" si="1"/>
        <v>0</v>
      </c>
    </row>
    <row r="48" spans="1:14">
      <c r="A48" s="151">
        <v>45688</v>
      </c>
      <c r="B48" s="48">
        <f>IFERROR(VLOOKUP(Tabela3[[#This Row],[RESERVA]],Tabela96[[RESERVA]:[PROJETO]],2,FALSE),"")</f>
        <v>30</v>
      </c>
      <c r="C48" s="48">
        <f>IFERROR(VLOOKUP(Tabela3[[#This Row],[RESERVA]],Tabela96[[RESERVA]:[PROJETO]],3,FALSE),"")</f>
        <v>2253</v>
      </c>
      <c r="D48" s="103">
        <f>IFERROR(VLOOKUP(Tabela3[[#This Row],[RESERVA]],Tabela96[[RESERVA]:[PROJETO]],4,FALSE),"")</f>
        <v>2124</v>
      </c>
      <c r="E48" s="103">
        <f>IFERROR(VLOOKUP(Tabela3[[#This Row],[RESERVA]],Tabela96[[RESERVA]:[PROJETO]],5,FALSE),"")</f>
        <v>25</v>
      </c>
      <c r="F48" s="78">
        <v>3002</v>
      </c>
      <c r="G48" s="59">
        <v>60979</v>
      </c>
      <c r="H48" s="217" t="s">
        <v>122</v>
      </c>
      <c r="I48" s="155">
        <v>3679</v>
      </c>
      <c r="J48" s="65">
        <v>1843298.1</v>
      </c>
      <c r="K48" s="79"/>
      <c r="L48" s="428">
        <f>Tabela3[[#This Row],[VALOR
 EMPENHO]]-Tabela3[[#This Row],[ESTORNO]]</f>
        <v>1843298.1</v>
      </c>
      <c r="M48" s="304">
        <f>SUMIFS('LIQUIDAÇÃO 2025'!K:K,'LIQUIDAÇÃO 2025'!B:B,Tabela3[[#This Row],[CÓDIGO
 EMPRESA ]],'LIQUIDAÇÃO 2025'!C:C,Tabela3[[#This Row],[EMPRESA]],'LIQUIDAÇÃO 2025'!F:F,Tabela3[[#This Row],[EMPENHO]])</f>
        <v>1843298.1</v>
      </c>
      <c r="N48" s="69">
        <f t="shared" si="1"/>
        <v>0</v>
      </c>
    </row>
    <row r="49" spans="1:14">
      <c r="A49" s="152">
        <v>45688</v>
      </c>
      <c r="B49" s="48">
        <f>IFERROR(VLOOKUP(Tabela3[[#This Row],[RESERVA]],Tabela96[[RESERVA]:[PROJETO]],2,FALSE),"")</f>
        <v>32</v>
      </c>
      <c r="C49" s="48">
        <f>IFERROR(VLOOKUP(Tabela3[[#This Row],[RESERVA]],Tabela96[[RESERVA]:[PROJETO]],3,FALSE),"")</f>
        <v>2229</v>
      </c>
      <c r="D49" s="103">
        <f>IFERROR(VLOOKUP(Tabela3[[#This Row],[RESERVA]],Tabela96[[RESERVA]:[PROJETO]],4,FALSE),"")</f>
        <v>2128</v>
      </c>
      <c r="E49" s="103">
        <f>IFERROR(VLOOKUP(Tabela3[[#This Row],[RESERVA]],Tabela96[[RESERVA]:[PROJETO]],5,FALSE),"")</f>
        <v>104</v>
      </c>
      <c r="F49" s="78">
        <v>2630</v>
      </c>
      <c r="G49" s="36">
        <v>64669</v>
      </c>
      <c r="H49" s="104" t="s">
        <v>381</v>
      </c>
      <c r="I49" s="155">
        <v>3250</v>
      </c>
      <c r="J49" s="64">
        <v>3601.49</v>
      </c>
      <c r="K49" s="64">
        <v>0.41</v>
      </c>
      <c r="L49" s="428">
        <f>Tabela3[[#This Row],[VALOR
 EMPENHO]]-Tabela3[[#This Row],[ESTORNO]]</f>
        <v>3601.08</v>
      </c>
      <c r="M49" s="304">
        <f>SUMIFS('LIQUIDAÇÃO 2025'!K:K,'LIQUIDAÇÃO 2025'!B:B,Tabela3[[#This Row],[CÓDIGO
 EMPRESA ]],'LIQUIDAÇÃO 2025'!C:C,Tabela3[[#This Row],[EMPRESA]],'LIQUIDAÇÃO 2025'!F:F,Tabela3[[#This Row],[EMPENHO]])</f>
        <v>3601.08</v>
      </c>
      <c r="N49" s="69">
        <f t="shared" si="1"/>
        <v>0</v>
      </c>
    </row>
    <row r="50" spans="1:14">
      <c r="A50" s="151">
        <v>45699</v>
      </c>
      <c r="B50" s="48">
        <f>IFERROR(VLOOKUP(Tabela3[[#This Row],[RESERVA]],Tabela96[[RESERVA]:[PROJETO]],2,FALSE),"")</f>
        <v>29</v>
      </c>
      <c r="C50" s="48">
        <f>IFERROR(VLOOKUP(Tabela3[[#This Row],[RESERVA]],Tabela96[[RESERVA]:[PROJETO]],3,FALSE),"")</f>
        <v>2248</v>
      </c>
      <c r="D50" s="103">
        <f>IFERROR(VLOOKUP(Tabela3[[#This Row],[RESERVA]],Tabela96[[RESERVA]:[PROJETO]],4,FALSE),"")</f>
        <v>2123</v>
      </c>
      <c r="E50" s="103">
        <f>IFERROR(VLOOKUP(Tabela3[[#This Row],[RESERVA]],Tabela96[[RESERVA]:[PROJETO]],5,FALSE),"")</f>
        <v>69</v>
      </c>
      <c r="F50" s="78">
        <v>3134</v>
      </c>
      <c r="G50" s="59">
        <v>41807</v>
      </c>
      <c r="H50" s="217" t="s">
        <v>370</v>
      </c>
      <c r="I50" s="155">
        <v>3890</v>
      </c>
      <c r="J50" s="65">
        <v>279200</v>
      </c>
      <c r="K50" s="79"/>
      <c r="L50" s="428">
        <f>Tabela3[[#This Row],[VALOR
 EMPENHO]]-Tabela3[[#This Row],[ESTORNO]]</f>
        <v>279200</v>
      </c>
      <c r="M50" s="304">
        <f>SUMIFS('LIQUIDAÇÃO 2025'!K:K,'LIQUIDAÇÃO 2025'!B:B,Tabela3[[#This Row],[CÓDIGO
 EMPRESA ]],'LIQUIDAÇÃO 2025'!C:C,Tabela3[[#This Row],[EMPRESA]],'LIQUIDAÇÃO 2025'!F:F,Tabela3[[#This Row],[EMPENHO]])</f>
        <v>279200</v>
      </c>
      <c r="N50" s="69">
        <f t="shared" si="1"/>
        <v>0</v>
      </c>
    </row>
    <row r="51" spans="1:14">
      <c r="A51" s="153">
        <v>45699</v>
      </c>
      <c r="B51" s="48">
        <f>IFERROR(VLOOKUP(Tabela3[[#This Row],[RESERVA]],Tabela96[[RESERVA]:[PROJETO]],2,FALSE),"")</f>
        <v>32</v>
      </c>
      <c r="C51" s="48">
        <f>IFERROR(VLOOKUP(Tabela3[[#This Row],[RESERVA]],Tabela96[[RESERVA]:[PROJETO]],3,FALSE),"")</f>
        <v>2232</v>
      </c>
      <c r="D51" s="103">
        <f>IFERROR(VLOOKUP(Tabela3[[#This Row],[RESERVA]],Tabela96[[RESERVA]:[PROJETO]],4,FALSE),"")</f>
        <v>2129</v>
      </c>
      <c r="E51" s="103">
        <f>IFERROR(VLOOKUP(Tabela3[[#This Row],[RESERVA]],Tabela96[[RESERVA]:[PROJETO]],5,FALSE),"")</f>
        <v>56</v>
      </c>
      <c r="F51" s="78">
        <v>3135</v>
      </c>
      <c r="G51" s="78">
        <v>69169</v>
      </c>
      <c r="H51" s="941" t="s">
        <v>372</v>
      </c>
      <c r="I51" s="156">
        <v>3881</v>
      </c>
      <c r="J51" s="79">
        <v>72000</v>
      </c>
      <c r="K51" s="79"/>
      <c r="L51" s="428">
        <f>Tabela3[[#This Row],[VALOR
 EMPENHO]]-Tabela3[[#This Row],[ESTORNO]]</f>
        <v>72000</v>
      </c>
      <c r="M51" s="304">
        <f>SUMIFS('LIQUIDAÇÃO 2025'!K:K,'LIQUIDAÇÃO 2025'!B:B,Tabela3[[#This Row],[CÓDIGO
 EMPRESA ]],'LIQUIDAÇÃO 2025'!C:C,Tabela3[[#This Row],[EMPRESA]],'LIQUIDAÇÃO 2025'!F:F,Tabela3[[#This Row],[EMPENHO]])</f>
        <v>72000</v>
      </c>
      <c r="N51" s="69">
        <f t="shared" si="1"/>
        <v>0</v>
      </c>
    </row>
    <row r="52" spans="1:14">
      <c r="A52" s="152">
        <v>45699</v>
      </c>
      <c r="B52" s="48">
        <f>IFERROR(VLOOKUP(Tabela3[[#This Row],[RESERVA]],Tabela96[[RESERVA]:[PROJETO]],2,FALSE),"")</f>
        <v>30</v>
      </c>
      <c r="C52" s="48">
        <f>IFERROR(VLOOKUP(Tabela3[[#This Row],[RESERVA]],Tabela96[[RESERVA]:[PROJETO]],3,FALSE),"")</f>
        <v>2253</v>
      </c>
      <c r="D52" s="103">
        <f>IFERROR(VLOOKUP(Tabela3[[#This Row],[RESERVA]],Tabela96[[RESERVA]:[PROJETO]],4,FALSE),"")</f>
        <v>2124</v>
      </c>
      <c r="E52" s="103">
        <f>IFERROR(VLOOKUP(Tabela3[[#This Row],[RESERVA]],Tabela96[[RESERVA]:[PROJETO]],5,FALSE),"")</f>
        <v>25</v>
      </c>
      <c r="F52" s="78">
        <v>2995</v>
      </c>
      <c r="G52" s="78">
        <v>118247</v>
      </c>
      <c r="H52" s="217" t="s">
        <v>375</v>
      </c>
      <c r="I52" s="156">
        <v>3899</v>
      </c>
      <c r="J52" s="79">
        <v>78369.600000000006</v>
      </c>
      <c r="K52" s="79"/>
      <c r="L52" s="428">
        <f>Tabela3[[#This Row],[VALOR
 EMPENHO]]-Tabela3[[#This Row],[ESTORNO]]</f>
        <v>78369.600000000006</v>
      </c>
      <c r="M52" s="304">
        <f>SUMIFS('LIQUIDAÇÃO 2025'!K:K,'LIQUIDAÇÃO 2025'!B:B,Tabela3[[#This Row],[CÓDIGO
 EMPRESA ]],'LIQUIDAÇÃO 2025'!C:C,Tabela3[[#This Row],[EMPRESA]],'LIQUIDAÇÃO 2025'!F:F,Tabela3[[#This Row],[EMPENHO]])</f>
        <v>78369.600000000006</v>
      </c>
      <c r="N52" s="69">
        <f t="shared" si="1"/>
        <v>0</v>
      </c>
    </row>
    <row r="53" spans="1:14">
      <c r="A53" s="152">
        <v>45699</v>
      </c>
      <c r="B53" s="48">
        <f>IFERROR(VLOOKUP(Tabela3[[#This Row],[RESERVA]],Tabela96[[RESERVA]:[PROJETO]],2,FALSE),"")</f>
        <v>29</v>
      </c>
      <c r="C53" s="48">
        <f>IFERROR(VLOOKUP(Tabela3[[#This Row],[RESERVA]],Tabela96[[RESERVA]:[PROJETO]],3,FALSE),"")</f>
        <v>2244</v>
      </c>
      <c r="D53" s="48">
        <f>IFERROR(VLOOKUP(Tabela3[[#This Row],[RESERVA]],Tabela96[[RESERVA]:[PROJETO]],4,FALSE),"")</f>
        <v>2123</v>
      </c>
      <c r="E53" s="48">
        <f>IFERROR(VLOOKUP(Tabela3[[#This Row],[RESERVA]],Tabela96[[RESERVA]:[PROJETO]],5,FALSE),"")</f>
        <v>92</v>
      </c>
      <c r="F53" s="36">
        <v>3133</v>
      </c>
      <c r="G53" s="36">
        <v>61861</v>
      </c>
      <c r="H53" s="503" t="s">
        <v>380</v>
      </c>
      <c r="I53" s="156">
        <v>3891</v>
      </c>
      <c r="J53" s="64">
        <v>261490</v>
      </c>
      <c r="K53" s="64"/>
      <c r="L53" s="509">
        <f>Tabela3[[#This Row],[VALOR
 EMPENHO]]-Tabela3[[#This Row],[ESTORNO]]</f>
        <v>261490</v>
      </c>
      <c r="M53" s="304">
        <f>SUMIFS('LIQUIDAÇÃO 2025'!K:K,'LIQUIDAÇÃO 2025'!B:B,Tabela3[[#This Row],[CÓDIGO
 EMPRESA ]],'LIQUIDAÇÃO 2025'!C:C,Tabela3[[#This Row],[EMPRESA]],'LIQUIDAÇÃO 2025'!F:F,Tabela3[[#This Row],[EMPENHO]])</f>
        <v>261490</v>
      </c>
      <c r="N53" s="69">
        <f t="shared" si="1"/>
        <v>0</v>
      </c>
    </row>
    <row r="54" spans="1:14">
      <c r="A54" s="152">
        <v>45705</v>
      </c>
      <c r="B54" s="48">
        <f>IFERROR(VLOOKUP(Tabela3[[#This Row],[RESERVA]],Tabela96[[RESERVA]:[PROJETO]],2,FALSE),"")</f>
        <v>30</v>
      </c>
      <c r="C54" s="48">
        <f>IFERROR(VLOOKUP(Tabela3[[#This Row],[RESERVA]],Tabela96[[RESERVA]:[PROJETO]],3,FALSE),"")</f>
        <v>2253</v>
      </c>
      <c r="D54" s="103">
        <f>IFERROR(VLOOKUP(Tabela3[[#This Row],[RESERVA]],Tabela96[[RESERVA]:[PROJETO]],4,FALSE),"")</f>
        <v>2124</v>
      </c>
      <c r="E54" s="103">
        <f>IFERROR(VLOOKUP(Tabela3[[#This Row],[RESERVA]],Tabela96[[RESERVA]:[PROJETO]],5,FALSE),"")</f>
        <v>25</v>
      </c>
      <c r="F54" s="36">
        <v>2636</v>
      </c>
      <c r="G54" s="78">
        <v>76116</v>
      </c>
      <c r="H54" s="104" t="s">
        <v>120</v>
      </c>
      <c r="I54" s="156">
        <v>4190</v>
      </c>
      <c r="J54" s="64">
        <v>438900</v>
      </c>
      <c r="K54" s="79"/>
      <c r="L54" s="428">
        <f>Tabela3[[#This Row],[VALOR
 EMPENHO]]-Tabela3[[#This Row],[ESTORNO]]</f>
        <v>438900</v>
      </c>
      <c r="M54" s="304">
        <f>SUMIFS('LIQUIDAÇÃO 2025'!K:K,'LIQUIDAÇÃO 2025'!B:B,Tabela3[[#This Row],[CÓDIGO
 EMPRESA ]],'LIQUIDAÇÃO 2025'!C:C,Tabela3[[#This Row],[EMPRESA]],'LIQUIDAÇÃO 2025'!F:F,Tabela3[[#This Row],[EMPENHO]])</f>
        <v>438900</v>
      </c>
      <c r="N54" s="69">
        <f t="shared" si="1"/>
        <v>0</v>
      </c>
    </row>
    <row r="55" spans="1:14">
      <c r="A55" s="154">
        <v>45705</v>
      </c>
      <c r="B55" s="48">
        <f>IFERROR(VLOOKUP(Tabela3[[#This Row],[RESERVA]],Tabela96[[RESERVA]:[PROJETO]],2,FALSE),"")</f>
        <v>30</v>
      </c>
      <c r="C55" s="48">
        <f>IFERROR(VLOOKUP(Tabela3[[#This Row],[RESERVA]],Tabela96[[RESERVA]:[PROJETO]],3,FALSE),"")</f>
        <v>2253</v>
      </c>
      <c r="D55" s="103">
        <f>IFERROR(VLOOKUP(Tabela3[[#This Row],[RESERVA]],Tabela96[[RESERVA]:[PROJETO]],4,FALSE),"")</f>
        <v>2124</v>
      </c>
      <c r="E55" s="103">
        <f>IFERROR(VLOOKUP(Tabela3[[#This Row],[RESERVA]],Tabela96[[RESERVA]:[PROJETO]],5,FALSE),"")</f>
        <v>25</v>
      </c>
      <c r="F55" s="141">
        <v>3009</v>
      </c>
      <c r="G55" s="141">
        <v>121973</v>
      </c>
      <c r="H55" s="217" t="s">
        <v>341</v>
      </c>
      <c r="I55" s="157">
        <v>3681</v>
      </c>
      <c r="J55" s="972">
        <v>2084102.69</v>
      </c>
      <c r="K55" s="142"/>
      <c r="L55" s="428">
        <f>Tabela3[[#This Row],[VALOR
 EMPENHO]]-Tabela3[[#This Row],[ESTORNO]]</f>
        <v>2084102.69</v>
      </c>
      <c r="M55" s="304">
        <f>SUMIFS('LIQUIDAÇÃO 2025'!K:K,'LIQUIDAÇÃO 2025'!B:B,Tabela3[[#This Row],[CÓDIGO
 EMPRESA ]],'LIQUIDAÇÃO 2025'!C:C,Tabela3[[#This Row],[EMPRESA]],'LIQUIDAÇÃO 2025'!F:F,Tabela3[[#This Row],[EMPENHO]])</f>
        <v>2084102.69</v>
      </c>
      <c r="N55" s="69">
        <f t="shared" si="1"/>
        <v>0</v>
      </c>
    </row>
    <row r="56" spans="1:14">
      <c r="A56" s="152">
        <v>45705</v>
      </c>
      <c r="B56" s="48">
        <f>IFERROR(VLOOKUP(Tabela3[[#This Row],[RESERVA]],Tabela96[[RESERVA]:[PROJETO]],2,FALSE),"")</f>
        <v>30</v>
      </c>
      <c r="C56" s="48">
        <f>IFERROR(VLOOKUP(Tabela3[[#This Row],[RESERVA]],Tabela96[[RESERVA]:[PROJETO]],3,FALSE),"")</f>
        <v>2253</v>
      </c>
      <c r="D56" s="103">
        <f>IFERROR(VLOOKUP(Tabela3[[#This Row],[RESERVA]],Tabela96[[RESERVA]:[PROJETO]],4,FALSE),"")</f>
        <v>2124</v>
      </c>
      <c r="E56" s="103">
        <f>IFERROR(VLOOKUP(Tabela3[[#This Row],[RESERVA]],Tabela96[[RESERVA]:[PROJETO]],5,FALSE),"")</f>
        <v>25</v>
      </c>
      <c r="F56" s="36">
        <v>3009</v>
      </c>
      <c r="G56" s="36">
        <v>121973</v>
      </c>
      <c r="H56" s="217" t="s">
        <v>341</v>
      </c>
      <c r="I56" s="156">
        <v>4211</v>
      </c>
      <c r="J56" s="64">
        <v>300000</v>
      </c>
      <c r="K56" s="79"/>
      <c r="L56" s="428">
        <f>Tabela3[[#This Row],[VALOR
 EMPENHO]]-Tabela3[[#This Row],[ESTORNO]]</f>
        <v>300000</v>
      </c>
      <c r="M56" s="304">
        <f>SUMIFS('LIQUIDAÇÃO 2025'!K:K,'LIQUIDAÇÃO 2025'!B:B,Tabela3[[#This Row],[CÓDIGO
 EMPRESA ]],'LIQUIDAÇÃO 2025'!C:C,Tabela3[[#This Row],[EMPRESA]],'LIQUIDAÇÃO 2025'!F:F,Tabela3[[#This Row],[EMPENHO]])</f>
        <v>300000</v>
      </c>
      <c r="N56" s="69">
        <f t="shared" si="1"/>
        <v>0</v>
      </c>
    </row>
    <row r="57" spans="1:14">
      <c r="A57" s="152">
        <v>45705</v>
      </c>
      <c r="B57" s="48">
        <f>IFERROR(VLOOKUP(Tabela3[[#This Row],[RESERVA]],Tabela96[[RESERVA]:[PROJETO]],2,FALSE),"")</f>
        <v>30</v>
      </c>
      <c r="C57" s="48">
        <f>IFERROR(VLOOKUP(Tabela3[[#This Row],[RESERVA]],Tabela96[[RESERVA]:[PROJETO]],3,FALSE),"")</f>
        <v>2253</v>
      </c>
      <c r="D57" s="103">
        <f>IFERROR(VLOOKUP(Tabela3[[#This Row],[RESERVA]],Tabela96[[RESERVA]:[PROJETO]],4,FALSE),"")</f>
        <v>2124</v>
      </c>
      <c r="E57" s="103">
        <f>IFERROR(VLOOKUP(Tabela3[[#This Row],[RESERVA]],Tabela96[[RESERVA]:[PROJETO]],5,FALSE),"")</f>
        <v>25</v>
      </c>
      <c r="F57" s="36">
        <v>2639</v>
      </c>
      <c r="G57" s="36">
        <v>73115</v>
      </c>
      <c r="H57" s="104" t="s">
        <v>29</v>
      </c>
      <c r="I57" s="156">
        <v>4202</v>
      </c>
      <c r="J57" s="803">
        <v>8666219.5800000001</v>
      </c>
      <c r="K57" s="79"/>
      <c r="L57" s="428">
        <f>Tabela3[[#This Row],[VALOR
 EMPENHO]]-Tabela3[[#This Row],[ESTORNO]]</f>
        <v>8666219.5800000001</v>
      </c>
      <c r="M57" s="304">
        <f>SUMIFS('LIQUIDAÇÃO 2025'!K:K,'LIQUIDAÇÃO 2025'!B:B,Tabela3[[#This Row],[CÓDIGO
 EMPRESA ]],'LIQUIDAÇÃO 2025'!C:C,Tabela3[[#This Row],[EMPRESA]],'LIQUIDAÇÃO 2025'!F:F,Tabela3[[#This Row],[EMPENHO]])</f>
        <v>8666219.5800000001</v>
      </c>
      <c r="N57" s="69">
        <f t="shared" si="1"/>
        <v>0</v>
      </c>
    </row>
    <row r="58" spans="1:14">
      <c r="A58" s="152">
        <v>45705</v>
      </c>
      <c r="B58" s="48">
        <f>IFERROR(VLOOKUP(Tabela3[[#This Row],[RESERVA]],Tabela96[[RESERVA]:[PROJETO]],2,FALSE),"")</f>
        <v>30</v>
      </c>
      <c r="C58" s="48">
        <f>IFERROR(VLOOKUP(Tabela3[[#This Row],[RESERVA]],Tabela96[[RESERVA]:[PROJETO]],3,FALSE),"")</f>
        <v>2253</v>
      </c>
      <c r="D58" s="103">
        <f>IFERROR(VLOOKUP(Tabela3[[#This Row],[RESERVA]],Tabela96[[RESERVA]:[PROJETO]],4,FALSE),"")</f>
        <v>2124</v>
      </c>
      <c r="E58" s="103">
        <f>IFERROR(VLOOKUP(Tabela3[[#This Row],[RESERVA]],Tabela96[[RESERVA]:[PROJETO]],5,FALSE),"")</f>
        <v>25</v>
      </c>
      <c r="F58" s="36">
        <v>3001</v>
      </c>
      <c r="G58" s="36">
        <v>118229</v>
      </c>
      <c r="H58" s="503" t="s">
        <v>374</v>
      </c>
      <c r="I58" s="156">
        <v>4196</v>
      </c>
      <c r="J58" s="142">
        <v>38773.800000000003</v>
      </c>
      <c r="K58" s="79"/>
      <c r="L58" s="428">
        <f>Tabela3[[#This Row],[VALOR
 EMPENHO]]-Tabela3[[#This Row],[ESTORNO]]</f>
        <v>38773.800000000003</v>
      </c>
      <c r="M58" s="304">
        <f>SUMIFS('LIQUIDAÇÃO 2025'!K:K,'LIQUIDAÇÃO 2025'!B:B,Tabela3[[#This Row],[CÓDIGO
 EMPRESA ]],'LIQUIDAÇÃO 2025'!C:C,Tabela3[[#This Row],[EMPRESA]],'LIQUIDAÇÃO 2025'!F:F,Tabela3[[#This Row],[EMPENHO]])</f>
        <v>38773.800000000003</v>
      </c>
      <c r="N58" s="69">
        <f t="shared" si="1"/>
        <v>0</v>
      </c>
    </row>
    <row r="59" spans="1:14">
      <c r="A59" s="152">
        <v>45705</v>
      </c>
      <c r="B59" s="48">
        <f>IFERROR(VLOOKUP(Tabela3[[#This Row],[RESERVA]],Tabela96[[RESERVA]:[PROJETO]],2,FALSE),"")</f>
        <v>30</v>
      </c>
      <c r="C59" s="48">
        <f>IFERROR(VLOOKUP(Tabela3[[#This Row],[RESERVA]],Tabela96[[RESERVA]:[PROJETO]],3,FALSE),"")</f>
        <v>2253</v>
      </c>
      <c r="D59" s="103">
        <f>IFERROR(VLOOKUP(Tabela3[[#This Row],[RESERVA]],Tabela96[[RESERVA]:[PROJETO]],4,FALSE),"")</f>
        <v>2124</v>
      </c>
      <c r="E59" s="103">
        <f>IFERROR(VLOOKUP(Tabela3[[#This Row],[RESERVA]],Tabela96[[RESERVA]:[PROJETO]],5,FALSE),"")</f>
        <v>25</v>
      </c>
      <c r="F59" s="36">
        <v>3007</v>
      </c>
      <c r="G59" s="36">
        <v>119151</v>
      </c>
      <c r="H59" s="104" t="s">
        <v>366</v>
      </c>
      <c r="I59" s="156">
        <v>4199</v>
      </c>
      <c r="J59" s="142">
        <v>23603.3</v>
      </c>
      <c r="K59" s="64"/>
      <c r="L59" s="428">
        <f>Tabela3[[#This Row],[VALOR
 EMPENHO]]-Tabela3[[#This Row],[ESTORNO]]</f>
        <v>23603.3</v>
      </c>
      <c r="M59" s="304">
        <f>SUMIFS('LIQUIDAÇÃO 2025'!K:K,'LIQUIDAÇÃO 2025'!B:B,Tabela3[[#This Row],[CÓDIGO
 EMPRESA ]],'LIQUIDAÇÃO 2025'!C:C,Tabela3[[#This Row],[EMPRESA]],'LIQUIDAÇÃO 2025'!F:F,Tabela3[[#This Row],[EMPENHO]])</f>
        <v>23603.3</v>
      </c>
      <c r="N59" s="69">
        <f t="shared" si="1"/>
        <v>0</v>
      </c>
    </row>
    <row r="60" spans="1:14">
      <c r="A60" s="152">
        <v>45705</v>
      </c>
      <c r="B60" s="48">
        <f>IFERROR(VLOOKUP(Tabela3[[#This Row],[RESERVA]],Tabela96[[RESERVA]:[PROJETO]],2,FALSE),"")</f>
        <v>32</v>
      </c>
      <c r="C60" s="48">
        <f>IFERROR(VLOOKUP(Tabela3[[#This Row],[RESERVA]],Tabela96[[RESERVA]:[PROJETO]],3,FALSE),"")</f>
        <v>2229</v>
      </c>
      <c r="D60" s="103">
        <f>IFERROR(VLOOKUP(Tabela3[[#This Row],[RESERVA]],Tabela96[[RESERVA]:[PROJETO]],4,FALSE),"")</f>
        <v>2128</v>
      </c>
      <c r="E60" s="103">
        <f>IFERROR(VLOOKUP(Tabela3[[#This Row],[RESERVA]],Tabela96[[RESERVA]:[PROJETO]],5,FALSE),"")</f>
        <v>242</v>
      </c>
      <c r="F60" s="36">
        <v>3052</v>
      </c>
      <c r="G60" s="36">
        <v>46674</v>
      </c>
      <c r="H60" s="950" t="s">
        <v>338</v>
      </c>
      <c r="I60" s="156">
        <v>4177</v>
      </c>
      <c r="J60" s="79">
        <v>224771.04</v>
      </c>
      <c r="K60" s="79"/>
      <c r="L60" s="428">
        <f>Tabela3[[#This Row],[VALOR
 EMPENHO]]-Tabela3[[#This Row],[ESTORNO]]</f>
        <v>224771.04</v>
      </c>
      <c r="M60" s="304">
        <f>SUMIFS('LIQUIDAÇÃO 2025'!K:K,'LIQUIDAÇÃO 2025'!B:B,Tabela3[[#This Row],[CÓDIGO
 EMPRESA ]],'LIQUIDAÇÃO 2025'!C:C,Tabela3[[#This Row],[EMPRESA]],'LIQUIDAÇÃO 2025'!F:F,Tabela3[[#This Row],[EMPENHO]])</f>
        <v>224771.04</v>
      </c>
      <c r="N60" s="69">
        <f t="shared" si="1"/>
        <v>0</v>
      </c>
    </row>
    <row r="61" spans="1:14">
      <c r="A61" s="152">
        <v>45705</v>
      </c>
      <c r="B61" s="48">
        <f>IFERROR(VLOOKUP(Tabela3[[#This Row],[RESERVA]],Tabela96[[RESERVA]:[PROJETO]],2,FALSE),"")</f>
        <v>30</v>
      </c>
      <c r="C61" s="48">
        <f>IFERROR(VLOOKUP(Tabela3[[#This Row],[RESERVA]],Tabela96[[RESERVA]:[PROJETO]],3,FALSE),"")</f>
        <v>3403</v>
      </c>
      <c r="D61" s="103">
        <f>IFERROR(VLOOKUP(Tabela3[[#This Row],[RESERVA]],Tabela96[[RESERVA]:[PROJETO]],4,FALSE),"")</f>
        <v>1029</v>
      </c>
      <c r="E61" s="103">
        <f>IFERROR(VLOOKUP(Tabela3[[#This Row],[RESERVA]],Tabela96[[RESERVA]:[PROJETO]],5,FALSE),"")</f>
        <v>153</v>
      </c>
      <c r="F61" s="36">
        <v>3304</v>
      </c>
      <c r="G61" s="36">
        <v>20896</v>
      </c>
      <c r="H61" s="217" t="s">
        <v>340</v>
      </c>
      <c r="I61" s="156">
        <v>4208</v>
      </c>
      <c r="J61" s="64">
        <v>643019.36</v>
      </c>
      <c r="K61" s="79"/>
      <c r="L61" s="428">
        <f>Tabela3[[#This Row],[VALOR
 EMPENHO]]-Tabela3[[#This Row],[ESTORNO]]</f>
        <v>643019.36</v>
      </c>
      <c r="M61" s="304">
        <f>SUMIFS('LIQUIDAÇÃO 2025'!K:K,'LIQUIDAÇÃO 2025'!B:B,Tabela3[[#This Row],[CÓDIGO
 EMPRESA ]],'LIQUIDAÇÃO 2025'!C:C,Tabela3[[#This Row],[EMPRESA]],'LIQUIDAÇÃO 2025'!F:F,Tabela3[[#This Row],[EMPENHO]])</f>
        <v>48202</v>
      </c>
      <c r="N61" s="69">
        <f t="shared" si="1"/>
        <v>594817.36</v>
      </c>
    </row>
    <row r="62" spans="1:14">
      <c r="A62" s="154">
        <v>45706</v>
      </c>
      <c r="B62" s="48">
        <f>IFERROR(VLOOKUP(Tabela3[[#This Row],[RESERVA]],Tabela96[[RESERVA]:[PROJETO]],2,FALSE),"")</f>
        <v>30</v>
      </c>
      <c r="C62" s="48">
        <f>IFERROR(VLOOKUP(Tabela3[[#This Row],[RESERVA]],Tabela96[[RESERVA]:[PROJETO]],3,FALSE),"")</f>
        <v>2253</v>
      </c>
      <c r="D62" s="103">
        <f>IFERROR(VLOOKUP(Tabela3[[#This Row],[RESERVA]],Tabela96[[RESERVA]:[PROJETO]],4,FALSE),"")</f>
        <v>2124</v>
      </c>
      <c r="E62" s="103">
        <f>IFERROR(VLOOKUP(Tabela3[[#This Row],[RESERVA]],Tabela96[[RESERVA]:[PROJETO]],5,FALSE),"")</f>
        <v>25</v>
      </c>
      <c r="F62" s="141">
        <v>2998</v>
      </c>
      <c r="G62" s="141">
        <v>112466</v>
      </c>
      <c r="H62" s="836" t="s">
        <v>377</v>
      </c>
      <c r="I62" s="157">
        <v>4225</v>
      </c>
      <c r="J62" s="64">
        <v>70000</v>
      </c>
      <c r="K62" s="79"/>
      <c r="L62" s="428">
        <f>Tabela3[[#This Row],[VALOR
 EMPENHO]]-Tabela3[[#This Row],[ESTORNO]]</f>
        <v>70000</v>
      </c>
      <c r="M62" s="304">
        <f>SUMIFS('LIQUIDAÇÃO 2025'!K:K,'LIQUIDAÇÃO 2025'!B:B,Tabela3[[#This Row],[CÓDIGO
 EMPRESA ]],'LIQUIDAÇÃO 2025'!C:C,Tabela3[[#This Row],[EMPRESA]],'LIQUIDAÇÃO 2025'!F:F,Tabela3[[#This Row],[EMPENHO]])</f>
        <v>70000</v>
      </c>
      <c r="N62" s="69">
        <f t="shared" si="1"/>
        <v>0</v>
      </c>
    </row>
    <row r="63" spans="1:14">
      <c r="A63" s="152">
        <v>45707</v>
      </c>
      <c r="B63" s="48">
        <f>IFERROR(VLOOKUP(Tabela3[[#This Row],[RESERVA]],Tabela96[[RESERVA]:[PROJETO]],2,FALSE),"")</f>
        <v>30</v>
      </c>
      <c r="C63" s="48">
        <f>IFERROR(VLOOKUP(Tabela3[[#This Row],[RESERVA]],Tabela96[[RESERVA]:[PROJETO]],3,FALSE),"")</f>
        <v>2253</v>
      </c>
      <c r="D63" s="103">
        <f>IFERROR(VLOOKUP(Tabela3[[#This Row],[RESERVA]],Tabela96[[RESERVA]:[PROJETO]],4,FALSE),"")</f>
        <v>2124</v>
      </c>
      <c r="E63" s="103">
        <f>IFERROR(VLOOKUP(Tabela3[[#This Row],[RESERVA]],Tabela96[[RESERVA]:[PROJETO]],5,FALSE),"")</f>
        <v>25</v>
      </c>
      <c r="F63" s="36">
        <v>3008</v>
      </c>
      <c r="G63" s="36">
        <v>119162</v>
      </c>
      <c r="H63" s="217" t="s">
        <v>373</v>
      </c>
      <c r="I63" s="156">
        <v>4276</v>
      </c>
      <c r="J63" s="64">
        <v>23603.3</v>
      </c>
      <c r="K63" s="79"/>
      <c r="L63" s="428">
        <f>Tabela3[[#This Row],[VALOR
 EMPENHO]]-Tabela3[[#This Row],[ESTORNO]]</f>
        <v>23603.3</v>
      </c>
      <c r="M63" s="304">
        <f>SUMIFS('LIQUIDAÇÃO 2025'!K:K,'LIQUIDAÇÃO 2025'!B:B,Tabela3[[#This Row],[CÓDIGO
 EMPRESA ]],'LIQUIDAÇÃO 2025'!C:C,Tabela3[[#This Row],[EMPRESA]],'LIQUIDAÇÃO 2025'!F:F,Tabela3[[#This Row],[EMPENHO]])</f>
        <v>23603.3</v>
      </c>
      <c r="N63" s="69">
        <f t="shared" si="1"/>
        <v>0</v>
      </c>
    </row>
    <row r="64" spans="1:14">
      <c r="A64" s="154">
        <v>45707</v>
      </c>
      <c r="B64" s="48">
        <f>IFERROR(VLOOKUP(Tabela3[[#This Row],[RESERVA]],Tabela96[[RESERVA]:[PROJETO]],2,FALSE),"")</f>
        <v>30</v>
      </c>
      <c r="C64" s="48">
        <f>IFERROR(VLOOKUP(Tabela3[[#This Row],[RESERVA]],Tabela96[[RESERVA]:[PROJETO]],3,FALSE),"")</f>
        <v>2253</v>
      </c>
      <c r="D64" s="103">
        <f>IFERROR(VLOOKUP(Tabela3[[#This Row],[RESERVA]],Tabela96[[RESERVA]:[PROJETO]],4,FALSE),"")</f>
        <v>2124</v>
      </c>
      <c r="E64" s="103">
        <f>IFERROR(VLOOKUP(Tabela3[[#This Row],[RESERVA]],Tabela96[[RESERVA]:[PROJETO]],5,FALSE),"")</f>
        <v>25</v>
      </c>
      <c r="F64" s="141">
        <v>2995</v>
      </c>
      <c r="G64" s="141">
        <v>118247</v>
      </c>
      <c r="H64" s="104" t="s">
        <v>375</v>
      </c>
      <c r="I64" s="156">
        <v>4268</v>
      </c>
      <c r="J64" s="142">
        <v>80000</v>
      </c>
      <c r="K64" s="79"/>
      <c r="L64" s="428">
        <f>Tabela3[[#This Row],[VALOR
 EMPENHO]]-Tabela3[[#This Row],[ESTORNO]]</f>
        <v>80000</v>
      </c>
      <c r="M64" s="304">
        <f>SUMIFS('LIQUIDAÇÃO 2025'!K:K,'LIQUIDAÇÃO 2025'!B:B,Tabela3[[#This Row],[CÓDIGO
 EMPRESA ]],'LIQUIDAÇÃO 2025'!C:C,Tabela3[[#This Row],[EMPRESA]],'LIQUIDAÇÃO 2025'!F:F,Tabela3[[#This Row],[EMPENHO]])</f>
        <v>80000</v>
      </c>
      <c r="N64" s="69">
        <f t="shared" si="1"/>
        <v>0</v>
      </c>
    </row>
    <row r="65" spans="1:16">
      <c r="A65" s="152">
        <v>45707</v>
      </c>
      <c r="B65" s="48">
        <f>IFERROR(VLOOKUP(Tabela3[[#This Row],[RESERVA]],Tabela96[[RESERVA]:[PROJETO]],2,FALSE),"")</f>
        <v>30</v>
      </c>
      <c r="C65" s="48">
        <f>IFERROR(VLOOKUP(Tabela3[[#This Row],[RESERVA]],Tabela96[[RESERVA]:[PROJETO]],3,FALSE),"")</f>
        <v>2253</v>
      </c>
      <c r="D65" s="103">
        <f>IFERROR(VLOOKUP(Tabela3[[#This Row],[RESERVA]],Tabela96[[RESERVA]:[PROJETO]],4,FALSE),"")</f>
        <v>2124</v>
      </c>
      <c r="E65" s="103">
        <f>IFERROR(VLOOKUP(Tabela3[[#This Row],[RESERVA]],Tabela96[[RESERVA]:[PROJETO]],5,FALSE),"")</f>
        <v>25</v>
      </c>
      <c r="F65" s="36">
        <v>3000</v>
      </c>
      <c r="G65" s="36">
        <v>119152</v>
      </c>
      <c r="H65" s="805" t="s">
        <v>376</v>
      </c>
      <c r="I65" s="36">
        <v>4275</v>
      </c>
      <c r="J65" s="64">
        <v>40000</v>
      </c>
      <c r="K65" s="79"/>
      <c r="L65" s="428">
        <f>Tabela3[[#This Row],[VALOR
 EMPENHO]]-Tabela3[[#This Row],[ESTORNO]]</f>
        <v>40000</v>
      </c>
      <c r="M65" s="304">
        <f>SUMIFS('LIQUIDAÇÃO 2025'!K:K,'LIQUIDAÇÃO 2025'!B:B,Tabela3[[#This Row],[CÓDIGO
 EMPRESA ]],'LIQUIDAÇÃO 2025'!C:C,Tabela3[[#This Row],[EMPRESA]],'LIQUIDAÇÃO 2025'!F:F,Tabela3[[#This Row],[EMPENHO]])</f>
        <v>40000</v>
      </c>
      <c r="N65" s="69">
        <f t="shared" si="1"/>
        <v>0</v>
      </c>
    </row>
    <row r="66" spans="1:16">
      <c r="A66" s="152">
        <v>45707</v>
      </c>
      <c r="B66" s="48">
        <f>IFERROR(VLOOKUP(Tabela3[[#This Row],[RESERVA]],Tabela96[[RESERVA]:[PROJETO]],2,FALSE),"")</f>
        <v>30</v>
      </c>
      <c r="C66" s="48">
        <f>IFERROR(VLOOKUP(Tabela3[[#This Row],[RESERVA]],Tabela96[[RESERVA]:[PROJETO]],3,FALSE),"")</f>
        <v>2253</v>
      </c>
      <c r="D66" s="103">
        <f>IFERROR(VLOOKUP(Tabela3[[#This Row],[RESERVA]],Tabela96[[RESERVA]:[PROJETO]],4,FALSE),"")</f>
        <v>2124</v>
      </c>
      <c r="E66" s="103">
        <f>IFERROR(VLOOKUP(Tabela3[[#This Row],[RESERVA]],Tabela96[[RESERVA]:[PROJETO]],5,FALSE),"")</f>
        <v>25</v>
      </c>
      <c r="F66" s="36">
        <v>3003</v>
      </c>
      <c r="G66" s="36">
        <v>119166</v>
      </c>
      <c r="H66" s="104" t="s">
        <v>363</v>
      </c>
      <c r="I66" s="36">
        <v>4270</v>
      </c>
      <c r="J66" s="64">
        <v>40000</v>
      </c>
      <c r="K66" s="79"/>
      <c r="L66" s="428">
        <f>Tabela3[[#This Row],[VALOR
 EMPENHO]]-Tabela3[[#This Row],[ESTORNO]]</f>
        <v>40000</v>
      </c>
      <c r="M66" s="304">
        <f>SUMIFS('LIQUIDAÇÃO 2025'!K:K,'LIQUIDAÇÃO 2025'!B:B,Tabela3[[#This Row],[CÓDIGO
 EMPRESA ]],'LIQUIDAÇÃO 2025'!C:C,Tabela3[[#This Row],[EMPRESA]],'LIQUIDAÇÃO 2025'!F:F,Tabela3[[#This Row],[EMPENHO]])</f>
        <v>40000</v>
      </c>
      <c r="N66" s="69">
        <f t="shared" si="1"/>
        <v>0</v>
      </c>
    </row>
    <row r="67" spans="1:16">
      <c r="A67" s="154">
        <v>45707</v>
      </c>
      <c r="B67" s="48">
        <f>IFERROR(VLOOKUP(Tabela3[[#This Row],[RESERVA]],Tabela96[[RESERVA]:[PROJETO]],2,FALSE),"")</f>
        <v>30</v>
      </c>
      <c r="C67" s="48">
        <f>IFERROR(VLOOKUP(Tabela3[[#This Row],[RESERVA]],Tabela96[[RESERVA]:[PROJETO]],3,FALSE),"")</f>
        <v>2253</v>
      </c>
      <c r="D67" s="103">
        <f>IFERROR(VLOOKUP(Tabela3[[#This Row],[RESERVA]],Tabela96[[RESERVA]:[PROJETO]],4,FALSE),"")</f>
        <v>2124</v>
      </c>
      <c r="E67" s="103">
        <f>IFERROR(VLOOKUP(Tabela3[[#This Row],[RESERVA]],Tabela96[[RESERVA]:[PROJETO]],5,FALSE),"")</f>
        <v>25</v>
      </c>
      <c r="F67" s="141">
        <v>3003</v>
      </c>
      <c r="G67" s="141">
        <v>119149</v>
      </c>
      <c r="H67" s="104" t="s">
        <v>314</v>
      </c>
      <c r="I67" s="141">
        <v>4216</v>
      </c>
      <c r="J67" s="142">
        <v>80000</v>
      </c>
      <c r="K67" s="79">
        <v>80000</v>
      </c>
      <c r="L67" s="428">
        <f>Tabela3[[#This Row],[VALOR
 EMPENHO]]-Tabela3[[#This Row],[ESTORNO]]</f>
        <v>0</v>
      </c>
      <c r="M67" s="304">
        <f>SUMIFS('LIQUIDAÇÃO 2025'!K:K,'LIQUIDAÇÃO 2025'!B:B,Tabela3[[#This Row],[CÓDIGO
 EMPRESA ]],'LIQUIDAÇÃO 2025'!C:C,Tabela3[[#This Row],[EMPRESA]],'LIQUIDAÇÃO 2025'!F:F,Tabela3[[#This Row],[EMPENHO]])</f>
        <v>0</v>
      </c>
      <c r="N67" s="69">
        <f t="shared" ref="N67:N91" si="2">L67-M67</f>
        <v>0</v>
      </c>
      <c r="P67" s="62"/>
    </row>
    <row r="68" spans="1:16" ht="14.25" customHeight="1">
      <c r="A68" s="154">
        <v>45707</v>
      </c>
      <c r="B68" s="48">
        <f>IFERROR(VLOOKUP(Tabela3[[#This Row],[RESERVA]],Tabela96[[RESERVA]:[PROJETO]],2,FALSE),"")</f>
        <v>30</v>
      </c>
      <c r="C68" s="48">
        <f>IFERROR(VLOOKUP(Tabela3[[#This Row],[RESERVA]],Tabela96[[RESERVA]:[PROJETO]],3,FALSE),"")</f>
        <v>2253</v>
      </c>
      <c r="D68" s="103">
        <f>IFERROR(VLOOKUP(Tabela3[[#This Row],[RESERVA]],Tabela96[[RESERVA]:[PROJETO]],4,FALSE),"")</f>
        <v>2124</v>
      </c>
      <c r="E68" s="103">
        <f>IFERROR(VLOOKUP(Tabela3[[#This Row],[RESERVA]],Tabela96[[RESERVA]:[PROJETO]],5,FALSE),"")</f>
        <v>25</v>
      </c>
      <c r="F68" s="141">
        <v>2996</v>
      </c>
      <c r="G68" s="141">
        <v>119149</v>
      </c>
      <c r="H68" s="104" t="s">
        <v>314</v>
      </c>
      <c r="I68" s="155">
        <v>4258</v>
      </c>
      <c r="J68" s="142">
        <v>80000</v>
      </c>
      <c r="K68" s="79">
        <v>0.3</v>
      </c>
      <c r="L68" s="428">
        <f>Tabela3[[#This Row],[VALOR
 EMPENHO]]-Tabela3[[#This Row],[ESTORNO]]</f>
        <v>79999.7</v>
      </c>
      <c r="M68" s="304">
        <f>SUMIFS('LIQUIDAÇÃO 2025'!K:K,'LIQUIDAÇÃO 2025'!B:B,Tabela3[[#This Row],[CÓDIGO
 EMPRESA ]],'LIQUIDAÇÃO 2025'!C:C,Tabela3[[#This Row],[EMPRESA]],'LIQUIDAÇÃO 2025'!F:F,Tabela3[[#This Row],[EMPENHO]])</f>
        <v>79999.7</v>
      </c>
      <c r="N68" s="69">
        <f t="shared" si="2"/>
        <v>0</v>
      </c>
      <c r="P68" s="62"/>
    </row>
    <row r="69" spans="1:16">
      <c r="A69" s="152">
        <v>45712</v>
      </c>
      <c r="B69" s="48">
        <f>IFERROR(VLOOKUP(Tabela3[[#This Row],[RESERVA]],Tabela96[[RESERVA]:[PROJETO]],2,FALSE),"")</f>
        <v>29</v>
      </c>
      <c r="C69" s="48">
        <f>IFERROR(VLOOKUP(Tabela3[[#This Row],[RESERVA]],Tabela96[[RESERVA]:[PROJETO]],3,FALSE),"")</f>
        <v>2246</v>
      </c>
      <c r="D69" s="103">
        <f>IFERROR(VLOOKUP(Tabela3[[#This Row],[RESERVA]],Tabela96[[RESERVA]:[PROJETO]],4,FALSE),"")</f>
        <v>2123</v>
      </c>
      <c r="E69" s="103">
        <f>IFERROR(VLOOKUP(Tabela3[[#This Row],[RESERVA]],Tabela96[[RESERVA]:[PROJETO]],5,FALSE),"")</f>
        <v>123</v>
      </c>
      <c r="F69" s="36">
        <v>3626</v>
      </c>
      <c r="G69" s="36">
        <v>46901</v>
      </c>
      <c r="H69" s="104" t="s">
        <v>60</v>
      </c>
      <c r="I69" s="155">
        <v>4802</v>
      </c>
      <c r="J69" s="64">
        <v>76784.399999999994</v>
      </c>
      <c r="K69" s="79"/>
      <c r="L69" s="428">
        <f>Tabela3[[#This Row],[VALOR
 EMPENHO]]-Tabela3[[#This Row],[ESTORNO]]</f>
        <v>76784.399999999994</v>
      </c>
      <c r="M69" s="304">
        <f>SUMIFS('LIQUIDAÇÃO 2025'!K:K,'LIQUIDAÇÃO 2025'!B:B,Tabela3[[#This Row],[CÓDIGO
 EMPRESA ]],'LIQUIDAÇÃO 2025'!C:C,Tabela3[[#This Row],[EMPRESA]],'LIQUIDAÇÃO 2025'!F:F,Tabela3[[#This Row],[EMPENHO]])</f>
        <v>76784.399999999994</v>
      </c>
      <c r="N69" s="69">
        <f t="shared" si="2"/>
        <v>0</v>
      </c>
    </row>
    <row r="70" spans="1:16">
      <c r="A70" s="152">
        <v>45714</v>
      </c>
      <c r="B70" s="48">
        <f>IFERROR(VLOOKUP(Tabela3[[#This Row],[RESERVA]],Tabela96[[RESERVA]:[PROJETO]],2,FALSE),"")</f>
        <v>32</v>
      </c>
      <c r="C70" s="48">
        <f>IFERROR(VLOOKUP(Tabela3[[#This Row],[RESERVA]],Tabela96[[RESERVA]:[PROJETO]],3,FALSE),"")</f>
        <v>2226</v>
      </c>
      <c r="D70" s="103">
        <v>2128</v>
      </c>
      <c r="E70" s="103">
        <f>IFERROR(VLOOKUP(Tabela3[[#This Row],[RESERVA]],Tabela96[[RESERVA]:[PROJETO]],5,FALSE),"")</f>
        <v>84</v>
      </c>
      <c r="F70" s="36">
        <v>3775</v>
      </c>
      <c r="G70" s="72">
        <v>115886</v>
      </c>
      <c r="H70" s="104" t="s">
        <v>369</v>
      </c>
      <c r="I70" s="155">
        <v>5109</v>
      </c>
      <c r="J70" s="64">
        <v>144990</v>
      </c>
      <c r="K70" s="79">
        <v>144990</v>
      </c>
      <c r="L70" s="428">
        <f>Tabela3[[#This Row],[VALOR
 EMPENHO]]-Tabela3[[#This Row],[ESTORNO]]</f>
        <v>0</v>
      </c>
      <c r="M70" s="304">
        <f>SUMIFS('LIQUIDAÇÃO 2025'!K:K,'LIQUIDAÇÃO 2025'!B:B,Tabela3[[#This Row],[CÓDIGO
 EMPRESA ]],'LIQUIDAÇÃO 2025'!C:C,Tabela3[[#This Row],[EMPRESA]],'LIQUIDAÇÃO 2025'!F:F,Tabela3[[#This Row],[EMPENHO]])</f>
        <v>0</v>
      </c>
      <c r="N70" s="69">
        <f t="shared" si="2"/>
        <v>0</v>
      </c>
    </row>
    <row r="71" spans="1:16">
      <c r="A71" s="152">
        <v>45715</v>
      </c>
      <c r="B71" s="48">
        <f>IFERROR(VLOOKUP(Tabela3[[#This Row],[RESERVA]],Tabela96[[RESERVA]:[PROJETO]],2,FALSE),"")</f>
        <v>30</v>
      </c>
      <c r="C71" s="48">
        <f>IFERROR(VLOOKUP(Tabela3[[#This Row],[RESERVA]],Tabela96[[RESERVA]:[PROJETO]],3,FALSE),"")</f>
        <v>2258</v>
      </c>
      <c r="D71" s="103">
        <f>IFERROR(VLOOKUP(Tabela3[[#This Row],[RESERVA]],Tabela96[[RESERVA]:[PROJETO]],4,FALSE),"")</f>
        <v>2126</v>
      </c>
      <c r="E71" s="103">
        <f>IFERROR(VLOOKUP(Tabela3[[#This Row],[RESERVA]],Tabela96[[RESERVA]:[PROJETO]],5,FALSE),"")</f>
        <v>104</v>
      </c>
      <c r="F71" s="36">
        <v>3788</v>
      </c>
      <c r="G71" s="940">
        <v>73963</v>
      </c>
      <c r="H71" s="104" t="s">
        <v>364</v>
      </c>
      <c r="I71" s="155">
        <v>5192</v>
      </c>
      <c r="J71" s="64">
        <v>1400</v>
      </c>
      <c r="K71" s="64"/>
      <c r="L71" s="428">
        <f>Tabela3[[#This Row],[VALOR
 EMPENHO]]-Tabela3[[#This Row],[ESTORNO]]</f>
        <v>1400</v>
      </c>
      <c r="M71" s="304">
        <f>SUMIFS('LIQUIDAÇÃO 2025'!K:K,'LIQUIDAÇÃO 2025'!B:B,Tabela3[[#This Row],[CÓDIGO
 EMPRESA ]],'LIQUIDAÇÃO 2025'!C:C,Tabela3[[#This Row],[EMPRESA]],'LIQUIDAÇÃO 2025'!F:F,Tabela3[[#This Row],[EMPENHO]])</f>
        <v>1400</v>
      </c>
      <c r="N71" s="69">
        <f t="shared" si="2"/>
        <v>0</v>
      </c>
    </row>
    <row r="72" spans="1:16">
      <c r="A72" s="500">
        <v>45715</v>
      </c>
      <c r="B72" s="511">
        <f>IFERROR(VLOOKUP(Tabela3[[#This Row],[RESERVA]],Tabela96[[RESERVA]:[PROJETO]],2,FALSE),"")</f>
        <v>32</v>
      </c>
      <c r="C72" s="511">
        <f>IFERROR(VLOOKUP(Tabela3[[#This Row],[RESERVA]],Tabela96[[RESERVA]:[PROJETO]],3,FALSE),"")</f>
        <v>2229</v>
      </c>
      <c r="D72" s="511">
        <f>IFERROR(VLOOKUP(Tabela3[[#This Row],[RESERVA]],Tabela96[[RESERVA]:[PROJETO]],4,FALSE),"")</f>
        <v>2128</v>
      </c>
      <c r="E72" s="511">
        <f>IFERROR(VLOOKUP(Tabela3[[#This Row],[RESERVA]],Tabela96[[RESERVA]:[PROJETO]],5,FALSE),"")</f>
        <v>104</v>
      </c>
      <c r="F72" s="501">
        <v>3789</v>
      </c>
      <c r="G72" s="501">
        <v>73963</v>
      </c>
      <c r="H72" s="104" t="s">
        <v>364</v>
      </c>
      <c r="I72" s="155">
        <v>5194</v>
      </c>
      <c r="J72" s="502">
        <v>900</v>
      </c>
      <c r="K72" s="502"/>
      <c r="L72" s="509">
        <f>Tabela3[[#This Row],[VALOR
 EMPENHO]]-Tabela3[[#This Row],[ESTORNO]]</f>
        <v>900</v>
      </c>
      <c r="M72" s="304">
        <f>SUMIFS('LIQUIDAÇÃO 2025'!K:K,'LIQUIDAÇÃO 2025'!B:B,Tabela3[[#This Row],[CÓDIGO
 EMPRESA ]],'LIQUIDAÇÃO 2025'!C:C,Tabela3[[#This Row],[EMPRESA]],'LIQUIDAÇÃO 2025'!F:F,Tabela3[[#This Row],[EMPENHO]])</f>
        <v>900</v>
      </c>
      <c r="N72" s="514">
        <f t="shared" si="2"/>
        <v>0</v>
      </c>
    </row>
    <row r="73" spans="1:16">
      <c r="A73" s="152">
        <v>45715</v>
      </c>
      <c r="B73" s="48">
        <f>IFERROR(VLOOKUP(Tabela3[[#This Row],[RESERVA]],Tabela96[[RESERVA]:[PROJETO]],2,FALSE),"")</f>
        <v>30</v>
      </c>
      <c r="C73" s="48">
        <f>IFERROR(VLOOKUP(Tabela3[[#This Row],[RESERVA]],Tabela96[[RESERVA]:[PROJETO]],3,FALSE),"")</f>
        <v>2253</v>
      </c>
      <c r="D73" s="103">
        <f>IFERROR(VLOOKUP(Tabela3[[#This Row],[RESERVA]],Tabela96[[RESERVA]:[PROJETO]],4,FALSE),"")</f>
        <v>2124</v>
      </c>
      <c r="E73" s="103">
        <f>IFERROR(VLOOKUP(Tabela3[[#This Row],[RESERVA]],Tabela96[[RESERVA]:[PROJETO]],5,FALSE),"")</f>
        <v>25</v>
      </c>
      <c r="F73" s="36">
        <v>3790</v>
      </c>
      <c r="G73" s="36">
        <v>60979</v>
      </c>
      <c r="H73" s="104" t="s">
        <v>122</v>
      </c>
      <c r="I73" s="155">
        <v>5141</v>
      </c>
      <c r="J73" s="64">
        <v>700000</v>
      </c>
      <c r="K73" s="79"/>
      <c r="L73" s="428">
        <f>Tabela3[[#This Row],[VALOR
 EMPENHO]]-Tabela3[[#This Row],[ESTORNO]]</f>
        <v>700000</v>
      </c>
      <c r="M73" s="304">
        <f>SUMIFS('LIQUIDAÇÃO 2025'!K:K,'LIQUIDAÇÃO 2025'!B:B,Tabela3[[#This Row],[CÓDIGO
 EMPRESA ]],'LIQUIDAÇÃO 2025'!C:C,Tabela3[[#This Row],[EMPRESA]],'LIQUIDAÇÃO 2025'!F:F,Tabela3[[#This Row],[EMPENHO]])</f>
        <v>700000</v>
      </c>
      <c r="N73" s="69">
        <f t="shared" si="2"/>
        <v>0</v>
      </c>
      <c r="P73" s="62"/>
    </row>
    <row r="74" spans="1:16">
      <c r="A74" s="234">
        <v>45727</v>
      </c>
      <c r="B74" s="48">
        <f>IFERROR(VLOOKUP(Tabela3[[#This Row],[RESERVA]],Tabela96[[RESERVA]:[PROJETO]],2,FALSE),"")</f>
        <v>32</v>
      </c>
      <c r="C74" s="48">
        <f>IFERROR(VLOOKUP(Tabela3[[#This Row],[RESERVA]],Tabela96[[RESERVA]:[PROJETO]],3,FALSE),"")</f>
        <v>2229</v>
      </c>
      <c r="D74" s="103">
        <f>IFERROR(VLOOKUP(Tabela3[[#This Row],[RESERVA]],Tabela96[[RESERVA]:[PROJETO]],4,FALSE),"")</f>
        <v>2128</v>
      </c>
      <c r="E74" s="103">
        <f>IFERROR(VLOOKUP(Tabela3[[#This Row],[RESERVA]],Tabela96[[RESERVA]:[PROJETO]],5,FALSE),"")</f>
        <v>237</v>
      </c>
      <c r="F74" s="235">
        <v>4191</v>
      </c>
      <c r="G74" s="235">
        <v>42326</v>
      </c>
      <c r="H74" s="104" t="s">
        <v>407</v>
      </c>
      <c r="I74" s="155">
        <v>5709</v>
      </c>
      <c r="J74" s="236">
        <v>1232459.76</v>
      </c>
      <c r="K74" s="64"/>
      <c r="L74" s="428">
        <f>Tabela3[[#This Row],[VALOR
 EMPENHO]]-Tabela3[[#This Row],[ESTORNO]]</f>
        <v>1232459.76</v>
      </c>
      <c r="M74" s="304">
        <f>SUMIFS('LIQUIDAÇÃO 2025'!K:K,'LIQUIDAÇÃO 2025'!B:B,Tabela3[[#This Row],[CÓDIGO
 EMPRESA ]],'LIQUIDAÇÃO 2025'!C:C,Tabela3[[#This Row],[EMPRESA]],'LIQUIDAÇÃO 2025'!F:F,Tabela3[[#This Row],[EMPENHO]])</f>
        <v>1232459.76</v>
      </c>
      <c r="N74" s="69">
        <f t="shared" si="2"/>
        <v>0</v>
      </c>
    </row>
    <row r="75" spans="1:16">
      <c r="A75" s="234">
        <v>45728</v>
      </c>
      <c r="B75" s="48">
        <f>IFERROR(VLOOKUP(Tabela3[[#This Row],[RESERVA]],Tabela96[[RESERVA]:[PROJETO]],2,FALSE),"")</f>
        <v>30</v>
      </c>
      <c r="C75" s="48">
        <f>IFERROR(VLOOKUP(Tabela3[[#This Row],[RESERVA]],Tabela96[[RESERVA]:[PROJETO]],3,FALSE),"")</f>
        <v>3486</v>
      </c>
      <c r="D75" s="103">
        <f>IFERROR(VLOOKUP(Tabela3[[#This Row],[RESERVA]],Tabela96[[RESERVA]:[PROJETO]],4,FALSE),"")</f>
        <v>2126</v>
      </c>
      <c r="E75" s="103">
        <f>IFERROR(VLOOKUP(Tabela3[[#This Row],[RESERVA]],Tabela96[[RESERVA]:[PROJETO]],5,FALSE),"")</f>
        <v>104</v>
      </c>
      <c r="F75" s="235">
        <v>4242</v>
      </c>
      <c r="G75" s="235">
        <v>121876</v>
      </c>
      <c r="H75" s="104" t="s">
        <v>405</v>
      </c>
      <c r="I75" s="155">
        <v>5770</v>
      </c>
      <c r="J75" s="236">
        <v>1826.58</v>
      </c>
      <c r="K75" s="79"/>
      <c r="L75" s="428">
        <f>Tabela3[[#This Row],[VALOR
 EMPENHO]]-Tabela3[[#This Row],[ESTORNO]]</f>
        <v>1826.58</v>
      </c>
      <c r="M75" s="304">
        <f>SUMIFS('LIQUIDAÇÃO 2025'!K:K,'LIQUIDAÇÃO 2025'!B:B,Tabela3[[#This Row],[CÓDIGO
 EMPRESA ]],'LIQUIDAÇÃO 2025'!C:C,Tabela3[[#This Row],[EMPRESA]],'LIQUIDAÇÃO 2025'!F:F,Tabela3[[#This Row],[EMPENHO]])</f>
        <v>1826.58</v>
      </c>
      <c r="N75" s="69">
        <f t="shared" si="2"/>
        <v>0</v>
      </c>
    </row>
    <row r="76" spans="1:16">
      <c r="A76" s="152">
        <v>45728</v>
      </c>
      <c r="B76" s="48">
        <f>IFERROR(VLOOKUP(Tabela3[[#This Row],[RESERVA]],Tabela96[[RESERVA]:[PROJETO]],2,FALSE),"")</f>
        <v>30</v>
      </c>
      <c r="C76" s="48">
        <f>IFERROR(VLOOKUP(Tabela3[[#This Row],[RESERVA]],Tabela96[[RESERVA]:[PROJETO]],3,FALSE),"")</f>
        <v>2253</v>
      </c>
      <c r="D76" s="103">
        <f>IFERROR(VLOOKUP(Tabela3[[#This Row],[RESERVA]],Tabela96[[RESERVA]:[PROJETO]],4,FALSE),"")</f>
        <v>2124</v>
      </c>
      <c r="E76" s="103">
        <f>IFERROR(VLOOKUP(Tabela3[[#This Row],[RESERVA]],Tabela96[[RESERVA]:[PROJETO]],5,FALSE),"")</f>
        <v>25</v>
      </c>
      <c r="F76" s="36">
        <v>4249</v>
      </c>
      <c r="G76" s="36">
        <v>76457</v>
      </c>
      <c r="H76" s="104" t="s">
        <v>58</v>
      </c>
      <c r="I76" s="155">
        <v>5804</v>
      </c>
      <c r="J76" s="64">
        <v>82754.2</v>
      </c>
      <c r="K76" s="79"/>
      <c r="L76" s="428">
        <f>Tabela3[[#This Row],[VALOR
 EMPENHO]]-Tabela3[[#This Row],[ESTORNO]]</f>
        <v>82754.2</v>
      </c>
      <c r="M76" s="304">
        <f>SUMIFS('LIQUIDAÇÃO 2025'!K:K,'LIQUIDAÇÃO 2025'!B:B,Tabela3[[#This Row],[CÓDIGO
 EMPRESA ]],'LIQUIDAÇÃO 2025'!C:C,Tabela3[[#This Row],[EMPRESA]],'LIQUIDAÇÃO 2025'!F:F,Tabela3[[#This Row],[EMPENHO]])</f>
        <v>82754.2</v>
      </c>
      <c r="N76" s="69">
        <f t="shared" si="2"/>
        <v>0</v>
      </c>
    </row>
    <row r="77" spans="1:16">
      <c r="A77" s="234">
        <v>45728</v>
      </c>
      <c r="B77" s="48">
        <f>IFERROR(VLOOKUP(Tabela3[[#This Row],[RESERVA]],Tabela96[[RESERVA]:[PROJETO]],2,FALSE),"")</f>
        <v>32</v>
      </c>
      <c r="C77" s="48">
        <f>IFERROR(VLOOKUP(Tabela3[[#This Row],[RESERVA]],Tabela96[[RESERVA]:[PROJETO]],3,FALSE),"")</f>
        <v>2226</v>
      </c>
      <c r="D77" s="103">
        <f>IFERROR(VLOOKUP(Tabela3[[#This Row],[RESERVA]],Tabela96[[RESERVA]:[PROJETO]],4,FALSE),"")</f>
        <v>2128</v>
      </c>
      <c r="E77" s="103">
        <f>IFERROR(VLOOKUP(Tabela3[[#This Row],[RESERVA]],Tabela96[[RESERVA]:[PROJETO]],5,FALSE),"")</f>
        <v>88</v>
      </c>
      <c r="F77" s="235">
        <v>2631</v>
      </c>
      <c r="G77" s="235">
        <v>121920</v>
      </c>
      <c r="H77" s="104" t="s">
        <v>379</v>
      </c>
      <c r="I77" s="155">
        <v>5771</v>
      </c>
      <c r="J77" s="236">
        <v>3220</v>
      </c>
      <c r="K77" s="65">
        <v>3220</v>
      </c>
      <c r="L77" s="428">
        <f>Tabela3[[#This Row],[VALOR
 EMPENHO]]-Tabela3[[#This Row],[ESTORNO]]</f>
        <v>0</v>
      </c>
      <c r="M77" s="304">
        <f>SUMIFS('LIQUIDAÇÃO 2025'!K:K,'LIQUIDAÇÃO 2025'!B:B,Tabela3[[#This Row],[CÓDIGO
 EMPRESA ]],'LIQUIDAÇÃO 2025'!C:C,Tabela3[[#This Row],[EMPRESA]],'LIQUIDAÇÃO 2025'!F:F,Tabela3[[#This Row],[EMPENHO]])</f>
        <v>0</v>
      </c>
      <c r="N77" s="69">
        <f t="shared" si="2"/>
        <v>0</v>
      </c>
    </row>
    <row r="78" spans="1:16">
      <c r="A78" s="152">
        <v>45728</v>
      </c>
      <c r="B78" s="48">
        <f>IFERROR(VLOOKUP(Tabela3[[#This Row],[RESERVA]],Tabela96[[RESERVA]:[PROJETO]],2,FALSE),"")</f>
        <v>32</v>
      </c>
      <c r="C78" s="48">
        <f>IFERROR(VLOOKUP(Tabela3[[#This Row],[RESERVA]],Tabela96[[RESERVA]:[PROJETO]],3,FALSE),"")</f>
        <v>2229</v>
      </c>
      <c r="D78" s="103">
        <f>IFERROR(VLOOKUP(Tabela3[[#This Row],[RESERVA]],Tabela96[[RESERVA]:[PROJETO]],4,FALSE),"")</f>
        <v>2128</v>
      </c>
      <c r="E78" s="103">
        <f>IFERROR(VLOOKUP(Tabela3[[#This Row],[RESERVA]],Tabela96[[RESERVA]:[PROJETO]],5,FALSE),"")</f>
        <v>117</v>
      </c>
      <c r="F78" s="36">
        <v>14465</v>
      </c>
      <c r="G78" s="36">
        <v>63516</v>
      </c>
      <c r="H78" s="104" t="s">
        <v>404</v>
      </c>
      <c r="I78" s="155">
        <v>5809</v>
      </c>
      <c r="J78" s="64">
        <v>8881.33</v>
      </c>
      <c r="K78" s="79"/>
      <c r="L78" s="428">
        <f>Tabela3[[#This Row],[VALOR
 EMPENHO]]-Tabela3[[#This Row],[ESTORNO]]</f>
        <v>8881.33</v>
      </c>
      <c r="M78" s="304">
        <f>SUMIFS('LIQUIDAÇÃO 2025'!K:K,'LIQUIDAÇÃO 2025'!B:B,Tabela3[[#This Row],[CÓDIGO
 EMPRESA ]],'LIQUIDAÇÃO 2025'!C:C,Tabela3[[#This Row],[EMPRESA]],'LIQUIDAÇÃO 2025'!F:F,Tabela3[[#This Row],[EMPENHO]])</f>
        <v>8881.33</v>
      </c>
      <c r="N78" s="69">
        <f t="shared" si="2"/>
        <v>0</v>
      </c>
    </row>
    <row r="79" spans="1:16">
      <c r="A79" s="152">
        <v>45728</v>
      </c>
      <c r="B79" s="48">
        <f>IFERROR(VLOOKUP(Tabela3[[#This Row],[RESERVA]],Tabela96[[RESERVA]:[PROJETO]],2,FALSE),"")</f>
        <v>30</v>
      </c>
      <c r="C79" s="48">
        <f>IFERROR(VLOOKUP(Tabela3[[#This Row],[RESERVA]],Tabela96[[RESERVA]:[PROJETO]],3,FALSE),"")</f>
        <v>3485</v>
      </c>
      <c r="D79" s="103">
        <f>IFERROR(VLOOKUP(Tabela3[[#This Row],[RESERVA]],Tabela96[[RESERVA]:[PROJETO]],4,FALSE),"")</f>
        <v>2126</v>
      </c>
      <c r="E79" s="103">
        <f>IFERROR(VLOOKUP(Tabela3[[#This Row],[RESERVA]],Tabela96[[RESERVA]:[PROJETO]],5,FALSE),"")</f>
        <v>104</v>
      </c>
      <c r="F79" s="235">
        <v>4246</v>
      </c>
      <c r="G79" s="235">
        <v>67538</v>
      </c>
      <c r="H79" s="104" t="s">
        <v>325</v>
      </c>
      <c r="I79" s="155">
        <v>5774</v>
      </c>
      <c r="J79" s="236">
        <v>3070.32</v>
      </c>
      <c r="K79" s="79"/>
      <c r="L79" s="428">
        <f>Tabela3[[#This Row],[VALOR
 EMPENHO]]-Tabela3[[#This Row],[ESTORNO]]</f>
        <v>3070.32</v>
      </c>
      <c r="M79" s="304">
        <f>SUMIFS('LIQUIDAÇÃO 2025'!K:K,'LIQUIDAÇÃO 2025'!B:B,Tabela3[[#This Row],[CÓDIGO
 EMPRESA ]],'LIQUIDAÇÃO 2025'!C:C,Tabela3[[#This Row],[EMPRESA]],'LIQUIDAÇÃO 2025'!F:F,Tabela3[[#This Row],[EMPENHO]])</f>
        <v>3070.32</v>
      </c>
      <c r="N79" s="69">
        <f t="shared" si="2"/>
        <v>0</v>
      </c>
    </row>
    <row r="80" spans="1:16">
      <c r="A80" s="253">
        <v>45728</v>
      </c>
      <c r="B80" s="48">
        <f>IFERROR(VLOOKUP(Tabela3[[#This Row],[RESERVA]],Tabela96[[RESERVA]:[PROJETO]],2,FALSE),"")</f>
        <v>30</v>
      </c>
      <c r="C80" s="48">
        <f>IFERROR(VLOOKUP(Tabela3[[#This Row],[RESERVA]],Tabela96[[RESERVA]:[PROJETO]],3,FALSE),"")</f>
        <v>3485</v>
      </c>
      <c r="D80" s="103">
        <f>IFERROR(VLOOKUP(Tabela3[[#This Row],[RESERVA]],Tabela96[[RESERVA]:[PROJETO]],4,FALSE),"")</f>
        <v>2126</v>
      </c>
      <c r="E80" s="103">
        <f>IFERROR(VLOOKUP(Tabela3[[#This Row],[RESERVA]],Tabela96[[RESERVA]:[PROJETO]],5,FALSE),"")</f>
        <v>104</v>
      </c>
      <c r="F80" s="254">
        <v>4246</v>
      </c>
      <c r="G80" s="254">
        <v>67538</v>
      </c>
      <c r="H80" s="104" t="s">
        <v>325</v>
      </c>
      <c r="I80" s="155">
        <v>5785</v>
      </c>
      <c r="J80" s="255">
        <v>560</v>
      </c>
      <c r="K80" s="79"/>
      <c r="L80" s="428">
        <f>Tabela3[[#This Row],[VALOR
 EMPENHO]]-Tabela3[[#This Row],[ESTORNO]]</f>
        <v>560</v>
      </c>
      <c r="M80" s="304">
        <f>SUMIFS('LIQUIDAÇÃO 2025'!K:K,'LIQUIDAÇÃO 2025'!B:B,Tabela3[[#This Row],[CÓDIGO
 EMPRESA ]],'LIQUIDAÇÃO 2025'!C:C,Tabela3[[#This Row],[EMPRESA]],'LIQUIDAÇÃO 2025'!F:F,Tabela3[[#This Row],[EMPENHO]])</f>
        <v>560</v>
      </c>
      <c r="N80" s="276">
        <f t="shared" si="2"/>
        <v>0</v>
      </c>
    </row>
    <row r="81" spans="1:14">
      <c r="A81" s="234">
        <v>45728</v>
      </c>
      <c r="B81" s="48">
        <f>IFERROR(VLOOKUP(Tabela3[[#This Row],[RESERVA]],Tabela96[[RESERVA]:[PROJETO]],2,FALSE),"")</f>
        <v>32</v>
      </c>
      <c r="C81" s="48">
        <f>IFERROR(VLOOKUP(Tabela3[[#This Row],[RESERVA]],Tabela96[[RESERVA]:[PROJETO]],3,FALSE),"")</f>
        <v>3484</v>
      </c>
      <c r="D81" s="103">
        <f>IFERROR(VLOOKUP(Tabela3[[#This Row],[RESERVA]],Tabela96[[RESERVA]:[PROJETO]],4,FALSE),"")</f>
        <v>2128</v>
      </c>
      <c r="E81" s="103">
        <f>IFERROR(VLOOKUP(Tabela3[[#This Row],[RESERVA]],Tabela96[[RESERVA]:[PROJETO]],5,FALSE),"")</f>
        <v>138</v>
      </c>
      <c r="F81" s="235">
        <v>4247</v>
      </c>
      <c r="G81" s="235">
        <v>104076</v>
      </c>
      <c r="H81" s="104" t="s">
        <v>384</v>
      </c>
      <c r="I81" s="155">
        <v>5769</v>
      </c>
      <c r="J81" s="236">
        <v>2738</v>
      </c>
      <c r="K81" s="79"/>
      <c r="L81" s="428">
        <f>Tabela3[[#This Row],[VALOR
 EMPENHO]]-Tabela3[[#This Row],[ESTORNO]]</f>
        <v>2738</v>
      </c>
      <c r="M81" s="304">
        <f>SUMIFS('LIQUIDAÇÃO 2025'!K:K,'LIQUIDAÇÃO 2025'!B:B,Tabela3[[#This Row],[CÓDIGO
 EMPRESA ]],'LIQUIDAÇÃO 2025'!C:C,Tabela3[[#This Row],[EMPRESA]],'LIQUIDAÇÃO 2025'!F:F,Tabela3[[#This Row],[EMPENHO]])</f>
        <v>2738</v>
      </c>
      <c r="N81" s="69">
        <f t="shared" si="2"/>
        <v>0</v>
      </c>
    </row>
    <row r="82" spans="1:14">
      <c r="A82" s="234">
        <v>45728</v>
      </c>
      <c r="B82" s="512">
        <f>IFERROR(VLOOKUP(Tabela3[[#This Row],[RESERVA]],Tabela96[[RESERVA]:[PROJETO]],2,FALSE),"")</f>
        <v>32</v>
      </c>
      <c r="C82" s="48">
        <f>IFERROR(VLOOKUP(Tabela3[[#This Row],[RESERVA]],Tabela96[[RESERVA]:[PROJETO]],3,FALSE),"")</f>
        <v>3484</v>
      </c>
      <c r="D82" s="513">
        <f>IFERROR(VLOOKUP(Tabela3[[#This Row],[RESERVA]],Tabela96[[RESERVA]:[PROJETO]],4,FALSE),"")</f>
        <v>2128</v>
      </c>
      <c r="E82" s="513">
        <f>IFERROR(VLOOKUP(Tabela3[[#This Row],[RESERVA]],Tabela96[[RESERVA]:[PROJETO]],5,FALSE),"")</f>
        <v>84</v>
      </c>
      <c r="F82" s="235">
        <v>4245</v>
      </c>
      <c r="G82" s="235">
        <v>121279</v>
      </c>
      <c r="H82" s="104" t="s">
        <v>406</v>
      </c>
      <c r="I82" s="155">
        <v>5768</v>
      </c>
      <c r="J82" s="236">
        <v>840</v>
      </c>
      <c r="K82" s="79"/>
      <c r="L82" s="428">
        <f>Tabela3[[#This Row],[VALOR
 EMPENHO]]-Tabela3[[#This Row],[ESTORNO]]</f>
        <v>840</v>
      </c>
      <c r="M82" s="304">
        <f>SUMIFS('LIQUIDAÇÃO 2025'!K:K,'LIQUIDAÇÃO 2025'!B:B,Tabela3[[#This Row],[CÓDIGO
 EMPRESA ]],'LIQUIDAÇÃO 2025'!C:C,Tabela3[[#This Row],[EMPRESA]],'LIQUIDAÇÃO 2025'!F:F,Tabela3[[#This Row],[EMPENHO]])</f>
        <v>840</v>
      </c>
      <c r="N82" s="948">
        <f t="shared" si="2"/>
        <v>0</v>
      </c>
    </row>
    <row r="83" spans="1:14">
      <c r="A83" s="234">
        <v>45728</v>
      </c>
      <c r="B83" s="512">
        <f>IFERROR(VLOOKUP(Tabela3[[#This Row],[RESERVA]],Tabela96[[RESERVA]:[PROJETO]],2,FALSE),"")</f>
        <v>32</v>
      </c>
      <c r="C83" s="48">
        <f>IFERROR(VLOOKUP(Tabela3[[#This Row],[RESERVA]],Tabela96[[RESERVA]:[PROJETO]],3,FALSE),"")</f>
        <v>3484</v>
      </c>
      <c r="D83" s="513">
        <f>IFERROR(VLOOKUP(Tabela3[[#This Row],[RESERVA]],Tabela96[[RESERVA]:[PROJETO]],4,FALSE),"")</f>
        <v>2128</v>
      </c>
      <c r="E83" s="513">
        <f>IFERROR(VLOOKUP(Tabela3[[#This Row],[RESERVA]],Tabela96[[RESERVA]:[PROJETO]],5,FALSE),"")</f>
        <v>245</v>
      </c>
      <c r="F83" s="235">
        <v>4241</v>
      </c>
      <c r="G83" s="235">
        <v>54615</v>
      </c>
      <c r="H83" s="104" t="s">
        <v>158</v>
      </c>
      <c r="I83" s="155">
        <v>5793</v>
      </c>
      <c r="J83" s="236">
        <v>4233</v>
      </c>
      <c r="K83" s="64"/>
      <c r="L83" s="428">
        <f>Tabela3[[#This Row],[VALOR
 EMPENHO]]-Tabela3[[#This Row],[ESTORNO]]</f>
        <v>4233</v>
      </c>
      <c r="M83" s="304">
        <f>SUMIFS('LIQUIDAÇÃO 2025'!K:K,'LIQUIDAÇÃO 2025'!B:B,Tabela3[[#This Row],[CÓDIGO
 EMPRESA ]],'LIQUIDAÇÃO 2025'!C:C,Tabela3[[#This Row],[EMPRESA]],'LIQUIDAÇÃO 2025'!F:F,Tabela3[[#This Row],[EMPENHO]])</f>
        <v>4233</v>
      </c>
      <c r="N83" s="683">
        <f t="shared" si="2"/>
        <v>0</v>
      </c>
    </row>
    <row r="84" spans="1:14">
      <c r="A84" s="152">
        <v>45729</v>
      </c>
      <c r="B84" s="48">
        <f>IFERROR(VLOOKUP(Tabela3[[#This Row],[RESERVA]],Tabela96[[RESERVA]:[PROJETO]],2,FALSE),"")</f>
        <v>30</v>
      </c>
      <c r="C84" s="48">
        <f>IFERROR(VLOOKUP(Tabela3[[#This Row],[RESERVA]],Tabela96[[RESERVA]:[PROJETO]],3,FALSE),"")</f>
        <v>3487</v>
      </c>
      <c r="D84" s="48">
        <f>IFERROR(VLOOKUP(Tabela3[[#This Row],[RESERVA]],Tabela96[[RESERVA]:[PROJETO]],4,FALSE),"")</f>
        <v>2124</v>
      </c>
      <c r="E84" s="48">
        <f>IFERROR(VLOOKUP(Tabela3[[#This Row],[RESERVA]],Tabela96[[RESERVA]:[PROJETO]],5,FALSE),"")</f>
        <v>25</v>
      </c>
      <c r="F84" s="36">
        <v>4250</v>
      </c>
      <c r="G84" s="36">
        <v>119152</v>
      </c>
      <c r="H84" s="104" t="s">
        <v>376</v>
      </c>
      <c r="I84" s="155">
        <v>5849</v>
      </c>
      <c r="J84" s="64">
        <v>7032.43</v>
      </c>
      <c r="K84" s="64"/>
      <c r="L84" s="509">
        <f>Tabela3[[#This Row],[VALOR
 EMPENHO]]-Tabela3[[#This Row],[ESTORNO]]</f>
        <v>7032.43</v>
      </c>
      <c r="M84" s="304">
        <f>SUMIFS('LIQUIDAÇÃO 2025'!K:K,'LIQUIDAÇÃO 2025'!B:B,Tabela3[[#This Row],[CÓDIGO
 EMPRESA ]],'LIQUIDAÇÃO 2025'!C:C,Tabela3[[#This Row],[EMPRESA]],'LIQUIDAÇÃO 2025'!F:F,Tabela3[[#This Row],[EMPENHO]])</f>
        <v>7032.43</v>
      </c>
      <c r="N84" s="69">
        <f t="shared" si="2"/>
        <v>0</v>
      </c>
    </row>
    <row r="85" spans="1:14">
      <c r="A85" s="677">
        <v>45729</v>
      </c>
      <c r="B85" s="679">
        <f>IFERROR(VLOOKUP(Tabela3[[#This Row],[RESERVA]],Tabela96[[RESERVA]:[PROJETO]],2,FALSE),"")</f>
        <v>30</v>
      </c>
      <c r="C85" s="679">
        <f>IFERROR(VLOOKUP(Tabela3[[#This Row],[RESERVA]],Tabela96[[RESERVA]:[PROJETO]],3,FALSE),"")</f>
        <v>3487</v>
      </c>
      <c r="D85" s="679">
        <f>IFERROR(VLOOKUP(Tabela3[[#This Row],[RESERVA]],Tabela96[[RESERVA]:[PROJETO]],4,FALSE),"")</f>
        <v>2124</v>
      </c>
      <c r="E85" s="679">
        <f>IFERROR(VLOOKUP(Tabela3[[#This Row],[RESERVA]],Tabela96[[RESERVA]:[PROJETO]],5,FALSE),"")</f>
        <v>25</v>
      </c>
      <c r="F85" s="680">
        <v>4250</v>
      </c>
      <c r="G85" s="680">
        <v>112466</v>
      </c>
      <c r="H85" s="217" t="s">
        <v>377</v>
      </c>
      <c r="I85" s="155">
        <v>5851</v>
      </c>
      <c r="J85" s="681">
        <v>11909.55</v>
      </c>
      <c r="K85" s="681"/>
      <c r="L85" s="509">
        <f>Tabela3[[#This Row],[VALOR
 EMPENHO]]-Tabela3[[#This Row],[ESTORNO]]</f>
        <v>11909.55</v>
      </c>
      <c r="M85" s="304">
        <f>SUMIFS('LIQUIDAÇÃO 2025'!K:K,'LIQUIDAÇÃO 2025'!B:B,Tabela3[[#This Row],[CÓDIGO
 EMPRESA ]],'LIQUIDAÇÃO 2025'!C:C,Tabela3[[#This Row],[EMPRESA]],'LIQUIDAÇÃO 2025'!F:F,Tabela3[[#This Row],[EMPENHO]])</f>
        <v>11909.55</v>
      </c>
      <c r="N85" s="949">
        <f t="shared" si="2"/>
        <v>0</v>
      </c>
    </row>
    <row r="86" spans="1:14">
      <c r="A86" s="234">
        <v>45730</v>
      </c>
      <c r="B86" s="48">
        <f>IFERROR(VLOOKUP(Tabela3[[#This Row],[RESERVA]],Tabela96[[RESERVA]:[PROJETO]],2,FALSE),"")</f>
        <v>32</v>
      </c>
      <c r="C86" s="48">
        <f>IFERROR(VLOOKUP(Tabela3[[#This Row],[RESERVA]],Tabela96[[RESERVA]:[PROJETO]],3,FALSE),"")</f>
        <v>3484</v>
      </c>
      <c r="D86" s="103">
        <f>IFERROR(VLOOKUP(Tabela3[[#This Row],[RESERVA]],Tabela96[[RESERVA]:[PROJETO]],4,FALSE),"")</f>
        <v>2128</v>
      </c>
      <c r="E86" s="103">
        <f>IFERROR(VLOOKUP(Tabela3[[#This Row],[RESERVA]],Tabela96[[RESERVA]:[PROJETO]],5,FALSE),"")</f>
        <v>122</v>
      </c>
      <c r="F86" s="235">
        <v>4243</v>
      </c>
      <c r="G86" s="235">
        <v>2808</v>
      </c>
      <c r="H86" s="217" t="s">
        <v>59</v>
      </c>
      <c r="I86" s="155">
        <v>5908</v>
      </c>
      <c r="J86" s="236">
        <v>4265.6499999999996</v>
      </c>
      <c r="K86" s="79"/>
      <c r="L86" s="428">
        <f>Tabela3[[#This Row],[VALOR
 EMPENHO]]-Tabela3[[#This Row],[ESTORNO]]</f>
        <v>4265.6499999999996</v>
      </c>
      <c r="M86" s="304">
        <f>SUMIFS('LIQUIDAÇÃO 2025'!K:K,'LIQUIDAÇÃO 2025'!B:B,Tabela3[[#This Row],[CÓDIGO
 EMPRESA ]],'LIQUIDAÇÃO 2025'!C:C,Tabela3[[#This Row],[EMPRESA]],'LIQUIDAÇÃO 2025'!F:F,Tabela3[[#This Row],[EMPENHO]])</f>
        <v>4265.6499999999996</v>
      </c>
      <c r="N86" s="245">
        <f t="shared" si="2"/>
        <v>0</v>
      </c>
    </row>
    <row r="87" spans="1:14">
      <c r="A87" s="234">
        <v>45736</v>
      </c>
      <c r="B87" s="48">
        <f>IFERROR(VLOOKUP(Tabela3[[#This Row],[RESERVA]],Tabela96[[RESERVA]:[PROJETO]],2,FALSE),"")</f>
        <v>29</v>
      </c>
      <c r="C87" s="48">
        <f>IFERROR(VLOOKUP(Tabela3[[#This Row],[RESERVA]],Tabela96[[RESERVA]:[PROJETO]],3,FALSE),"")</f>
        <v>2248</v>
      </c>
      <c r="D87" s="103">
        <f>IFERROR(VLOOKUP(Tabela3[[#This Row],[RESERVA]],Tabela96[[RESERVA]:[PROJETO]],4,FALSE),"")</f>
        <v>2123</v>
      </c>
      <c r="E87" s="103">
        <f>IFERROR(VLOOKUP(Tabela3[[#This Row],[RESERVA]],Tabela96[[RESERVA]:[PROJETO]],5,FALSE),"")</f>
        <v>69</v>
      </c>
      <c r="F87" s="235">
        <v>4581</v>
      </c>
      <c r="G87" s="235">
        <v>41807</v>
      </c>
      <c r="H87" s="217" t="s">
        <v>370</v>
      </c>
      <c r="I87" s="155">
        <v>6191</v>
      </c>
      <c r="J87" s="236">
        <v>176550</v>
      </c>
      <c r="K87" s="79"/>
      <c r="L87" s="428">
        <f>Tabela3[[#This Row],[VALOR
 EMPENHO]]-Tabela3[[#This Row],[ESTORNO]]</f>
        <v>176550</v>
      </c>
      <c r="M87" s="304">
        <f>SUMIFS('LIQUIDAÇÃO 2025'!K:K,'LIQUIDAÇÃO 2025'!B:B,Tabela3[[#This Row],[CÓDIGO
 EMPRESA ]],'LIQUIDAÇÃO 2025'!C:C,Tabela3[[#This Row],[EMPRESA]],'LIQUIDAÇÃO 2025'!F:F,Tabela3[[#This Row],[EMPENHO]])</f>
        <v>172800</v>
      </c>
      <c r="N87" s="245">
        <f t="shared" si="2"/>
        <v>3750</v>
      </c>
    </row>
    <row r="88" spans="1:14">
      <c r="A88" s="152">
        <v>45736</v>
      </c>
      <c r="B88" s="48">
        <f>IFERROR(VLOOKUP(Tabela3[[#This Row],[RESERVA]],Tabela96[[RESERVA]:[PROJETO]],2,FALSE),"")</f>
        <v>29</v>
      </c>
      <c r="C88" s="48">
        <f>IFERROR(VLOOKUP(Tabela3[[#This Row],[RESERVA]],Tabela96[[RESERVA]:[PROJETO]],3,FALSE),"")</f>
        <v>2248</v>
      </c>
      <c r="D88" s="103">
        <f>IFERROR(VLOOKUP(Tabela3[[#This Row],[RESERVA]],Tabela96[[RESERVA]:[PROJETO]],4,FALSE),"")</f>
        <v>2123</v>
      </c>
      <c r="E88" s="103">
        <f>IFERROR(VLOOKUP(Tabela3[[#This Row],[RESERVA]],Tabela96[[RESERVA]:[PROJETO]],5,FALSE),"")</f>
        <v>69</v>
      </c>
      <c r="F88" s="36">
        <v>4580</v>
      </c>
      <c r="G88" s="36">
        <v>67547</v>
      </c>
      <c r="H88" s="217" t="s">
        <v>294</v>
      </c>
      <c r="I88" s="155">
        <v>6192</v>
      </c>
      <c r="J88" s="64">
        <v>48062</v>
      </c>
      <c r="K88" s="79">
        <v>7560</v>
      </c>
      <c r="L88" s="428">
        <f>Tabela3[[#This Row],[VALOR
 EMPENHO]]-Tabela3[[#This Row],[ESTORNO]]</f>
        <v>40502</v>
      </c>
      <c r="M88" s="304">
        <f>SUMIFS('LIQUIDAÇÃO 2025'!K:K,'LIQUIDAÇÃO 2025'!B:B,Tabela3[[#This Row],[CÓDIGO
 EMPRESA ]],'LIQUIDAÇÃO 2025'!C:C,Tabela3[[#This Row],[EMPRESA]],'LIQUIDAÇÃO 2025'!F:F,Tabela3[[#This Row],[EMPENHO]])</f>
        <v>40502</v>
      </c>
      <c r="N88" s="69">
        <f t="shared" si="2"/>
        <v>0</v>
      </c>
    </row>
    <row r="89" spans="1:14">
      <c r="A89" s="152">
        <v>45736</v>
      </c>
      <c r="B89" s="48">
        <f>IFERROR(VLOOKUP(Tabela3[[#This Row],[RESERVA]],Tabela96[[RESERVA]:[PROJETO]],2,FALSE),"")</f>
        <v>29</v>
      </c>
      <c r="C89" s="48">
        <f>IFERROR(VLOOKUP(Tabela3[[#This Row],[RESERVA]],Tabela96[[RESERVA]:[PROJETO]],3,FALSE),"")</f>
        <v>2244</v>
      </c>
      <c r="D89" s="103">
        <f>IFERROR(VLOOKUP(Tabela3[[#This Row],[RESERVA]],Tabela96[[RESERVA]:[PROJETO]],4,FALSE),"")</f>
        <v>2123</v>
      </c>
      <c r="E89" s="103">
        <f>IFERROR(VLOOKUP(Tabela3[[#This Row],[RESERVA]],Tabela96[[RESERVA]:[PROJETO]],5,FALSE),"")</f>
        <v>92</v>
      </c>
      <c r="F89" s="36">
        <v>4579</v>
      </c>
      <c r="G89" s="36">
        <v>67547</v>
      </c>
      <c r="H89" s="217" t="s">
        <v>294</v>
      </c>
      <c r="I89" s="155">
        <v>6195</v>
      </c>
      <c r="J89" s="64">
        <v>165040</v>
      </c>
      <c r="K89" s="79">
        <v>400</v>
      </c>
      <c r="L89" s="428">
        <f>Tabela3[[#This Row],[VALOR
 EMPENHO]]-Tabela3[[#This Row],[ESTORNO]]</f>
        <v>164640</v>
      </c>
      <c r="M89" s="304">
        <f>SUMIFS('LIQUIDAÇÃO 2025'!K:K,'LIQUIDAÇÃO 2025'!B:B,Tabela3[[#This Row],[CÓDIGO
 EMPRESA ]],'LIQUIDAÇÃO 2025'!C:C,Tabela3[[#This Row],[EMPRESA]],'LIQUIDAÇÃO 2025'!F:F,Tabela3[[#This Row],[EMPENHO]])</f>
        <v>164640</v>
      </c>
      <c r="N89" s="683">
        <f t="shared" si="2"/>
        <v>0</v>
      </c>
    </row>
    <row r="90" spans="1:14">
      <c r="A90" s="369">
        <v>45740</v>
      </c>
      <c r="B90" s="48">
        <f>IFERROR(VLOOKUP(Tabela3[[#This Row],[RESERVA]],Tabela96[[RESERVA]:[PROJETO]],2,FALSE),"")</f>
        <v>30</v>
      </c>
      <c r="C90" s="48">
        <f>IFERROR(VLOOKUP(Tabela3[[#This Row],[RESERVA]],Tabela96[[RESERVA]:[PROJETO]],3,FALSE),"")</f>
        <v>2253</v>
      </c>
      <c r="D90" s="103">
        <f>IFERROR(VLOOKUP(Tabela3[[#This Row],[RESERVA]],Tabela96[[RESERVA]:[PROJETO]],4,FALSE),"")</f>
        <v>2124</v>
      </c>
      <c r="E90" s="103">
        <f>IFERROR(VLOOKUP(Tabela3[[#This Row],[RESERVA]],Tabela96[[RESERVA]:[PROJETO]],5,FALSE),"")</f>
        <v>25</v>
      </c>
      <c r="F90" s="370">
        <v>3005</v>
      </c>
      <c r="G90" s="370">
        <v>118253</v>
      </c>
      <c r="H90" s="217" t="s">
        <v>378</v>
      </c>
      <c r="I90" s="155">
        <v>9419</v>
      </c>
      <c r="J90" s="372">
        <v>37630.800000000003</v>
      </c>
      <c r="K90" s="64">
        <v>16546.71</v>
      </c>
      <c r="L90" s="428">
        <f>Tabela3[[#This Row],[VALOR
 EMPENHO]]-Tabela3[[#This Row],[ESTORNO]]</f>
        <v>21084.09</v>
      </c>
      <c r="M90" s="304">
        <f>SUMIFS('LIQUIDAÇÃO 2025'!K:K,'LIQUIDAÇÃO 2025'!B:B,Tabela3[[#This Row],[CÓDIGO
 EMPRESA ]],'LIQUIDAÇÃO 2025'!C:C,Tabela3[[#This Row],[EMPRESA]],'LIQUIDAÇÃO 2025'!F:F,Tabela3[[#This Row],[EMPENHO]])</f>
        <v>21084.09</v>
      </c>
      <c r="N90" s="69">
        <f t="shared" si="2"/>
        <v>0</v>
      </c>
    </row>
    <row r="91" spans="1:14">
      <c r="A91" s="369">
        <v>45740</v>
      </c>
      <c r="B91" s="48">
        <f>IFERROR(VLOOKUP(Tabela3[[#This Row],[RESERVA]],Tabela96[[RESERVA]:[PROJETO]],2,FALSE),"")</f>
        <v>32</v>
      </c>
      <c r="C91" s="48">
        <f>IFERROR(VLOOKUP(Tabela3[[#This Row],[RESERVA]],Tabela96[[RESERVA]:[PROJETO]],3,FALSE),"")</f>
        <v>2226</v>
      </c>
      <c r="D91" s="103">
        <f>IFERROR(VLOOKUP(Tabela3[[#This Row],[RESERVA]],Tabela96[[RESERVA]:[PROJETO]],4,FALSE),"")</f>
        <v>2128</v>
      </c>
      <c r="E91" s="103">
        <f>IFERROR(VLOOKUP(Tabela3[[#This Row],[RESERVA]],Tabela96[[RESERVA]:[PROJETO]],5,FALSE),"")</f>
        <v>84</v>
      </c>
      <c r="F91" s="370">
        <v>6271</v>
      </c>
      <c r="G91" s="370">
        <v>118432</v>
      </c>
      <c r="H91" s="217" t="s">
        <v>617</v>
      </c>
      <c r="I91" s="155">
        <v>9466</v>
      </c>
      <c r="J91" s="372">
        <v>5500</v>
      </c>
      <c r="K91" s="64"/>
      <c r="L91" s="428">
        <f>Tabela3[[#This Row],[VALOR
 EMPENHO]]-Tabela3[[#This Row],[ESTORNO]]</f>
        <v>5500</v>
      </c>
      <c r="M91" s="304">
        <f>SUMIFS('LIQUIDAÇÃO 2025'!K:K,'LIQUIDAÇÃO 2025'!B:B,Tabela3[[#This Row],[CÓDIGO
 EMPRESA ]],'LIQUIDAÇÃO 2025'!C:C,Tabela3[[#This Row],[EMPRESA]],'LIQUIDAÇÃO 2025'!F:F,Tabela3[[#This Row],[EMPENHO]])</f>
        <v>5500</v>
      </c>
      <c r="N91" s="245">
        <f t="shared" si="2"/>
        <v>0</v>
      </c>
    </row>
    <row r="92" spans="1:14">
      <c r="A92" s="369">
        <v>45740</v>
      </c>
      <c r="B92" s="48">
        <f>IFERROR(VLOOKUP(Tabela3[[#This Row],[RESERVA]],Tabela96[[RESERVA]:[PROJETO]],2,FALSE),"")</f>
        <v>30</v>
      </c>
      <c r="C92" s="48">
        <f>IFERROR(VLOOKUP(Tabela3[[#This Row],[RESERVA]],Tabela96[[RESERVA]:[PROJETO]],3,FALSE),"")</f>
        <v>3485</v>
      </c>
      <c r="D92" s="103">
        <f>IFERROR(VLOOKUP(Tabela3[[#This Row],[RESERVA]],Tabela96[[RESERVA]:[PROJETO]],4,FALSE),"")</f>
        <v>2126</v>
      </c>
      <c r="E92" s="103">
        <f>IFERROR(VLOOKUP(Tabela3[[#This Row],[RESERVA]],Tabela96[[RESERVA]:[PROJETO]],5,FALSE),"")</f>
        <v>104</v>
      </c>
      <c r="F92" s="416">
        <v>6269</v>
      </c>
      <c r="G92" s="416">
        <v>67538</v>
      </c>
      <c r="H92" s="217" t="s">
        <v>483</v>
      </c>
      <c r="I92" s="155">
        <v>9486</v>
      </c>
      <c r="J92" s="417">
        <v>1535.16</v>
      </c>
      <c r="K92" s="417"/>
      <c r="L92" s="428">
        <f>Tabela3[[#This Row],[VALOR
 EMPENHO]]-Tabela3[[#This Row],[ESTORNO]]</f>
        <v>1535.16</v>
      </c>
      <c r="M92" s="304">
        <f>SUMIFS('LIQUIDAÇÃO 2025'!K:K,'LIQUIDAÇÃO 2025'!B:B,Tabela3[[#This Row],[CÓDIGO
 EMPRESA ]],'LIQUIDAÇÃO 2025'!C:C,Tabela3[[#This Row],[EMPRESA]],'LIQUIDAÇÃO 2025'!F:F,Tabela3[[#This Row],[EMPENHO]])</f>
        <v>0</v>
      </c>
      <c r="N92" s="245"/>
    </row>
    <row r="93" spans="1:14">
      <c r="A93" s="369">
        <v>45740</v>
      </c>
      <c r="B93" s="48">
        <f>IFERROR(VLOOKUP(Tabela3[[#This Row],[RESERVA]],Tabela96[[RESERVA]:[PROJETO]],2,FALSE),"")</f>
        <v>32</v>
      </c>
      <c r="C93" s="48">
        <f>IFERROR(VLOOKUP(Tabela3[[#This Row],[RESERVA]],Tabela96[[RESERVA]:[PROJETO]],3,FALSE),"")</f>
        <v>2226</v>
      </c>
      <c r="D93" s="103">
        <f>IFERROR(VLOOKUP(Tabela3[[#This Row],[RESERVA]],Tabela96[[RESERVA]:[PROJETO]],4,FALSE),"")</f>
        <v>2128</v>
      </c>
      <c r="E93" s="103">
        <f>IFERROR(VLOOKUP(Tabela3[[#This Row],[RESERVA]],Tabela96[[RESERVA]:[PROJETO]],5,FALSE),"")</f>
        <v>84</v>
      </c>
      <c r="F93" s="370">
        <v>6272</v>
      </c>
      <c r="G93" s="370">
        <v>51481</v>
      </c>
      <c r="H93" s="371" t="s">
        <v>481</v>
      </c>
      <c r="I93" s="155">
        <v>9462</v>
      </c>
      <c r="J93" s="372">
        <v>5940</v>
      </c>
      <c r="K93" s="64"/>
      <c r="L93" s="428">
        <f>Tabela3[[#This Row],[VALOR
 EMPENHO]]-Tabela3[[#This Row],[ESTORNO]]</f>
        <v>5940</v>
      </c>
      <c r="M93" s="304">
        <f>SUMIFS('LIQUIDAÇÃO 2025'!K:K,'LIQUIDAÇÃO 2025'!B:B,Tabela3[[#This Row],[CÓDIGO
 EMPRESA ]],'LIQUIDAÇÃO 2025'!C:C,Tabela3[[#This Row],[EMPRESA]],'LIQUIDAÇÃO 2025'!F:F,Tabela3[[#This Row],[EMPENHO]])</f>
        <v>5940</v>
      </c>
      <c r="N93" s="245">
        <f t="shared" ref="N93:N124" si="3">L93-M93</f>
        <v>0</v>
      </c>
    </row>
    <row r="94" spans="1:14">
      <c r="A94" s="253">
        <v>45741</v>
      </c>
      <c r="B94" s="48">
        <f>IFERROR(VLOOKUP(Tabela3[[#This Row],[RESERVA]],Tabela96[[RESERVA]:[PROJETO]],2,FALSE),"")</f>
        <v>30</v>
      </c>
      <c r="C94" s="48">
        <f>IFERROR(VLOOKUP(Tabela3[[#This Row],[RESERVA]],Tabela96[[RESERVA]:[PROJETO]],3,FALSE),"")</f>
        <v>2253</v>
      </c>
      <c r="D94" s="103">
        <f>IFERROR(VLOOKUP(Tabela3[[#This Row],[RESERVA]],Tabela96[[RESERVA]:[PROJETO]],4,FALSE),"")</f>
        <v>2124</v>
      </c>
      <c r="E94" s="103">
        <f>IFERROR(VLOOKUP(Tabela3[[#This Row],[RESERVA]],Tabela96[[RESERVA]:[PROJETO]],5,FALSE),"")</f>
        <v>25</v>
      </c>
      <c r="F94" s="254">
        <v>2636</v>
      </c>
      <c r="G94" s="254">
        <v>76116</v>
      </c>
      <c r="H94" s="217" t="s">
        <v>120</v>
      </c>
      <c r="I94" s="155">
        <v>6835</v>
      </c>
      <c r="J94" s="255">
        <v>438900</v>
      </c>
      <c r="K94" s="79"/>
      <c r="L94" s="428">
        <f>Tabela3[[#This Row],[VALOR
 EMPENHO]]-Tabela3[[#This Row],[ESTORNO]]</f>
        <v>438900</v>
      </c>
      <c r="M94" s="304">
        <f>SUMIFS('LIQUIDAÇÃO 2025'!K:K,'LIQUIDAÇÃO 2025'!B:B,Tabela3[[#This Row],[CÓDIGO
 EMPRESA ]],'LIQUIDAÇÃO 2025'!C:C,Tabela3[[#This Row],[EMPRESA]],'LIQUIDAÇÃO 2025'!F:F,Tabela3[[#This Row],[EMPENHO]])</f>
        <v>421372.87</v>
      </c>
      <c r="N94" s="69">
        <f t="shared" si="3"/>
        <v>17527.13</v>
      </c>
    </row>
    <row r="95" spans="1:14">
      <c r="A95" s="253">
        <v>45741</v>
      </c>
      <c r="B95" s="48">
        <f>IFERROR(VLOOKUP(Tabela3[[#This Row],[RESERVA]],Tabela96[[RESERVA]:[PROJETO]],2,FALSE),"")</f>
        <v>30</v>
      </c>
      <c r="C95" s="48">
        <f>IFERROR(VLOOKUP(Tabela3[[#This Row],[RESERVA]],Tabela96[[RESERVA]:[PROJETO]],3,FALSE),"")</f>
        <v>2253</v>
      </c>
      <c r="D95" s="103">
        <f>IFERROR(VLOOKUP(Tabela3[[#This Row],[RESERVA]],Tabela96[[RESERVA]:[PROJETO]],4,FALSE),"")</f>
        <v>2124</v>
      </c>
      <c r="E95" s="103">
        <f>IFERROR(VLOOKUP(Tabela3[[#This Row],[RESERVA]],Tabela96[[RESERVA]:[PROJETO]],5,FALSE),"")</f>
        <v>25</v>
      </c>
      <c r="F95" s="254">
        <v>2634</v>
      </c>
      <c r="G95" s="254">
        <v>58778</v>
      </c>
      <c r="H95" s="217" t="s">
        <v>57</v>
      </c>
      <c r="I95" s="155">
        <v>6826</v>
      </c>
      <c r="J95" s="255">
        <v>405500</v>
      </c>
      <c r="K95" s="79"/>
      <c r="L95" s="428">
        <f>Tabela3[[#This Row],[VALOR
 EMPENHO]]-Tabela3[[#This Row],[ESTORNO]]</f>
        <v>405500</v>
      </c>
      <c r="M95" s="304">
        <f>SUMIFS('LIQUIDAÇÃO 2025'!K:K,'LIQUIDAÇÃO 2025'!B:B,Tabela3[[#This Row],[CÓDIGO
 EMPRESA ]],'LIQUIDAÇÃO 2025'!C:C,Tabela3[[#This Row],[EMPRESA]],'LIQUIDAÇÃO 2025'!F:F,Tabela3[[#This Row],[EMPENHO]])</f>
        <v>405500</v>
      </c>
      <c r="N95" s="69">
        <f t="shared" si="3"/>
        <v>0</v>
      </c>
    </row>
    <row r="96" spans="1:14">
      <c r="A96" s="253">
        <v>45741</v>
      </c>
      <c r="B96" s="48">
        <f>IFERROR(VLOOKUP(Tabela3[[#This Row],[RESERVA]],Tabela96[[RESERVA]:[PROJETO]],2,FALSE),"")</f>
        <v>30</v>
      </c>
      <c r="C96" s="48">
        <f>IFERROR(VLOOKUP(Tabela3[[#This Row],[RESERVA]],Tabela96[[RESERVA]:[PROJETO]],3,FALSE),"")</f>
        <v>2253</v>
      </c>
      <c r="D96" s="103">
        <f>IFERROR(VLOOKUP(Tabela3[[#This Row],[RESERVA]],Tabela96[[RESERVA]:[PROJETO]],4,FALSE),"")</f>
        <v>2124</v>
      </c>
      <c r="E96" s="103">
        <f>IFERROR(VLOOKUP(Tabela3[[#This Row],[RESERVA]],Tabela96[[RESERVA]:[PROJETO]],5,FALSE),"")</f>
        <v>25</v>
      </c>
      <c r="F96" s="254">
        <v>4798</v>
      </c>
      <c r="G96" s="254">
        <v>58187</v>
      </c>
      <c r="H96" s="217" t="s">
        <v>436</v>
      </c>
      <c r="I96" s="155">
        <v>6881</v>
      </c>
      <c r="J96" s="64">
        <v>12000</v>
      </c>
      <c r="K96" s="79"/>
      <c r="L96" s="428">
        <f>Tabela3[[#This Row],[VALOR
 EMPENHO]]-Tabela3[[#This Row],[ESTORNO]]</f>
        <v>12000</v>
      </c>
      <c r="M96" s="304">
        <f>SUMIFS('LIQUIDAÇÃO 2025'!K:K,'LIQUIDAÇÃO 2025'!B:B,Tabela3[[#This Row],[CÓDIGO
 EMPRESA ]],'LIQUIDAÇÃO 2025'!C:C,Tabela3[[#This Row],[EMPRESA]],'LIQUIDAÇÃO 2025'!F:F,Tabela3[[#This Row],[EMPENHO]])</f>
        <v>12000</v>
      </c>
      <c r="N96" s="69">
        <f t="shared" si="3"/>
        <v>0</v>
      </c>
    </row>
    <row r="97" spans="1:14">
      <c r="A97" s="253">
        <v>45741</v>
      </c>
      <c r="B97" s="48">
        <f>IFERROR(VLOOKUP(Tabela3[[#This Row],[RESERVA]],Tabela96[[RESERVA]:[PROJETO]],2,FALSE),"")</f>
        <v>30</v>
      </c>
      <c r="C97" s="48">
        <f>IFERROR(VLOOKUP(Tabela3[[#This Row],[RESERVA]],Tabela96[[RESERVA]:[PROJETO]],3,FALSE),"")</f>
        <v>2253</v>
      </c>
      <c r="D97" s="103">
        <f>IFERROR(VLOOKUP(Tabela3[[#This Row],[RESERVA]],Tabela96[[RESERVA]:[PROJETO]],4,FALSE),"")</f>
        <v>2124</v>
      </c>
      <c r="E97" s="103">
        <f>IFERROR(VLOOKUP(Tabela3[[#This Row],[RESERVA]],Tabela96[[RESERVA]:[PROJETO]],5,FALSE),"")</f>
        <v>25</v>
      </c>
      <c r="F97" s="254">
        <v>3009</v>
      </c>
      <c r="G97" s="254">
        <v>121973</v>
      </c>
      <c r="H97" s="217" t="s">
        <v>341</v>
      </c>
      <c r="I97" s="155">
        <v>6841</v>
      </c>
      <c r="J97" s="255">
        <v>1065874.68</v>
      </c>
      <c r="K97" s="79"/>
      <c r="L97" s="428">
        <f>Tabela3[[#This Row],[VALOR
 EMPENHO]]-Tabela3[[#This Row],[ESTORNO]]</f>
        <v>1065874.68</v>
      </c>
      <c r="M97" s="304">
        <f>SUMIFS('LIQUIDAÇÃO 2025'!K:K,'LIQUIDAÇÃO 2025'!B:B,Tabela3[[#This Row],[CÓDIGO
 EMPRESA ]],'LIQUIDAÇÃO 2025'!C:C,Tabela3[[#This Row],[EMPRESA]],'LIQUIDAÇÃO 2025'!F:F,Tabela3[[#This Row],[EMPENHO]])</f>
        <v>1065874.68</v>
      </c>
      <c r="N97" s="69">
        <f t="shared" si="3"/>
        <v>0</v>
      </c>
    </row>
    <row r="98" spans="1:14">
      <c r="A98" s="234">
        <v>45741</v>
      </c>
      <c r="B98" s="48">
        <f>IFERROR(VLOOKUP(Tabela3[[#This Row],[RESERVA]],Tabela96[[RESERVA]:[PROJETO]],2,FALSE),"")</f>
        <v>29</v>
      </c>
      <c r="C98" s="48">
        <f>IFERROR(VLOOKUP(Tabela3[[#This Row],[RESERVA]],Tabela96[[RESERVA]:[PROJETO]],3,FALSE),"")</f>
        <v>2244</v>
      </c>
      <c r="D98" s="103">
        <f>IFERROR(VLOOKUP(Tabela3[[#This Row],[RESERVA]],Tabela96[[RESERVA]:[PROJETO]],4,FALSE),"")</f>
        <v>2123</v>
      </c>
      <c r="E98" s="103">
        <f>IFERROR(VLOOKUP(Tabela3[[#This Row],[RESERVA]],Tabela96[[RESERVA]:[PROJETO]],5,FALSE),"")</f>
        <v>92</v>
      </c>
      <c r="F98" s="235">
        <v>4736</v>
      </c>
      <c r="G98" s="235">
        <v>122083</v>
      </c>
      <c r="H98" s="217" t="s">
        <v>293</v>
      </c>
      <c r="I98" s="155">
        <v>6802</v>
      </c>
      <c r="J98" s="236">
        <v>2200</v>
      </c>
      <c r="K98" s="79"/>
      <c r="L98" s="428">
        <f>Tabela3[[#This Row],[VALOR
 EMPENHO]]-Tabela3[[#This Row],[ESTORNO]]</f>
        <v>2200</v>
      </c>
      <c r="M98" s="304">
        <f>SUMIFS('LIQUIDAÇÃO 2025'!K:K,'LIQUIDAÇÃO 2025'!B:B,Tabela3[[#This Row],[CÓDIGO
 EMPRESA ]],'LIQUIDAÇÃO 2025'!C:C,Tabela3[[#This Row],[EMPRESA]],'LIQUIDAÇÃO 2025'!F:F,Tabela3[[#This Row],[EMPENHO]])</f>
        <v>2200</v>
      </c>
      <c r="N98" s="245">
        <f t="shared" si="3"/>
        <v>0</v>
      </c>
    </row>
    <row r="99" spans="1:14">
      <c r="A99" s="234">
        <v>45741</v>
      </c>
      <c r="B99" s="48">
        <f>IFERROR(VLOOKUP(Tabela3[[#This Row],[RESERVA]],Tabela96[[RESERVA]:[PROJETO]],2,FALSE),"")</f>
        <v>29</v>
      </c>
      <c r="C99" s="48">
        <f>IFERROR(VLOOKUP(Tabela3[[#This Row],[RESERVA]],Tabela96[[RESERVA]:[PROJETO]],3,FALSE),"")</f>
        <v>2248</v>
      </c>
      <c r="D99" s="103">
        <f>IFERROR(VLOOKUP(Tabela3[[#This Row],[RESERVA]],Tabela96[[RESERVA]:[PROJETO]],4,FALSE),"")</f>
        <v>2123</v>
      </c>
      <c r="E99" s="103">
        <f>IFERROR(VLOOKUP(Tabela3[[#This Row],[RESERVA]],Tabela96[[RESERVA]:[PROJETO]],5,FALSE),"")</f>
        <v>69</v>
      </c>
      <c r="F99" s="235">
        <v>4735</v>
      </c>
      <c r="G99" s="235">
        <v>122083</v>
      </c>
      <c r="H99" s="217" t="s">
        <v>293</v>
      </c>
      <c r="I99" s="155">
        <v>6804</v>
      </c>
      <c r="J99" s="681">
        <v>2400</v>
      </c>
      <c r="K99" s="681"/>
      <c r="L99" s="509">
        <f>Tabela3[[#This Row],[VALOR
 EMPENHO]]-Tabela3[[#This Row],[ESTORNO]]</f>
        <v>2400</v>
      </c>
      <c r="M99" s="304">
        <f>SUMIFS('LIQUIDAÇÃO 2025'!K:K,'LIQUIDAÇÃO 2025'!B:B,Tabela3[[#This Row],[CÓDIGO
 EMPRESA ]],'LIQUIDAÇÃO 2025'!C:C,Tabela3[[#This Row],[EMPRESA]],'LIQUIDAÇÃO 2025'!F:F,Tabela3[[#This Row],[EMPENHO]])</f>
        <v>2400</v>
      </c>
      <c r="N99" s="949">
        <f t="shared" si="3"/>
        <v>0</v>
      </c>
    </row>
    <row r="100" spans="1:14">
      <c r="A100" s="152">
        <v>45742</v>
      </c>
      <c r="B100" s="48">
        <f>IFERROR(VLOOKUP(Tabela3[[#This Row],[RESERVA]],Tabela96[[RESERVA]:[PROJETO]],2,FALSE),"")</f>
        <v>30</v>
      </c>
      <c r="C100" s="48">
        <f>IFERROR(VLOOKUP(Tabela3[[#This Row],[RESERVA]],Tabela96[[RESERVA]:[PROJETO]],3,FALSE),"")</f>
        <v>2253</v>
      </c>
      <c r="D100" s="103">
        <f>IFERROR(VLOOKUP(Tabela3[[#This Row],[RESERVA]],Tabela96[[RESERVA]:[PROJETO]],4,FALSE),"")</f>
        <v>2124</v>
      </c>
      <c r="E100" s="103">
        <f>IFERROR(VLOOKUP(Tabela3[[#This Row],[RESERVA]],Tabela96[[RESERVA]:[PROJETO]],5,FALSE),"")</f>
        <v>25</v>
      </c>
      <c r="F100" s="36">
        <v>2645</v>
      </c>
      <c r="G100" s="36">
        <v>103747</v>
      </c>
      <c r="H100" s="217" t="s">
        <v>371</v>
      </c>
      <c r="I100" s="155">
        <v>7003</v>
      </c>
      <c r="J100" s="236">
        <v>3600000</v>
      </c>
      <c r="K100" s="65"/>
      <c r="L100" s="428">
        <f>Tabela3[[#This Row],[VALOR
 EMPENHO]]-Tabela3[[#This Row],[ESTORNO]]</f>
        <v>3600000</v>
      </c>
      <c r="M100" s="304">
        <f>SUMIFS('LIQUIDAÇÃO 2025'!K:K,'LIQUIDAÇÃO 2025'!B:B,Tabela3[[#This Row],[CÓDIGO
 EMPRESA ]],'LIQUIDAÇÃO 2025'!C:C,Tabela3[[#This Row],[EMPRESA]],'LIQUIDAÇÃO 2025'!F:F,Tabela3[[#This Row],[EMPENHO]])</f>
        <v>3600000</v>
      </c>
      <c r="N100" s="69">
        <f t="shared" si="3"/>
        <v>0</v>
      </c>
    </row>
    <row r="101" spans="1:14">
      <c r="A101" s="152">
        <v>45742</v>
      </c>
      <c r="B101" s="48">
        <f>IFERROR(VLOOKUP(Tabela3[[#This Row],[RESERVA]],Tabela96[[RESERVA]:[PROJETO]],2,FALSE),"")</f>
        <v>30</v>
      </c>
      <c r="C101" s="48">
        <f>IFERROR(VLOOKUP(Tabela3[[#This Row],[RESERVA]],Tabela96[[RESERVA]:[PROJETO]],3,FALSE),"")</f>
        <v>2253</v>
      </c>
      <c r="D101" s="103">
        <f>IFERROR(VLOOKUP(Tabela3[[#This Row],[RESERVA]],Tabela96[[RESERVA]:[PROJETO]],4,FALSE),"")</f>
        <v>2124</v>
      </c>
      <c r="E101" s="103">
        <f>IFERROR(VLOOKUP(Tabela3[[#This Row],[RESERVA]],Tabela96[[RESERVA]:[PROJETO]],5,FALSE),"")</f>
        <v>25</v>
      </c>
      <c r="F101" s="36">
        <v>2639</v>
      </c>
      <c r="G101" s="36">
        <v>73115</v>
      </c>
      <c r="H101" s="104" t="s">
        <v>29</v>
      </c>
      <c r="I101" s="155">
        <v>7019</v>
      </c>
      <c r="J101" s="64">
        <v>8466219.5800000001</v>
      </c>
      <c r="K101" s="65"/>
      <c r="L101" s="428">
        <f>Tabela3[[#This Row],[VALOR
 EMPENHO]]-Tabela3[[#This Row],[ESTORNO]]</f>
        <v>8466219.5800000001</v>
      </c>
      <c r="M101" s="304">
        <f>SUMIFS('LIQUIDAÇÃO 2025'!K:K,'LIQUIDAÇÃO 2025'!B:B,Tabela3[[#This Row],[CÓDIGO
 EMPRESA ]],'LIQUIDAÇÃO 2025'!C:C,Tabela3[[#This Row],[EMPRESA]],'LIQUIDAÇÃO 2025'!F:F,Tabela3[[#This Row],[EMPENHO]])</f>
        <v>8466219.5800000001</v>
      </c>
      <c r="N101" s="69">
        <f t="shared" si="3"/>
        <v>0</v>
      </c>
    </row>
    <row r="102" spans="1:14">
      <c r="A102" s="152">
        <v>45742</v>
      </c>
      <c r="B102" s="48">
        <f>IFERROR(VLOOKUP(Tabela3[[#This Row],[RESERVA]],Tabela96[[RESERVA]:[PROJETO]],2,FALSE),"")</f>
        <v>30</v>
      </c>
      <c r="C102" s="48">
        <f>IFERROR(VLOOKUP(Tabela3[[#This Row],[RESERVA]],Tabela96[[RESERVA]:[PROJETO]],3,FALSE),"")</f>
        <v>2253</v>
      </c>
      <c r="D102" s="103">
        <f>IFERROR(VLOOKUP(Tabela3[[#This Row],[RESERVA]],Tabela96[[RESERVA]:[PROJETO]],4,FALSE),"")</f>
        <v>2124</v>
      </c>
      <c r="E102" s="103">
        <f>IFERROR(VLOOKUP(Tabela3[[#This Row],[RESERVA]],Tabela96[[RESERVA]:[PROJETO]],5,FALSE),"")</f>
        <v>25</v>
      </c>
      <c r="F102" s="36">
        <v>3008</v>
      </c>
      <c r="G102" s="36">
        <v>119162</v>
      </c>
      <c r="H102" s="217" t="s">
        <v>373</v>
      </c>
      <c r="I102" s="155">
        <v>7081</v>
      </c>
      <c r="J102" s="64">
        <v>23603.3</v>
      </c>
      <c r="K102" s="65"/>
      <c r="L102" s="428">
        <f>Tabela3[[#This Row],[VALOR
 EMPENHO]]-Tabela3[[#This Row],[ESTORNO]]</f>
        <v>23603.3</v>
      </c>
      <c r="M102" s="304">
        <f>SUMIFS('LIQUIDAÇÃO 2025'!K:K,'LIQUIDAÇÃO 2025'!B:B,Tabela3[[#This Row],[CÓDIGO
 EMPRESA ]],'LIQUIDAÇÃO 2025'!C:C,Tabela3[[#This Row],[EMPRESA]],'LIQUIDAÇÃO 2025'!F:F,Tabela3[[#This Row],[EMPENHO]])</f>
        <v>23603.3</v>
      </c>
      <c r="N102" s="69">
        <f t="shared" si="3"/>
        <v>0</v>
      </c>
    </row>
    <row r="103" spans="1:14">
      <c r="A103" s="293">
        <v>45742</v>
      </c>
      <c r="B103" s="48">
        <f>IFERROR(VLOOKUP(Tabela3[[#This Row],[RESERVA]],Tabela96[[RESERVA]:[PROJETO]],2,FALSE),"")</f>
        <v>30</v>
      </c>
      <c r="C103" s="48">
        <f>IFERROR(VLOOKUP(Tabela3[[#This Row],[RESERVA]],Tabela96[[RESERVA]:[PROJETO]],3,FALSE),"")</f>
        <v>2253</v>
      </c>
      <c r="D103" s="103">
        <f>IFERROR(VLOOKUP(Tabela3[[#This Row],[RESERVA]],Tabela96[[RESERVA]:[PROJETO]],4,FALSE),"")</f>
        <v>2124</v>
      </c>
      <c r="E103" s="103">
        <f>IFERROR(VLOOKUP(Tabela3[[#This Row],[RESERVA]],Tabela96[[RESERVA]:[PROJETO]],5,FALSE),"")</f>
        <v>25</v>
      </c>
      <c r="F103" s="294">
        <v>3001</v>
      </c>
      <c r="G103" s="294">
        <v>118229</v>
      </c>
      <c r="H103" s="805" t="s">
        <v>374</v>
      </c>
      <c r="I103" s="155">
        <v>7035</v>
      </c>
      <c r="J103" s="295">
        <v>38773.800000000003</v>
      </c>
      <c r="K103" s="79"/>
      <c r="L103" s="428">
        <f>Tabela3[[#This Row],[VALOR
 EMPENHO]]-Tabela3[[#This Row],[ESTORNO]]</f>
        <v>38773.800000000003</v>
      </c>
      <c r="M103" s="304">
        <f>SUMIFS('LIQUIDAÇÃO 2025'!K:K,'LIQUIDAÇÃO 2025'!B:B,Tabela3[[#This Row],[CÓDIGO
 EMPRESA ]],'LIQUIDAÇÃO 2025'!C:C,Tabela3[[#This Row],[EMPRESA]],'LIQUIDAÇÃO 2025'!F:F,Tabela3[[#This Row],[EMPENHO]])</f>
        <v>38773.800000000003</v>
      </c>
      <c r="N103" s="69">
        <f t="shared" si="3"/>
        <v>0</v>
      </c>
    </row>
    <row r="104" spans="1:14">
      <c r="A104" s="152">
        <v>45742</v>
      </c>
      <c r="B104" s="48">
        <f>IFERROR(VLOOKUP(Tabela3[[#This Row],[RESERVA]],Tabela96[[RESERVA]:[PROJETO]],2,FALSE),"")</f>
        <v>30</v>
      </c>
      <c r="C104" s="48">
        <f>IFERROR(VLOOKUP(Tabela3[[#This Row],[RESERVA]],Tabela96[[RESERVA]:[PROJETO]],3,FALSE),"")</f>
        <v>2253</v>
      </c>
      <c r="D104" s="103">
        <f>IFERROR(VLOOKUP(Tabela3[[#This Row],[RESERVA]],Tabela96[[RESERVA]:[PROJETO]],4,FALSE),"")</f>
        <v>2124</v>
      </c>
      <c r="E104" s="103">
        <f>IFERROR(VLOOKUP(Tabela3[[#This Row],[RESERVA]],Tabela96[[RESERVA]:[PROJETO]],5,FALSE),"")</f>
        <v>25</v>
      </c>
      <c r="F104" s="36">
        <v>2995</v>
      </c>
      <c r="G104" s="36">
        <v>118247</v>
      </c>
      <c r="H104" s="217" t="s">
        <v>375</v>
      </c>
      <c r="I104" s="155">
        <v>7046</v>
      </c>
      <c r="J104" s="64">
        <v>80000</v>
      </c>
      <c r="K104" s="65"/>
      <c r="L104" s="428">
        <f>Tabela3[[#This Row],[VALOR
 EMPENHO]]-Tabela3[[#This Row],[ESTORNO]]</f>
        <v>80000</v>
      </c>
      <c r="M104" s="304">
        <f>SUMIFS('LIQUIDAÇÃO 2025'!K:K,'LIQUIDAÇÃO 2025'!B:B,Tabela3[[#This Row],[CÓDIGO
 EMPRESA ]],'LIQUIDAÇÃO 2025'!C:C,Tabela3[[#This Row],[EMPRESA]],'LIQUIDAÇÃO 2025'!F:F,Tabela3[[#This Row],[EMPENHO]])</f>
        <v>80000</v>
      </c>
      <c r="N104" s="69">
        <f t="shared" si="3"/>
        <v>0</v>
      </c>
    </row>
    <row r="105" spans="1:14">
      <c r="A105" s="152">
        <v>45742</v>
      </c>
      <c r="B105" s="48">
        <f>IFERROR(VLOOKUP(Tabela3[[#This Row],[RESERVA]],Tabela96[[RESERVA]:[PROJETO]],2,FALSE),"")</f>
        <v>30</v>
      </c>
      <c r="C105" s="48">
        <f>IFERROR(VLOOKUP(Tabela3[[#This Row],[RESERVA]],Tabela96[[RESERVA]:[PROJETO]],3,FALSE),"")</f>
        <v>2253</v>
      </c>
      <c r="D105" s="103">
        <f>IFERROR(VLOOKUP(Tabela3[[#This Row],[RESERVA]],Tabela96[[RESERVA]:[PROJETO]],4,FALSE),"")</f>
        <v>2124</v>
      </c>
      <c r="E105" s="103">
        <f>IFERROR(VLOOKUP(Tabela3[[#This Row],[RESERVA]],Tabela96[[RESERVA]:[PROJETO]],5,FALSE),"")</f>
        <v>25</v>
      </c>
      <c r="F105" s="36">
        <v>3007</v>
      </c>
      <c r="G105" s="36">
        <v>119151</v>
      </c>
      <c r="H105" s="104" t="s">
        <v>366</v>
      </c>
      <c r="I105" s="155">
        <v>7079</v>
      </c>
      <c r="J105" s="64">
        <v>23603.3</v>
      </c>
      <c r="K105" s="65"/>
      <c r="L105" s="428">
        <f>Tabela3[[#This Row],[VALOR
 EMPENHO]]-Tabela3[[#This Row],[ESTORNO]]</f>
        <v>23603.3</v>
      </c>
      <c r="M105" s="304">
        <f>SUMIFS('LIQUIDAÇÃO 2025'!K:K,'LIQUIDAÇÃO 2025'!B:B,Tabela3[[#This Row],[CÓDIGO
 EMPRESA ]],'LIQUIDAÇÃO 2025'!C:C,Tabela3[[#This Row],[EMPRESA]],'LIQUIDAÇÃO 2025'!F:F,Tabela3[[#This Row],[EMPENHO]])</f>
        <v>23603.3</v>
      </c>
      <c r="N105" s="69">
        <f t="shared" si="3"/>
        <v>0</v>
      </c>
    </row>
    <row r="106" spans="1:14">
      <c r="A106" s="152">
        <v>45742</v>
      </c>
      <c r="B106" s="48">
        <f>IFERROR(VLOOKUP(Tabela3[[#This Row],[RESERVA]],Tabela96[[RESERVA]:[PROJETO]],2,FALSE),"")</f>
        <v>30</v>
      </c>
      <c r="C106" s="48">
        <f>IFERROR(VLOOKUP(Tabela3[[#This Row],[RESERVA]],Tabela96[[RESERVA]:[PROJETO]],3,FALSE),"")</f>
        <v>2253</v>
      </c>
      <c r="D106" s="103">
        <f>IFERROR(VLOOKUP(Tabela3[[#This Row],[RESERVA]],Tabela96[[RESERVA]:[PROJETO]],4,FALSE),"")</f>
        <v>2124</v>
      </c>
      <c r="E106" s="103">
        <f>IFERROR(VLOOKUP(Tabela3[[#This Row],[RESERVA]],Tabela96[[RESERVA]:[PROJETO]],5,FALSE),"")</f>
        <v>25</v>
      </c>
      <c r="F106" s="36">
        <v>3000</v>
      </c>
      <c r="G106" s="36">
        <v>119152</v>
      </c>
      <c r="H106" s="104" t="s">
        <v>376</v>
      </c>
      <c r="I106" s="155">
        <v>7086</v>
      </c>
      <c r="J106" s="64">
        <v>23603.3</v>
      </c>
      <c r="K106" s="65"/>
      <c r="L106" s="428">
        <f>Tabela3[[#This Row],[VALOR
 EMPENHO]]-Tabela3[[#This Row],[ESTORNO]]</f>
        <v>23603.3</v>
      </c>
      <c r="M106" s="304">
        <f>SUMIFS('LIQUIDAÇÃO 2025'!K:K,'LIQUIDAÇÃO 2025'!B:B,Tabela3[[#This Row],[CÓDIGO
 EMPRESA ]],'LIQUIDAÇÃO 2025'!C:C,Tabela3[[#This Row],[EMPRESA]],'LIQUIDAÇÃO 2025'!F:F,Tabela3[[#This Row],[EMPENHO]])</f>
        <v>23603.3</v>
      </c>
      <c r="N106" s="69">
        <f t="shared" si="3"/>
        <v>0</v>
      </c>
    </row>
    <row r="107" spans="1:14">
      <c r="A107" s="152">
        <v>45742</v>
      </c>
      <c r="B107" s="48">
        <f>IFERROR(VLOOKUP(Tabela3[[#This Row],[RESERVA]],Tabela96[[RESERVA]:[PROJETO]],2,FALSE),"")</f>
        <v>30</v>
      </c>
      <c r="C107" s="48">
        <f>IFERROR(VLOOKUP(Tabela3[[#This Row],[RESERVA]],Tabela96[[RESERVA]:[PROJETO]],3,FALSE),"")</f>
        <v>2253</v>
      </c>
      <c r="D107" s="103">
        <f>IFERROR(VLOOKUP(Tabela3[[#This Row],[RESERVA]],Tabela96[[RESERVA]:[PROJETO]],4,FALSE),"")</f>
        <v>2124</v>
      </c>
      <c r="E107" s="103">
        <f>IFERROR(VLOOKUP(Tabela3[[#This Row],[RESERVA]],Tabela96[[RESERVA]:[PROJETO]],5,FALSE),"")</f>
        <v>25</v>
      </c>
      <c r="F107" s="36">
        <v>3003</v>
      </c>
      <c r="G107" s="36">
        <v>119166</v>
      </c>
      <c r="H107" s="104" t="s">
        <v>363</v>
      </c>
      <c r="I107" s="155">
        <v>7087</v>
      </c>
      <c r="J107" s="64">
        <v>23603.3</v>
      </c>
      <c r="K107" s="65"/>
      <c r="L107" s="428">
        <f>Tabela3[[#This Row],[VALOR
 EMPENHO]]-Tabela3[[#This Row],[ESTORNO]]</f>
        <v>23603.3</v>
      </c>
      <c r="M107" s="304">
        <f>SUMIFS('LIQUIDAÇÃO 2025'!K:K,'LIQUIDAÇÃO 2025'!B:B,Tabela3[[#This Row],[CÓDIGO
 EMPRESA ]],'LIQUIDAÇÃO 2025'!C:C,Tabela3[[#This Row],[EMPRESA]],'LIQUIDAÇÃO 2025'!F:F,Tabela3[[#This Row],[EMPENHO]])</f>
        <v>23603.3</v>
      </c>
      <c r="N107" s="69">
        <f t="shared" si="3"/>
        <v>0</v>
      </c>
    </row>
    <row r="108" spans="1:14">
      <c r="A108" s="152">
        <v>45742</v>
      </c>
      <c r="B108" s="48">
        <f>IFERROR(VLOOKUP(Tabela3[[#This Row],[RESERVA]],Tabela96[[RESERVA]:[PROJETO]],2,FALSE),"")</f>
        <v>30</v>
      </c>
      <c r="C108" s="48">
        <f>IFERROR(VLOOKUP(Tabela3[[#This Row],[RESERVA]],Tabela96[[RESERVA]:[PROJETO]],3,FALSE),"")</f>
        <v>2253</v>
      </c>
      <c r="D108" s="103">
        <f>IFERROR(VLOOKUP(Tabela3[[#This Row],[RESERVA]],Tabela96[[RESERVA]:[PROJETO]],4,FALSE),"")</f>
        <v>2124</v>
      </c>
      <c r="E108" s="103">
        <f>IFERROR(VLOOKUP(Tabela3[[#This Row],[RESERVA]],Tabela96[[RESERVA]:[PROJETO]],5,FALSE),"")</f>
        <v>25</v>
      </c>
      <c r="F108" s="36">
        <v>3005</v>
      </c>
      <c r="G108" s="36">
        <v>118253</v>
      </c>
      <c r="H108" s="217" t="s">
        <v>378</v>
      </c>
      <c r="I108" s="155">
        <v>7076</v>
      </c>
      <c r="J108" s="64">
        <v>45000</v>
      </c>
      <c r="K108" s="65"/>
      <c r="L108" s="428">
        <f>Tabela3[[#This Row],[VALOR
 EMPENHO]]-Tabela3[[#This Row],[ESTORNO]]</f>
        <v>45000</v>
      </c>
      <c r="M108" s="304">
        <f>SUMIFS('LIQUIDAÇÃO 2025'!K:K,'LIQUIDAÇÃO 2025'!B:B,Tabela3[[#This Row],[CÓDIGO
 EMPRESA ]],'LIQUIDAÇÃO 2025'!C:C,Tabela3[[#This Row],[EMPRESA]],'LIQUIDAÇÃO 2025'!F:F,Tabela3[[#This Row],[EMPENHO]])</f>
        <v>45000</v>
      </c>
      <c r="N108" s="69">
        <f t="shared" si="3"/>
        <v>0</v>
      </c>
    </row>
    <row r="109" spans="1:14">
      <c r="A109" s="152">
        <v>45742</v>
      </c>
      <c r="B109" s="48">
        <f>IFERROR(VLOOKUP(Tabela3[[#This Row],[RESERVA]],Tabela96[[RESERVA]:[PROJETO]],2,FALSE),"")</f>
        <v>30</v>
      </c>
      <c r="C109" s="48">
        <f>IFERROR(VLOOKUP(Tabela3[[#This Row],[RESERVA]],Tabela96[[RESERVA]:[PROJETO]],3,FALSE),"")</f>
        <v>2253</v>
      </c>
      <c r="D109" s="103">
        <f>IFERROR(VLOOKUP(Tabela3[[#This Row],[RESERVA]],Tabela96[[RESERVA]:[PROJETO]],4,FALSE),"")</f>
        <v>2124</v>
      </c>
      <c r="E109" s="103">
        <f>IFERROR(VLOOKUP(Tabela3[[#This Row],[RESERVA]],Tabela96[[RESERVA]:[PROJETO]],5,FALSE),"")</f>
        <v>25</v>
      </c>
      <c r="F109" s="36">
        <v>2996</v>
      </c>
      <c r="G109" s="36">
        <v>119149</v>
      </c>
      <c r="H109" s="104" t="s">
        <v>314</v>
      </c>
      <c r="I109" s="155">
        <v>7078</v>
      </c>
      <c r="J109" s="64">
        <v>23603.3</v>
      </c>
      <c r="K109" s="65"/>
      <c r="L109" s="428">
        <f>Tabela3[[#This Row],[VALOR
 EMPENHO]]-Tabela3[[#This Row],[ESTORNO]]</f>
        <v>23603.3</v>
      </c>
      <c r="M109" s="304">
        <f>SUMIFS('LIQUIDAÇÃO 2025'!K:K,'LIQUIDAÇÃO 2025'!B:B,Tabela3[[#This Row],[CÓDIGO
 EMPRESA ]],'LIQUIDAÇÃO 2025'!C:C,Tabela3[[#This Row],[EMPRESA]],'LIQUIDAÇÃO 2025'!F:F,Tabela3[[#This Row],[EMPENHO]])</f>
        <v>23603.3</v>
      </c>
      <c r="N109" s="69">
        <f t="shared" si="3"/>
        <v>0</v>
      </c>
    </row>
    <row r="110" spans="1:14">
      <c r="A110" s="153">
        <v>45747</v>
      </c>
      <c r="B110" s="48">
        <f>IFERROR(VLOOKUP(Tabela3[[#This Row],[RESERVA]],Tabela96[[RESERVA]:[PROJETO]],2,FALSE),"")</f>
        <v>32</v>
      </c>
      <c r="C110" s="48">
        <f>IFERROR(VLOOKUP(Tabela3[[#This Row],[RESERVA]],Tabela96[[RESERVA]:[PROJETO]],3,FALSE),"")</f>
        <v>2226</v>
      </c>
      <c r="D110" s="103">
        <f>IFERROR(VLOOKUP(Tabela3[[#This Row],[RESERVA]],Tabela96[[RESERVA]:[PROJETO]],4,FALSE),"")</f>
        <v>2128</v>
      </c>
      <c r="E110" s="103">
        <f>IFERROR(VLOOKUP(Tabela3[[#This Row],[RESERVA]],Tabela96[[RESERVA]:[PROJETO]],5,FALSE),"")</f>
        <v>50</v>
      </c>
      <c r="F110" s="78">
        <v>2628</v>
      </c>
      <c r="G110" s="78">
        <v>37621</v>
      </c>
      <c r="H110" s="104" t="s">
        <v>368</v>
      </c>
      <c r="I110" s="155">
        <v>2888</v>
      </c>
      <c r="J110" s="79">
        <v>2680</v>
      </c>
      <c r="K110" s="79"/>
      <c r="L110" s="428">
        <f>Tabela3[[#This Row],[VALOR
 EMPENHO]]-Tabela3[[#This Row],[ESTORNO]]</f>
        <v>2680</v>
      </c>
      <c r="M110" s="304">
        <f>SUMIFS('LIQUIDAÇÃO 2025'!K:K,'LIQUIDAÇÃO 2025'!B:B,Tabela3[[#This Row],[CÓDIGO
 EMPRESA ]],'LIQUIDAÇÃO 2025'!C:C,Tabela3[[#This Row],[EMPRESA]],'LIQUIDAÇÃO 2025'!F:F,Tabela3[[#This Row],[EMPENHO]])</f>
        <v>2680</v>
      </c>
      <c r="N110" s="69">
        <f t="shared" si="3"/>
        <v>0</v>
      </c>
    </row>
    <row r="111" spans="1:14">
      <c r="A111" s="152">
        <v>45747</v>
      </c>
      <c r="B111" s="48">
        <f>IFERROR(VLOOKUP(Tabela3[[#This Row],[RESERVA]],Tabela96[[RESERVA]:[PROJETO]],2,FALSE),"")</f>
        <v>32</v>
      </c>
      <c r="C111" s="48">
        <f>IFERROR(VLOOKUP(Tabela3[[#This Row],[RESERVA]],Tabela96[[RESERVA]:[PROJETO]],3,FALSE),"")</f>
        <v>2229</v>
      </c>
      <c r="D111" s="103">
        <f>IFERROR(VLOOKUP(Tabela3[[#This Row],[RESERVA]],Tabela96[[RESERVA]:[PROJETO]],4,FALSE),"")</f>
        <v>2128</v>
      </c>
      <c r="E111" s="103">
        <f>IFERROR(VLOOKUP(Tabela3[[#This Row],[RESERVA]],Tabela96[[RESERVA]:[PROJETO]],5,FALSE),"")</f>
        <v>122</v>
      </c>
      <c r="F111" s="36">
        <v>5025</v>
      </c>
      <c r="G111" s="36">
        <v>2808</v>
      </c>
      <c r="H111" s="217" t="s">
        <v>59</v>
      </c>
      <c r="I111" s="155">
        <v>7398</v>
      </c>
      <c r="J111" s="64">
        <v>4011.65</v>
      </c>
      <c r="K111" s="65"/>
      <c r="L111" s="428">
        <f>Tabela3[[#This Row],[VALOR
 EMPENHO]]-Tabela3[[#This Row],[ESTORNO]]</f>
        <v>4011.65</v>
      </c>
      <c r="M111" s="304">
        <f>SUMIFS('LIQUIDAÇÃO 2025'!K:K,'LIQUIDAÇÃO 2025'!B:B,Tabela3[[#This Row],[CÓDIGO
 EMPRESA ]],'LIQUIDAÇÃO 2025'!C:C,Tabela3[[#This Row],[EMPRESA]],'LIQUIDAÇÃO 2025'!F:F,Tabela3[[#This Row],[EMPENHO]])</f>
        <v>4011.65</v>
      </c>
      <c r="N111" s="245">
        <f t="shared" si="3"/>
        <v>0</v>
      </c>
    </row>
    <row r="112" spans="1:14">
      <c r="A112" s="152">
        <v>45747</v>
      </c>
      <c r="B112" s="48">
        <f>IFERROR(VLOOKUP(Tabela3[[#This Row],[RESERVA]],Tabela96[[RESERVA]:[PROJETO]],2,FALSE),"")</f>
        <v>32</v>
      </c>
      <c r="C112" s="48">
        <f>IFERROR(VLOOKUP(Tabela3[[#This Row],[RESERVA]],Tabela96[[RESERVA]:[PROJETO]],3,FALSE),"")</f>
        <v>2229</v>
      </c>
      <c r="D112" s="103">
        <f>IFERROR(VLOOKUP(Tabela3[[#This Row],[RESERVA]],Tabela96[[RESERVA]:[PROJETO]],4,FALSE),"")</f>
        <v>2128</v>
      </c>
      <c r="E112" s="103">
        <f>IFERROR(VLOOKUP(Tabela3[[#This Row],[RESERVA]],Tabela96[[RESERVA]:[PROJETO]],5,FALSE),"")</f>
        <v>245</v>
      </c>
      <c r="F112" s="36">
        <v>5026</v>
      </c>
      <c r="G112" s="36">
        <v>54615</v>
      </c>
      <c r="H112" s="217" t="s">
        <v>158</v>
      </c>
      <c r="I112" s="155">
        <v>7400</v>
      </c>
      <c r="J112" s="64">
        <v>5976</v>
      </c>
      <c r="K112" s="65"/>
      <c r="L112" s="428">
        <f>Tabela3[[#This Row],[VALOR
 EMPENHO]]-Tabela3[[#This Row],[ESTORNO]]</f>
        <v>5976</v>
      </c>
      <c r="M112" s="304">
        <f>SUMIFS('LIQUIDAÇÃO 2025'!K:K,'LIQUIDAÇÃO 2025'!B:B,Tabela3[[#This Row],[CÓDIGO
 EMPRESA ]],'LIQUIDAÇÃO 2025'!C:C,Tabela3[[#This Row],[EMPRESA]],'LIQUIDAÇÃO 2025'!F:F,Tabela3[[#This Row],[EMPENHO]])</f>
        <v>5976</v>
      </c>
      <c r="N112" s="245">
        <f t="shared" si="3"/>
        <v>0</v>
      </c>
    </row>
    <row r="113" spans="1:16" ht="15" customHeight="1">
      <c r="A113" s="152">
        <v>45764</v>
      </c>
      <c r="B113" s="48">
        <f>IFERROR(VLOOKUP(Tabela3[[#This Row],[RESERVA]],Tabela96[[RESERVA]:[PROJETO]],2,FALSE),"")</f>
        <v>30</v>
      </c>
      <c r="C113" s="48">
        <f>IFERROR(VLOOKUP(Tabela3[[#This Row],[RESERVA]],Tabela96[[RESERVA]:[PROJETO]],3,FALSE),"")</f>
        <v>2253</v>
      </c>
      <c r="D113" s="103">
        <f>IFERROR(VLOOKUP(Tabela3[[#This Row],[RESERVA]],Tabela96[[RESERVA]:[PROJETO]],4,FALSE),"")</f>
        <v>2124</v>
      </c>
      <c r="E113" s="103">
        <f>IFERROR(VLOOKUP(Tabela3[[#This Row],[RESERVA]],Tabela96[[RESERVA]:[PROJETO]],5,FALSE),"")</f>
        <v>25</v>
      </c>
      <c r="F113" s="36">
        <v>2634</v>
      </c>
      <c r="G113" s="36">
        <v>58778</v>
      </c>
      <c r="H113" s="805" t="s">
        <v>57</v>
      </c>
      <c r="I113" s="155">
        <v>4189</v>
      </c>
      <c r="J113" s="64">
        <v>405500</v>
      </c>
      <c r="K113" s="79"/>
      <c r="L113" s="428">
        <f>Tabela3[[#This Row],[VALOR
 EMPENHO]]-Tabela3[[#This Row],[ESTORNO]]</f>
        <v>405500</v>
      </c>
      <c r="M113" s="304">
        <f>SUMIFS('LIQUIDAÇÃO 2025'!K:K,'LIQUIDAÇÃO 2025'!B:B,Tabela3[[#This Row],[CÓDIGO
 EMPRESA ]],'LIQUIDAÇÃO 2025'!C:C,Tabela3[[#This Row],[EMPRESA]],'LIQUIDAÇÃO 2025'!F:F,Tabela3[[#This Row],[EMPENHO]])</f>
        <v>405500</v>
      </c>
      <c r="N113" s="69">
        <f t="shared" si="3"/>
        <v>0</v>
      </c>
    </row>
    <row r="114" spans="1:16">
      <c r="A114" s="316">
        <v>45764</v>
      </c>
      <c r="B114" s="48">
        <f>IFERROR(VLOOKUP(Tabela3[[#This Row],[RESERVA]],Tabela96[[RESERVA]:[PROJETO]],2,FALSE),"")</f>
        <v>32</v>
      </c>
      <c r="C114" s="48">
        <f>IFERROR(VLOOKUP(Tabela3[[#This Row],[RESERVA]],Tabela96[[RESERVA]:[PROJETO]],3,FALSE),"")</f>
        <v>2226</v>
      </c>
      <c r="D114" s="103">
        <f>IFERROR(VLOOKUP(Tabela3[[#This Row],[RESERVA]],Tabela96[[RESERVA]:[PROJETO]],4,FALSE),"")</f>
        <v>2128</v>
      </c>
      <c r="E114" s="103">
        <f>IFERROR(VLOOKUP(Tabela3[[#This Row],[RESERVA]],Tabela96[[RESERVA]:[PROJETO]],5,FALSE),"")</f>
        <v>84</v>
      </c>
      <c r="F114" s="317">
        <v>2626</v>
      </c>
      <c r="G114" s="317">
        <v>119345</v>
      </c>
      <c r="H114" s="217" t="s">
        <v>470</v>
      </c>
      <c r="I114" s="155">
        <v>9226</v>
      </c>
      <c r="J114" s="318">
        <v>6803</v>
      </c>
      <c r="K114" s="65"/>
      <c r="L114" s="428">
        <f>Tabela3[[#This Row],[VALOR
 EMPENHO]]-Tabela3[[#This Row],[ESTORNO]]</f>
        <v>6803</v>
      </c>
      <c r="M114" s="304">
        <f>SUMIFS('LIQUIDAÇÃO 2025'!K:K,'LIQUIDAÇÃO 2025'!B:B,Tabela3[[#This Row],[CÓDIGO
 EMPRESA ]],'LIQUIDAÇÃO 2025'!C:C,Tabela3[[#This Row],[EMPRESA]],'LIQUIDAÇÃO 2025'!F:F,Tabela3[[#This Row],[EMPENHO]])</f>
        <v>6803</v>
      </c>
      <c r="N114" s="245">
        <f t="shared" si="3"/>
        <v>0</v>
      </c>
    </row>
    <row r="115" spans="1:16">
      <c r="A115" s="152">
        <v>45764</v>
      </c>
      <c r="B115" s="48">
        <f>IFERROR(VLOOKUP(Tabela3[[#This Row],[RESERVA]],Tabela96[[RESERVA]:[PROJETO]],2,FALSE),"")</f>
        <v>32</v>
      </c>
      <c r="C115" s="48">
        <f>IFERROR(VLOOKUP(Tabela3[[#This Row],[RESERVA]],Tabela96[[RESERVA]:[PROJETO]],3,FALSE),"")</f>
        <v>2226</v>
      </c>
      <c r="D115" s="103">
        <f>IFERROR(VLOOKUP(Tabela3[[#This Row],[RESERVA]],Tabela96[[RESERVA]:[PROJETO]],4,FALSE),"")</f>
        <v>2128</v>
      </c>
      <c r="E115" s="103">
        <f>IFERROR(VLOOKUP(Tabela3[[#This Row],[RESERVA]],Tabela96[[RESERVA]:[PROJETO]],5,FALSE),"")</f>
        <v>84</v>
      </c>
      <c r="F115" s="36">
        <v>2626</v>
      </c>
      <c r="G115" s="36">
        <v>104133</v>
      </c>
      <c r="H115" s="217" t="s">
        <v>469</v>
      </c>
      <c r="I115" s="155">
        <v>9229</v>
      </c>
      <c r="J115" s="64">
        <v>7141.9</v>
      </c>
      <c r="K115" s="65"/>
      <c r="L115" s="428">
        <f>Tabela3[[#This Row],[VALOR
 EMPENHO]]-Tabela3[[#This Row],[ESTORNO]]</f>
        <v>7141.9</v>
      </c>
      <c r="M115" s="304">
        <f>SUMIFS('LIQUIDAÇÃO 2025'!K:K,'LIQUIDAÇÃO 2025'!B:B,Tabela3[[#This Row],[CÓDIGO
 EMPRESA ]],'LIQUIDAÇÃO 2025'!C:C,Tabela3[[#This Row],[EMPRESA]],'LIQUIDAÇÃO 2025'!F:F,Tabela3[[#This Row],[EMPENHO]])</f>
        <v>7141.9</v>
      </c>
      <c r="N115" s="69">
        <f t="shared" si="3"/>
        <v>0</v>
      </c>
    </row>
    <row r="116" spans="1:16">
      <c r="A116" s="316">
        <v>45764</v>
      </c>
      <c r="B116" s="48">
        <f>IFERROR(VLOOKUP(Tabela3[[#This Row],[RESERVA]],Tabela96[[RESERVA]:[PROJETO]],2,FALSE),"")</f>
        <v>32</v>
      </c>
      <c r="C116" s="48">
        <f>IFERROR(VLOOKUP(Tabela3[[#This Row],[RESERVA]],Tabela96[[RESERVA]:[PROJETO]],3,FALSE),"")</f>
        <v>2226</v>
      </c>
      <c r="D116" s="103">
        <f>IFERROR(VLOOKUP(Tabela3[[#This Row],[RESERVA]],Tabela96[[RESERVA]:[PROJETO]],4,FALSE),"")</f>
        <v>2128</v>
      </c>
      <c r="E116" s="103">
        <f>IFERROR(VLOOKUP(Tabela3[[#This Row],[RESERVA]],Tabela96[[RESERVA]:[PROJETO]],5,FALSE),"")</f>
        <v>84</v>
      </c>
      <c r="F116" s="317">
        <v>2626</v>
      </c>
      <c r="G116" s="317">
        <v>120932</v>
      </c>
      <c r="H116" s="217" t="s">
        <v>471</v>
      </c>
      <c r="I116" s="155">
        <v>9230</v>
      </c>
      <c r="J116" s="318">
        <v>19693.72</v>
      </c>
      <c r="K116" s="65"/>
      <c r="L116" s="428">
        <f>Tabela3[[#This Row],[VALOR
 EMPENHO]]-Tabela3[[#This Row],[ESTORNO]]</f>
        <v>19693.72</v>
      </c>
      <c r="M116" s="304">
        <f>SUMIFS('LIQUIDAÇÃO 2025'!K:K,'LIQUIDAÇÃO 2025'!B:B,Tabela3[[#This Row],[CÓDIGO
 EMPRESA ]],'LIQUIDAÇÃO 2025'!C:C,Tabela3[[#This Row],[EMPRESA]],'LIQUIDAÇÃO 2025'!F:F,Tabela3[[#This Row],[EMPENHO]])</f>
        <v>19693.72</v>
      </c>
      <c r="N116" s="245">
        <f t="shared" si="3"/>
        <v>0</v>
      </c>
    </row>
    <row r="117" spans="1:16">
      <c r="A117" s="316">
        <v>45770</v>
      </c>
      <c r="B117" s="48">
        <f>IFERROR(VLOOKUP(Tabela3[[#This Row],[RESERVA]],Tabela96[[RESERVA]:[PROJETO]],2,FALSE),"")</f>
        <v>30</v>
      </c>
      <c r="C117" s="48">
        <f>IFERROR(VLOOKUP(Tabela3[[#This Row],[RESERVA]],Tabela96[[RESERVA]:[PROJETO]],3,FALSE),"")</f>
        <v>2253</v>
      </c>
      <c r="D117" s="103">
        <f>IFERROR(VLOOKUP(Tabela3[[#This Row],[RESERVA]],Tabela96[[RESERVA]:[PROJETO]],4,FALSE),"")</f>
        <v>2124</v>
      </c>
      <c r="E117" s="103">
        <f>IFERROR(VLOOKUP(Tabela3[[#This Row],[RESERVA]],Tabela96[[RESERVA]:[PROJETO]],5,FALSE),"")</f>
        <v>25</v>
      </c>
      <c r="F117" s="317">
        <v>2645</v>
      </c>
      <c r="G117" s="317">
        <v>103747</v>
      </c>
      <c r="H117" s="217" t="s">
        <v>371</v>
      </c>
      <c r="I117" s="155">
        <v>9363</v>
      </c>
      <c r="J117" s="318">
        <v>3410000</v>
      </c>
      <c r="K117" s="65"/>
      <c r="L117" s="428">
        <f>Tabela3[[#This Row],[VALOR
 EMPENHO]]-Tabela3[[#This Row],[ESTORNO]]</f>
        <v>3410000</v>
      </c>
      <c r="M117" s="304">
        <f>SUMIFS('LIQUIDAÇÃO 2025'!K:K,'LIQUIDAÇÃO 2025'!B:B,Tabela3[[#This Row],[CÓDIGO
 EMPRESA ]],'LIQUIDAÇÃO 2025'!C:C,Tabela3[[#This Row],[EMPRESA]],'LIQUIDAÇÃO 2025'!F:F,Tabela3[[#This Row],[EMPENHO]])</f>
        <v>3410000</v>
      </c>
      <c r="N117" s="69">
        <f t="shared" si="3"/>
        <v>0</v>
      </c>
    </row>
    <row r="118" spans="1:16">
      <c r="A118" s="152">
        <v>45770</v>
      </c>
      <c r="B118" s="48">
        <f>IFERROR(VLOOKUP(Tabela3[[#This Row],[RESERVA]],Tabela96[[RESERVA]:[PROJETO]],2,FALSE),"")</f>
        <v>30</v>
      </c>
      <c r="C118" s="48">
        <f>IFERROR(VLOOKUP(Tabela3[[#This Row],[RESERVA]],Tabela96[[RESERVA]:[PROJETO]],3,FALSE),"")</f>
        <v>2253</v>
      </c>
      <c r="D118" s="103">
        <f>IFERROR(VLOOKUP(Tabela3[[#This Row],[RESERVA]],Tabela96[[RESERVA]:[PROJETO]],4,FALSE),"")</f>
        <v>2124</v>
      </c>
      <c r="E118" s="103">
        <f>IFERROR(VLOOKUP(Tabela3[[#This Row],[RESERVA]],Tabela96[[RESERVA]:[PROJETO]],5,FALSE),"")</f>
        <v>25</v>
      </c>
      <c r="F118" s="36">
        <v>3008</v>
      </c>
      <c r="G118" s="36">
        <v>119162</v>
      </c>
      <c r="H118" s="805" t="s">
        <v>373</v>
      </c>
      <c r="I118" s="155">
        <v>9364</v>
      </c>
      <c r="J118" s="64">
        <v>23603.3</v>
      </c>
      <c r="K118" s="64"/>
      <c r="L118" s="428">
        <f>Tabela3[[#This Row],[VALOR
 EMPENHO]]-Tabela3[[#This Row],[ESTORNO]]</f>
        <v>23603.3</v>
      </c>
      <c r="M118" s="304">
        <f>SUMIFS('LIQUIDAÇÃO 2025'!K:K,'LIQUIDAÇÃO 2025'!B:B,Tabela3[[#This Row],[CÓDIGO
 EMPRESA ]],'LIQUIDAÇÃO 2025'!C:C,Tabela3[[#This Row],[EMPRESA]],'LIQUIDAÇÃO 2025'!F:F,Tabela3[[#This Row],[EMPENHO]])</f>
        <v>23603.3</v>
      </c>
      <c r="N118" s="69">
        <f t="shared" si="3"/>
        <v>0</v>
      </c>
    </row>
    <row r="119" spans="1:16">
      <c r="A119" s="152">
        <v>45770</v>
      </c>
      <c r="B119" s="48">
        <f>IFERROR(VLOOKUP(Tabela3[[#This Row],[RESERVA]],Tabela96[[RESERVA]:[PROJETO]],2,FALSE),"")</f>
        <v>30</v>
      </c>
      <c r="C119" s="48">
        <f>IFERROR(VLOOKUP(Tabela3[[#This Row],[RESERVA]],Tabela96[[RESERVA]:[PROJETO]],3,FALSE),"")</f>
        <v>2253</v>
      </c>
      <c r="D119" s="103">
        <f>IFERROR(VLOOKUP(Tabela3[[#This Row],[RESERVA]],Tabela96[[RESERVA]:[PROJETO]],4,FALSE),"")</f>
        <v>2124</v>
      </c>
      <c r="E119" s="103">
        <f>IFERROR(VLOOKUP(Tabela3[[#This Row],[RESERVA]],Tabela96[[RESERVA]:[PROJETO]],5,FALSE),"")</f>
        <v>25</v>
      </c>
      <c r="F119" s="36">
        <v>3007</v>
      </c>
      <c r="G119" s="36">
        <v>119151</v>
      </c>
      <c r="H119" s="217" t="s">
        <v>366</v>
      </c>
      <c r="I119" s="155">
        <v>9366</v>
      </c>
      <c r="J119" s="64">
        <v>23603.3</v>
      </c>
      <c r="K119" s="64"/>
      <c r="L119" s="428">
        <f>Tabela3[[#This Row],[VALOR
 EMPENHO]]-Tabela3[[#This Row],[ESTORNO]]</f>
        <v>23603.3</v>
      </c>
      <c r="M119" s="304">
        <f>SUMIFS('LIQUIDAÇÃO 2025'!K:K,'LIQUIDAÇÃO 2025'!B:B,Tabela3[[#This Row],[CÓDIGO
 EMPRESA ]],'LIQUIDAÇÃO 2025'!C:C,Tabela3[[#This Row],[EMPRESA]],'LIQUIDAÇÃO 2025'!F:F,Tabela3[[#This Row],[EMPENHO]])</f>
        <v>23603.3</v>
      </c>
      <c r="N119" s="69">
        <f t="shared" si="3"/>
        <v>0</v>
      </c>
      <c r="P119" s="701"/>
    </row>
    <row r="120" spans="1:16">
      <c r="A120" s="316">
        <v>45770</v>
      </c>
      <c r="B120" s="48">
        <f>IFERROR(VLOOKUP(Tabela3[[#This Row],[RESERVA]],Tabela96[[RESERVA]:[PROJETO]],2,FALSE),"")</f>
        <v>32</v>
      </c>
      <c r="C120" s="48">
        <f>IFERROR(VLOOKUP(Tabela3[[#This Row],[RESERVA]],Tabela96[[RESERVA]:[PROJETO]],3,FALSE),"")</f>
        <v>2229</v>
      </c>
      <c r="D120" s="103">
        <f>IFERROR(VLOOKUP(Tabela3[[#This Row],[RESERVA]],Tabela96[[RESERVA]:[PROJETO]],4,FALSE),"")</f>
        <v>2128</v>
      </c>
      <c r="E120" s="103">
        <f>IFERROR(VLOOKUP(Tabela3[[#This Row],[RESERVA]],Tabela96[[RESERVA]:[PROJETO]],5,FALSE),"")</f>
        <v>122</v>
      </c>
      <c r="F120" s="317">
        <v>5025</v>
      </c>
      <c r="G120" s="317">
        <v>2808</v>
      </c>
      <c r="H120" s="217" t="s">
        <v>59</v>
      </c>
      <c r="I120" s="155">
        <v>9359</v>
      </c>
      <c r="J120" s="318">
        <v>4011.65</v>
      </c>
      <c r="K120" s="65"/>
      <c r="L120" s="428">
        <f>Tabela3[[#This Row],[VALOR
 EMPENHO]]-Tabela3[[#This Row],[ESTORNO]]</f>
        <v>4011.65</v>
      </c>
      <c r="M120" s="304">
        <f>SUMIFS('LIQUIDAÇÃO 2025'!K:K,'LIQUIDAÇÃO 2025'!B:B,Tabela3[[#This Row],[CÓDIGO
 EMPRESA ]],'LIQUIDAÇÃO 2025'!C:C,Tabela3[[#This Row],[EMPRESA]],'LIQUIDAÇÃO 2025'!F:F,Tabela3[[#This Row],[EMPENHO]])</f>
        <v>4011.65</v>
      </c>
      <c r="N120" s="245">
        <f t="shared" si="3"/>
        <v>0</v>
      </c>
      <c r="P120" s="62"/>
    </row>
    <row r="121" spans="1:16">
      <c r="A121" s="153">
        <v>45770</v>
      </c>
      <c r="B121" s="48">
        <f>IFERROR(VLOOKUP(Tabela3[[#This Row],[RESERVA]],Tabela96[[RESERVA]:[PROJETO]],2,FALSE),"")</f>
        <v>32</v>
      </c>
      <c r="C121" s="48">
        <f>IFERROR(VLOOKUP(Tabela3[[#This Row],[RESERVA]],Tabela96[[RESERVA]:[PROJETO]],3,FALSE),"")</f>
        <v>2229</v>
      </c>
      <c r="D121" s="103">
        <f>IFERROR(VLOOKUP(Tabela3[[#This Row],[RESERVA]],Tabela96[[RESERVA]:[PROJETO]],4,FALSE),"")</f>
        <v>2128</v>
      </c>
      <c r="E121" s="103">
        <f>IFERROR(VLOOKUP(Tabela3[[#This Row],[RESERVA]],Tabela96[[RESERVA]:[PROJETO]],5,FALSE),"")</f>
        <v>245</v>
      </c>
      <c r="F121" s="78">
        <v>5026</v>
      </c>
      <c r="G121" s="36">
        <v>54615</v>
      </c>
      <c r="H121" s="104" t="s">
        <v>158</v>
      </c>
      <c r="I121" s="155">
        <v>9360</v>
      </c>
      <c r="J121" s="79">
        <v>5976</v>
      </c>
      <c r="K121" s="79"/>
      <c r="L121" s="428">
        <f>Tabela3[[#This Row],[VALOR
 EMPENHO]]-Tabela3[[#This Row],[ESTORNO]]</f>
        <v>5976</v>
      </c>
      <c r="M121" s="304">
        <f>SUMIFS('LIQUIDAÇÃO 2025'!K:K,'LIQUIDAÇÃO 2025'!B:B,Tabela3[[#This Row],[CÓDIGO
 EMPRESA ]],'LIQUIDAÇÃO 2025'!C:C,Tabela3[[#This Row],[EMPRESA]],'LIQUIDAÇÃO 2025'!F:F,Tabela3[[#This Row],[EMPENHO]])</f>
        <v>5976</v>
      </c>
      <c r="N121" s="245">
        <f t="shared" si="3"/>
        <v>0</v>
      </c>
      <c r="P121" s="62"/>
    </row>
    <row r="122" spans="1:16">
      <c r="A122" s="369">
        <v>45771</v>
      </c>
      <c r="B122" s="48">
        <f>IFERROR(VLOOKUP(Tabela3[[#This Row],[RESERVA]],Tabela96[[RESERVA]:[PROJETO]],2,FALSE),"")</f>
        <v>32</v>
      </c>
      <c r="C122" s="48">
        <f>IFERROR(VLOOKUP(Tabela3[[#This Row],[RESERVA]],Tabela96[[RESERVA]:[PROJETO]],3,FALSE),"")</f>
        <v>3484</v>
      </c>
      <c r="D122" s="103">
        <f>IFERROR(VLOOKUP(Tabela3[[#This Row],[RESERVA]],Tabela96[[RESERVA]:[PROJETO]],4,FALSE),"")</f>
        <v>2128</v>
      </c>
      <c r="E122" s="103">
        <f>IFERROR(VLOOKUP(Tabela3[[#This Row],[RESERVA]],Tabela96[[RESERVA]:[PROJETO]],5,FALSE),"")</f>
        <v>84</v>
      </c>
      <c r="F122" s="416">
        <v>6268</v>
      </c>
      <c r="G122" s="940">
        <v>120456</v>
      </c>
      <c r="H122" s="217" t="s">
        <v>484</v>
      </c>
      <c r="I122" s="155">
        <v>9491</v>
      </c>
      <c r="J122" s="417">
        <v>7829.9</v>
      </c>
      <c r="K122" s="417"/>
      <c r="L122" s="428">
        <f>Tabela3[[#This Row],[VALOR
 EMPENHO]]-Tabela3[[#This Row],[ESTORNO]]</f>
        <v>7829.9</v>
      </c>
      <c r="M122" s="304">
        <f>SUMIFS('LIQUIDAÇÃO 2025'!K:K,'LIQUIDAÇÃO 2025'!B:B,Tabela3[[#This Row],[CÓDIGO
 EMPRESA ]],'LIQUIDAÇÃO 2025'!C:C,Tabela3[[#This Row],[EMPRESA]],'LIQUIDAÇÃO 2025'!F:F,Tabela3[[#This Row],[EMPENHO]])</f>
        <v>7829.9</v>
      </c>
      <c r="N122" s="245">
        <f t="shared" si="3"/>
        <v>0</v>
      </c>
    </row>
    <row r="123" spans="1:16">
      <c r="A123" s="369">
        <v>45771</v>
      </c>
      <c r="B123" s="48">
        <f>IFERROR(VLOOKUP(Tabela3[[#This Row],[RESERVA]],Tabela96[[RESERVA]:[PROJETO]],2,FALSE),"")</f>
        <v>32</v>
      </c>
      <c r="C123" s="48">
        <f>IFERROR(VLOOKUP(Tabela3[[#This Row],[RESERVA]],Tabela96[[RESERVA]:[PROJETO]],3,FALSE),"")</f>
        <v>3590</v>
      </c>
      <c r="D123" s="103">
        <f>IFERROR(VLOOKUP(Tabela3[[#This Row],[RESERVA]],Tabela96[[RESERVA]:[PROJETO]],4,FALSE),"")</f>
        <v>2129</v>
      </c>
      <c r="E123" s="103">
        <f>IFERROR(VLOOKUP(Tabela3[[#This Row],[RESERVA]],Tabela96[[RESERVA]:[PROJETO]],5,FALSE),"")</f>
        <v>56</v>
      </c>
      <c r="F123" s="370">
        <v>6270</v>
      </c>
      <c r="G123" s="370">
        <v>69169</v>
      </c>
      <c r="H123" s="217" t="s">
        <v>372</v>
      </c>
      <c r="I123" s="155">
        <v>9473</v>
      </c>
      <c r="J123" s="372">
        <v>18282.599999999999</v>
      </c>
      <c r="K123" s="64"/>
      <c r="L123" s="428">
        <f>Tabela3[[#This Row],[VALOR
 EMPENHO]]-Tabela3[[#This Row],[ESTORNO]]</f>
        <v>18282.599999999999</v>
      </c>
      <c r="M123" s="304">
        <f>SUMIFS('LIQUIDAÇÃO 2025'!K:K,'LIQUIDAÇÃO 2025'!B:B,Tabela3[[#This Row],[CÓDIGO
 EMPRESA ]],'LIQUIDAÇÃO 2025'!C:C,Tabela3[[#This Row],[EMPRESA]],'LIQUIDAÇÃO 2025'!F:F,Tabela3[[#This Row],[EMPENHO]])</f>
        <v>18282.599999999999</v>
      </c>
      <c r="N123" s="245">
        <f t="shared" si="3"/>
        <v>0</v>
      </c>
    </row>
    <row r="124" spans="1:16">
      <c r="A124" s="316">
        <v>45771</v>
      </c>
      <c r="B124" s="48">
        <f>IFERROR(VLOOKUP(Tabela3[[#This Row],[RESERVA]],Tabela96[[RESERVA]:[PROJETO]],2,FALSE),"")</f>
        <v>30</v>
      </c>
      <c r="C124" s="48">
        <f>IFERROR(VLOOKUP(Tabela3[[#This Row],[RESERVA]],Tabela96[[RESERVA]:[PROJETO]],3,FALSE),"")</f>
        <v>2253</v>
      </c>
      <c r="D124" s="103">
        <f>IFERROR(VLOOKUP(Tabela3[[#This Row],[RESERVA]],Tabela96[[RESERVA]:[PROJETO]],4,FALSE),"")</f>
        <v>2124</v>
      </c>
      <c r="E124" s="103">
        <f>IFERROR(VLOOKUP(Tabela3[[#This Row],[RESERVA]],Tabela96[[RESERVA]:[PROJETO]],5,FALSE),"")</f>
        <v>25</v>
      </c>
      <c r="F124" s="317">
        <v>3001</v>
      </c>
      <c r="G124" s="317">
        <v>118229</v>
      </c>
      <c r="H124" s="503" t="s">
        <v>374</v>
      </c>
      <c r="I124" s="155">
        <v>9408</v>
      </c>
      <c r="J124" s="318">
        <v>38773.800000000003</v>
      </c>
      <c r="K124" s="65"/>
      <c r="L124" s="428">
        <f>Tabela3[[#This Row],[VALOR
 EMPENHO]]-Tabela3[[#This Row],[ESTORNO]]</f>
        <v>38773.800000000003</v>
      </c>
      <c r="M124" s="304">
        <f>SUMIFS('LIQUIDAÇÃO 2025'!K:K,'LIQUIDAÇÃO 2025'!B:B,Tabela3[[#This Row],[CÓDIGO
 EMPRESA ]],'LIQUIDAÇÃO 2025'!C:C,Tabela3[[#This Row],[EMPRESA]],'LIQUIDAÇÃO 2025'!F:F,Tabela3[[#This Row],[EMPENHO]])</f>
        <v>38773.800000000003</v>
      </c>
      <c r="N124" s="69">
        <f t="shared" si="3"/>
        <v>0</v>
      </c>
    </row>
    <row r="125" spans="1:16">
      <c r="A125" s="369">
        <v>45771</v>
      </c>
      <c r="B125" s="48">
        <f>IFERROR(VLOOKUP(Tabela3[[#This Row],[RESERVA]],Tabela96[[RESERVA]:[PROJETO]],2,FALSE),"")</f>
        <v>30</v>
      </c>
      <c r="C125" s="48">
        <f>IFERROR(VLOOKUP(Tabela3[[#This Row],[RESERVA]],Tabela96[[RESERVA]:[PROJETO]],3,FALSE),"")</f>
        <v>2253</v>
      </c>
      <c r="D125" s="103">
        <f>IFERROR(VLOOKUP(Tabela3[[#This Row],[RESERVA]],Tabela96[[RESERVA]:[PROJETO]],4,FALSE),"")</f>
        <v>2124</v>
      </c>
      <c r="E125" s="103">
        <f>IFERROR(VLOOKUP(Tabela3[[#This Row],[RESERVA]],Tabela96[[RESERVA]:[PROJETO]],5,FALSE),"")</f>
        <v>25</v>
      </c>
      <c r="F125" s="370">
        <v>2995</v>
      </c>
      <c r="G125" s="370">
        <v>118247</v>
      </c>
      <c r="H125" s="104" t="s">
        <v>375</v>
      </c>
      <c r="I125" s="155">
        <v>9422</v>
      </c>
      <c r="J125" s="372">
        <v>39184.800000000003</v>
      </c>
      <c r="K125" s="64"/>
      <c r="L125" s="428">
        <f>Tabela3[[#This Row],[VALOR
 EMPENHO]]-Tabela3[[#This Row],[ESTORNO]]</f>
        <v>39184.800000000003</v>
      </c>
      <c r="M125" s="304">
        <f>SUMIFS('LIQUIDAÇÃO 2025'!K:K,'LIQUIDAÇÃO 2025'!B:B,Tabela3[[#This Row],[CÓDIGO
 EMPRESA ]],'LIQUIDAÇÃO 2025'!C:C,Tabela3[[#This Row],[EMPRESA]],'LIQUIDAÇÃO 2025'!F:F,Tabela3[[#This Row],[EMPENHO]])</f>
        <v>39184.800000000003</v>
      </c>
      <c r="N125" s="69">
        <f t="shared" ref="N125:N156" si="4">L125-M125</f>
        <v>0</v>
      </c>
    </row>
    <row r="126" spans="1:16">
      <c r="A126" s="337">
        <v>45771</v>
      </c>
      <c r="B126" s="48">
        <f>IFERROR(VLOOKUP(Tabela3[[#This Row],[RESERVA]],Tabela96[[RESERVA]:[PROJETO]],2,FALSE),"")</f>
        <v>30</v>
      </c>
      <c r="C126" s="48">
        <f>IFERROR(VLOOKUP(Tabela3[[#This Row],[RESERVA]],Tabela96[[RESERVA]:[PROJETO]],3,FALSE),"")</f>
        <v>2253</v>
      </c>
      <c r="D126" s="103">
        <f>IFERROR(VLOOKUP(Tabela3[[#This Row],[RESERVA]],Tabela96[[RESERVA]:[PROJETO]],4,FALSE),"")</f>
        <v>2124</v>
      </c>
      <c r="E126" s="103">
        <f>IFERROR(VLOOKUP(Tabela3[[#This Row],[RESERVA]],Tabela96[[RESERVA]:[PROJETO]],5,FALSE),"")</f>
        <v>25</v>
      </c>
      <c r="F126" s="338">
        <v>3000</v>
      </c>
      <c r="G126" s="338">
        <v>119152</v>
      </c>
      <c r="H126" s="805" t="s">
        <v>376</v>
      </c>
      <c r="I126" s="155">
        <v>9411</v>
      </c>
      <c r="J126" s="339">
        <v>23603.3</v>
      </c>
      <c r="K126" s="64"/>
      <c r="L126" s="428">
        <f>Tabela3[[#This Row],[VALOR
 EMPENHO]]-Tabela3[[#This Row],[ESTORNO]]</f>
        <v>23603.3</v>
      </c>
      <c r="M126" s="304">
        <f>SUMIFS('LIQUIDAÇÃO 2025'!K:K,'LIQUIDAÇÃO 2025'!B:B,Tabela3[[#This Row],[CÓDIGO
 EMPRESA ]],'LIQUIDAÇÃO 2025'!C:C,Tabela3[[#This Row],[EMPRESA]],'LIQUIDAÇÃO 2025'!F:F,Tabela3[[#This Row],[EMPENHO]])</f>
        <v>23603.3</v>
      </c>
      <c r="N126" s="69">
        <f t="shared" si="4"/>
        <v>0</v>
      </c>
    </row>
    <row r="127" spans="1:16">
      <c r="A127" s="337">
        <v>45771</v>
      </c>
      <c r="B127" s="48">
        <f>IFERROR(VLOOKUP(Tabela3[[#This Row],[RESERVA]],Tabela96[[RESERVA]:[PROJETO]],2,FALSE),"")</f>
        <v>30</v>
      </c>
      <c r="C127" s="48">
        <f>IFERROR(VLOOKUP(Tabela3[[#This Row],[RESERVA]],Tabela96[[RESERVA]:[PROJETO]],3,FALSE),"")</f>
        <v>2253</v>
      </c>
      <c r="D127" s="103">
        <f>IFERROR(VLOOKUP(Tabela3[[#This Row],[RESERVA]],Tabela96[[RESERVA]:[PROJETO]],4,FALSE),"")</f>
        <v>2124</v>
      </c>
      <c r="E127" s="103">
        <f>IFERROR(VLOOKUP(Tabela3[[#This Row],[RESERVA]],Tabela96[[RESERVA]:[PROJETO]],5,FALSE),"")</f>
        <v>25</v>
      </c>
      <c r="F127" s="338">
        <v>3003</v>
      </c>
      <c r="G127" s="962">
        <v>119166</v>
      </c>
      <c r="H127" s="217" t="s">
        <v>363</v>
      </c>
      <c r="I127" s="155">
        <v>9413</v>
      </c>
      <c r="J127" s="339">
        <v>23603.3</v>
      </c>
      <c r="K127" s="64"/>
      <c r="L127" s="428">
        <f>Tabela3[[#This Row],[VALOR
 EMPENHO]]-Tabela3[[#This Row],[ESTORNO]]</f>
        <v>23603.3</v>
      </c>
      <c r="M127" s="304">
        <f>SUMIFS('LIQUIDAÇÃO 2025'!K:K,'LIQUIDAÇÃO 2025'!B:B,Tabela3[[#This Row],[CÓDIGO
 EMPRESA ]],'LIQUIDAÇÃO 2025'!C:C,Tabela3[[#This Row],[EMPRESA]],'LIQUIDAÇÃO 2025'!F:F,Tabela3[[#This Row],[EMPENHO]])</f>
        <v>23603.3</v>
      </c>
      <c r="N127" s="69">
        <f t="shared" si="4"/>
        <v>0</v>
      </c>
    </row>
    <row r="128" spans="1:16">
      <c r="A128" s="369">
        <v>45771</v>
      </c>
      <c r="B128" s="48">
        <f>IFERROR(VLOOKUP(Tabela3[[#This Row],[RESERVA]],Tabela96[[RESERVA]:[PROJETO]],2,FALSE),"")</f>
        <v>30</v>
      </c>
      <c r="C128" s="48">
        <f>IFERROR(VLOOKUP(Tabela3[[#This Row],[RESERVA]],Tabela96[[RESERVA]:[PROJETO]],3,FALSE),"")</f>
        <v>2253</v>
      </c>
      <c r="D128" s="103">
        <f>IFERROR(VLOOKUP(Tabela3[[#This Row],[RESERVA]],Tabela96[[RESERVA]:[PROJETO]],4,FALSE),"")</f>
        <v>2124</v>
      </c>
      <c r="E128" s="103">
        <f>IFERROR(VLOOKUP(Tabela3[[#This Row],[RESERVA]],Tabela96[[RESERVA]:[PROJETO]],5,FALSE),"")</f>
        <v>25</v>
      </c>
      <c r="F128" s="370">
        <v>2998</v>
      </c>
      <c r="G128" s="370">
        <v>112466</v>
      </c>
      <c r="H128" s="805" t="s">
        <v>377</v>
      </c>
      <c r="I128" s="155">
        <v>9417</v>
      </c>
      <c r="J128" s="372">
        <v>23603.3</v>
      </c>
      <c r="K128" s="64"/>
      <c r="L128" s="428">
        <f>Tabela3[[#This Row],[VALOR
 EMPENHO]]-Tabela3[[#This Row],[ESTORNO]]</f>
        <v>23603.3</v>
      </c>
      <c r="M128" s="304">
        <f>SUMIFS('LIQUIDAÇÃO 2025'!K:K,'LIQUIDAÇÃO 2025'!B:B,Tabela3[[#This Row],[CÓDIGO
 EMPRESA ]],'LIQUIDAÇÃO 2025'!C:C,Tabela3[[#This Row],[EMPRESA]],'LIQUIDAÇÃO 2025'!F:F,Tabela3[[#This Row],[EMPENHO]])</f>
        <v>23603.3</v>
      </c>
      <c r="N128" s="69">
        <f t="shared" si="4"/>
        <v>0</v>
      </c>
    </row>
    <row r="129" spans="1:14">
      <c r="A129" s="152">
        <v>45771</v>
      </c>
      <c r="B129" s="48">
        <f>IFERROR(VLOOKUP(Tabela3[[#This Row],[RESERVA]],Tabela96[[RESERVA]:[PROJETO]],2,FALSE),"")</f>
        <v>30</v>
      </c>
      <c r="C129" s="48">
        <f>IFERROR(VLOOKUP(Tabela3[[#This Row],[RESERVA]],Tabela96[[RESERVA]:[PROJETO]],3,FALSE),"")</f>
        <v>2253</v>
      </c>
      <c r="D129" s="103">
        <f>IFERROR(VLOOKUP(Tabela3[[#This Row],[RESERVA]],Tabela96[[RESERVA]:[PROJETO]],4,FALSE),"")</f>
        <v>2124</v>
      </c>
      <c r="E129" s="103">
        <f>IFERROR(VLOOKUP(Tabela3[[#This Row],[RESERVA]],Tabela96[[RESERVA]:[PROJETO]],5,FALSE),"")</f>
        <v>25</v>
      </c>
      <c r="F129" s="36">
        <v>2996</v>
      </c>
      <c r="G129" s="36">
        <v>119149</v>
      </c>
      <c r="H129" s="217" t="s">
        <v>314</v>
      </c>
      <c r="I129" s="155">
        <v>9410</v>
      </c>
      <c r="J129" s="64">
        <v>23603.3</v>
      </c>
      <c r="K129" s="64"/>
      <c r="L129" s="428">
        <f>Tabela3[[#This Row],[VALOR
 EMPENHO]]-Tabela3[[#This Row],[ESTORNO]]</f>
        <v>23603.3</v>
      </c>
      <c r="M129" s="304">
        <f>SUMIFS('LIQUIDAÇÃO 2025'!K:K,'LIQUIDAÇÃO 2025'!B:B,Tabela3[[#This Row],[CÓDIGO
 EMPRESA ]],'LIQUIDAÇÃO 2025'!C:C,Tabela3[[#This Row],[EMPRESA]],'LIQUIDAÇÃO 2025'!F:F,Tabela3[[#This Row],[EMPENHO]])</f>
        <v>23603.3</v>
      </c>
      <c r="N129" s="69">
        <f t="shared" si="4"/>
        <v>0</v>
      </c>
    </row>
    <row r="130" spans="1:14">
      <c r="A130" s="369">
        <v>45771</v>
      </c>
      <c r="B130" s="48">
        <f>IFERROR(VLOOKUP(Tabela3[[#This Row],[RESERVA]],Tabela96[[RESERVA]:[PROJETO]],2,FALSE),"")</f>
        <v>32</v>
      </c>
      <c r="C130" s="48">
        <f>IFERROR(VLOOKUP(Tabela3[[#This Row],[RESERVA]],Tabela96[[RESERVA]:[PROJETO]],3,FALSE),"")</f>
        <v>2226</v>
      </c>
      <c r="D130" s="103">
        <f>IFERROR(VLOOKUP(Tabela3[[#This Row],[RESERVA]],Tabela96[[RESERVA]:[PROJETO]],4,FALSE),"")</f>
        <v>2128</v>
      </c>
      <c r="E130" s="103">
        <f>IFERROR(VLOOKUP(Tabela3[[#This Row],[RESERVA]],Tabela96[[RESERVA]:[PROJETO]],5,FALSE),"")</f>
        <v>84</v>
      </c>
      <c r="F130" s="370">
        <v>6266</v>
      </c>
      <c r="G130" s="370">
        <v>117466</v>
      </c>
      <c r="H130" s="371" t="s">
        <v>482</v>
      </c>
      <c r="I130" s="155">
        <v>9463</v>
      </c>
      <c r="J130" s="372">
        <v>3090</v>
      </c>
      <c r="K130" s="64"/>
      <c r="L130" s="428">
        <f>Tabela3[[#This Row],[VALOR
 EMPENHO]]-Tabela3[[#This Row],[ESTORNO]]</f>
        <v>3090</v>
      </c>
      <c r="M130" s="304">
        <f>SUMIFS('LIQUIDAÇÃO 2025'!K:K,'LIQUIDAÇÃO 2025'!B:B,Tabela3[[#This Row],[CÓDIGO
 EMPRESA ]],'LIQUIDAÇÃO 2025'!C:C,Tabela3[[#This Row],[EMPRESA]],'LIQUIDAÇÃO 2025'!F:F,Tabela3[[#This Row],[EMPENHO]])</f>
        <v>3090</v>
      </c>
      <c r="N130" s="245">
        <f t="shared" si="4"/>
        <v>0</v>
      </c>
    </row>
    <row r="131" spans="1:14">
      <c r="A131" s="415">
        <v>45783</v>
      </c>
      <c r="B131" s="48">
        <f>IFERROR(VLOOKUP(Tabela3[[#This Row],[RESERVA]],Tabela96[[RESERVA]:[PROJETO]],2,FALSE),"")</f>
        <v>29</v>
      </c>
      <c r="C131" s="48">
        <f>IFERROR(VLOOKUP(Tabela3[[#This Row],[RESERVA]],Tabela96[[RESERVA]:[PROJETO]],3,FALSE),"")</f>
        <v>2244</v>
      </c>
      <c r="D131" s="103">
        <f>IFERROR(VLOOKUP(Tabela3[[#This Row],[RESERVA]],Tabela96[[RESERVA]:[PROJETO]],4,FALSE),"")</f>
        <v>2123</v>
      </c>
      <c r="E131" s="103">
        <f>IFERROR(VLOOKUP(Tabela3[[#This Row],[RESERVA]],Tabela96[[RESERVA]:[PROJETO]],5,FALSE),"")</f>
        <v>92</v>
      </c>
      <c r="F131" s="416">
        <v>6576</v>
      </c>
      <c r="G131" s="416">
        <v>67547</v>
      </c>
      <c r="H131" s="964" t="s">
        <v>294</v>
      </c>
      <c r="I131" s="155">
        <v>10197</v>
      </c>
      <c r="J131" s="947">
        <v>22240</v>
      </c>
      <c r="K131" s="417"/>
      <c r="L131" s="428">
        <f>Tabela3[[#This Row],[VALOR
 EMPENHO]]-Tabela3[[#This Row],[ESTORNO]]</f>
        <v>22240</v>
      </c>
      <c r="M131" s="304">
        <f>SUMIFS('LIQUIDAÇÃO 2025'!K:K,'LIQUIDAÇÃO 2025'!B:B,Tabela3[[#This Row],[CÓDIGO
 EMPRESA ]],'LIQUIDAÇÃO 2025'!C:C,Tabela3[[#This Row],[EMPRESA]],'LIQUIDAÇÃO 2025'!F:F,Tabela3[[#This Row],[EMPENHO]])</f>
        <v>22240</v>
      </c>
      <c r="N131" s="871">
        <f t="shared" si="4"/>
        <v>0</v>
      </c>
    </row>
    <row r="132" spans="1:14">
      <c r="A132" s="415">
        <v>45783</v>
      </c>
      <c r="B132" s="48">
        <f>IFERROR(VLOOKUP(Tabela3[[#This Row],[RESERVA]],Tabela96[[RESERVA]:[PROJETO]],2,FALSE),"")</f>
        <v>29</v>
      </c>
      <c r="C132" s="48">
        <f>IFERROR(VLOOKUP(Tabela3[[#This Row],[RESERVA]],Tabela96[[RESERVA]:[PROJETO]],3,FALSE),"")</f>
        <v>2244</v>
      </c>
      <c r="D132" s="103">
        <f>IFERROR(VLOOKUP(Tabela3[[#This Row],[RESERVA]],Tabela96[[RESERVA]:[PROJETO]],4,FALSE),"")</f>
        <v>2123</v>
      </c>
      <c r="E132" s="103">
        <f>IFERROR(VLOOKUP(Tabela3[[#This Row],[RESERVA]],Tabela96[[RESERVA]:[PROJETO]],5,FALSE),"")</f>
        <v>92</v>
      </c>
      <c r="F132" s="416">
        <v>6574</v>
      </c>
      <c r="G132" s="416">
        <v>122083</v>
      </c>
      <c r="H132" s="646" t="s">
        <v>293</v>
      </c>
      <c r="I132" s="155">
        <v>10200</v>
      </c>
      <c r="J132" s="417">
        <v>23900</v>
      </c>
      <c r="K132" s="417">
        <v>6000</v>
      </c>
      <c r="L132" s="428">
        <f>Tabela3[[#This Row],[VALOR
 EMPENHO]]-Tabela3[[#This Row],[ESTORNO]]</f>
        <v>17900</v>
      </c>
      <c r="M132" s="304">
        <f>SUMIFS('LIQUIDAÇÃO 2025'!K:K,'LIQUIDAÇÃO 2025'!B:B,Tabela3[[#This Row],[CÓDIGO
 EMPRESA ]],'LIQUIDAÇÃO 2025'!C:C,Tabela3[[#This Row],[EMPRESA]],'LIQUIDAÇÃO 2025'!F:F,Tabela3[[#This Row],[EMPENHO]])</f>
        <v>17900</v>
      </c>
      <c r="N132" s="245">
        <f t="shared" si="4"/>
        <v>0</v>
      </c>
    </row>
    <row r="133" spans="1:14">
      <c r="A133" s="415">
        <v>45783</v>
      </c>
      <c r="B133" s="48">
        <f>IFERROR(VLOOKUP(Tabela3[[#This Row],[RESERVA]],Tabela96[[RESERVA]:[PROJETO]],2,FALSE),"")</f>
        <v>29</v>
      </c>
      <c r="C133" s="48">
        <f>IFERROR(VLOOKUP(Tabela3[[#This Row],[RESERVA]],Tabela96[[RESERVA]:[PROJETO]],3,FALSE),"")</f>
        <v>2248</v>
      </c>
      <c r="D133" s="103">
        <f>IFERROR(VLOOKUP(Tabela3[[#This Row],[RESERVA]],Tabela96[[RESERVA]:[PROJETO]],4,FALSE),"")</f>
        <v>2123</v>
      </c>
      <c r="E133" s="103">
        <f>IFERROR(VLOOKUP(Tabela3[[#This Row],[RESERVA]],Tabela96[[RESERVA]:[PROJETO]],5,FALSE),"")</f>
        <v>69</v>
      </c>
      <c r="F133" s="416">
        <v>6575</v>
      </c>
      <c r="G133" s="416">
        <v>122083</v>
      </c>
      <c r="H133" s="104" t="s">
        <v>293</v>
      </c>
      <c r="I133" s="155">
        <v>10203</v>
      </c>
      <c r="J133" s="417">
        <v>25000</v>
      </c>
      <c r="K133" s="417"/>
      <c r="L133" s="428">
        <f>Tabela3[[#This Row],[VALOR
 EMPENHO]]-Tabela3[[#This Row],[ESTORNO]]</f>
        <v>25000</v>
      </c>
      <c r="M133" s="304">
        <f>SUMIFS('LIQUIDAÇÃO 2025'!K:K,'LIQUIDAÇÃO 2025'!B:B,Tabela3[[#This Row],[CÓDIGO
 EMPRESA ]],'LIQUIDAÇÃO 2025'!C:C,Tabela3[[#This Row],[EMPRESA]],'LIQUIDAÇÃO 2025'!F:F,Tabela3[[#This Row],[EMPENHO]])</f>
        <v>25000</v>
      </c>
      <c r="N133" s="69">
        <f t="shared" si="4"/>
        <v>0</v>
      </c>
    </row>
    <row r="134" spans="1:14">
      <c r="A134" s="415">
        <v>45784</v>
      </c>
      <c r="B134" s="48">
        <f>IFERROR(VLOOKUP(Tabela3[[#This Row],[RESERVA]],Tabela96[[RESERVA]:[PROJETO]],2,FALSE),"")</f>
        <v>29</v>
      </c>
      <c r="C134" s="48">
        <f>IFERROR(VLOOKUP(Tabela3[[#This Row],[RESERVA]],Tabela96[[RESERVA]:[PROJETO]],3,FALSE),"")</f>
        <v>2246</v>
      </c>
      <c r="D134" s="103">
        <f>IFERROR(VLOOKUP(Tabela3[[#This Row],[RESERVA]],Tabela96[[RESERVA]:[PROJETO]],4,FALSE),"")</f>
        <v>2123</v>
      </c>
      <c r="E134" s="103">
        <f>IFERROR(VLOOKUP(Tabela3[[#This Row],[RESERVA]],Tabela96[[RESERVA]:[PROJETO]],5,FALSE),"")</f>
        <v>123</v>
      </c>
      <c r="F134" s="416">
        <v>3626</v>
      </c>
      <c r="G134" s="416">
        <v>46901</v>
      </c>
      <c r="H134" s="175" t="s">
        <v>60</v>
      </c>
      <c r="I134" s="155">
        <v>10388</v>
      </c>
      <c r="J134" s="944">
        <v>168925.68</v>
      </c>
      <c r="K134" s="417">
        <v>66546.48</v>
      </c>
      <c r="L134" s="428">
        <f>Tabela3[[#This Row],[VALOR
 EMPENHO]]-Tabela3[[#This Row],[ESTORNO]]</f>
        <v>102379.2</v>
      </c>
      <c r="M134" s="304">
        <f>SUMIFS('LIQUIDAÇÃO 2025'!K:K,'LIQUIDAÇÃO 2025'!B:B,Tabela3[[#This Row],[CÓDIGO
 EMPRESA ]],'LIQUIDAÇÃO 2025'!C:C,Tabela3[[#This Row],[EMPRESA]],'LIQUIDAÇÃO 2025'!F:F,Tabela3[[#This Row],[EMPENHO]])</f>
        <v>102379.2</v>
      </c>
      <c r="N134" s="245">
        <f t="shared" si="4"/>
        <v>0</v>
      </c>
    </row>
    <row r="135" spans="1:14">
      <c r="A135" s="152">
        <v>45797</v>
      </c>
      <c r="B135" s="48">
        <f>IFERROR(VLOOKUP(Tabela3[[#This Row],[RESERVA]],Tabela96[[RESERVA]:[PROJETO]],2,FALSE),"")</f>
        <v>30</v>
      </c>
      <c r="C135" s="48">
        <f>IFERROR(VLOOKUP(Tabela3[[#This Row],[RESERVA]],Tabela96[[RESERVA]:[PROJETO]],3,FALSE),"")</f>
        <v>2253</v>
      </c>
      <c r="D135" s="103">
        <f>IFERROR(VLOOKUP(Tabela3[[#This Row],[RESERVA]],Tabela96[[RESERVA]:[PROJETO]],4,FALSE),"")</f>
        <v>2124</v>
      </c>
      <c r="E135" s="103">
        <f>IFERROR(VLOOKUP(Tabela3[[#This Row],[RESERVA]],Tabela96[[RESERVA]:[PROJETO]],5,FALSE),"")</f>
        <v>25</v>
      </c>
      <c r="F135" s="36">
        <v>6049</v>
      </c>
      <c r="G135" s="36">
        <v>68004</v>
      </c>
      <c r="H135" s="104" t="s">
        <v>382</v>
      </c>
      <c r="I135" s="155">
        <v>11321</v>
      </c>
      <c r="J135" s="64">
        <v>10860.36</v>
      </c>
      <c r="K135" s="417"/>
      <c r="L135" s="428">
        <f>Tabela3[[#This Row],[VALOR
 EMPENHO]]-Tabela3[[#This Row],[ESTORNO]]</f>
        <v>10860.36</v>
      </c>
      <c r="M135" s="304">
        <f>SUMIFS('LIQUIDAÇÃO 2025'!K:K,'LIQUIDAÇÃO 2025'!B:B,Tabela3[[#This Row],[CÓDIGO
 EMPRESA ]],'LIQUIDAÇÃO 2025'!C:C,Tabela3[[#This Row],[EMPRESA]],'LIQUIDAÇÃO 2025'!F:F,Tabela3[[#This Row],[EMPENHO]])</f>
        <v>10860.36</v>
      </c>
      <c r="N135" s="245">
        <f t="shared" si="4"/>
        <v>0</v>
      </c>
    </row>
    <row r="136" spans="1:14">
      <c r="A136" s="152">
        <v>45798</v>
      </c>
      <c r="B136" s="48">
        <f>IFERROR(VLOOKUP(Tabela3[[#This Row],[RESERVA]],Tabela96[[RESERVA]:[PROJETO]],2,FALSE),"")</f>
        <v>30</v>
      </c>
      <c r="C136" s="48">
        <f>IFERROR(VLOOKUP(Tabela3[[#This Row],[RESERVA]],Tabela96[[RESERVA]:[PROJETO]],3,FALSE),"")</f>
        <v>3485</v>
      </c>
      <c r="D136" s="103">
        <f>IFERROR(VLOOKUP(Tabela3[[#This Row],[RESERVA]],Tabela96[[RESERVA]:[PROJETO]],4,FALSE),"")</f>
        <v>2126</v>
      </c>
      <c r="E136" s="103">
        <f>IFERROR(VLOOKUP(Tabela3[[#This Row],[RESERVA]],Tabela96[[RESERVA]:[PROJETO]],5,FALSE),"")</f>
        <v>104</v>
      </c>
      <c r="F136" s="36">
        <v>7052</v>
      </c>
      <c r="G136" s="36">
        <v>119073</v>
      </c>
      <c r="H136" s="104" t="s">
        <v>510</v>
      </c>
      <c r="I136" s="155">
        <v>11419</v>
      </c>
      <c r="J136" s="64">
        <v>4290</v>
      </c>
      <c r="K136" s="417"/>
      <c r="L136" s="428">
        <f>Tabela3[[#This Row],[VALOR
 EMPENHO]]-Tabela3[[#This Row],[ESTORNO]]</f>
        <v>4290</v>
      </c>
      <c r="M136" s="304">
        <f>SUMIFS('LIQUIDAÇÃO 2025'!K:K,'LIQUIDAÇÃO 2025'!B:B,Tabela3[[#This Row],[CÓDIGO
 EMPRESA ]],'LIQUIDAÇÃO 2025'!C:C,Tabela3[[#This Row],[EMPRESA]],'LIQUIDAÇÃO 2025'!F:F,Tabela3[[#This Row],[EMPENHO]])</f>
        <v>4290</v>
      </c>
      <c r="N136" s="245">
        <f t="shared" si="4"/>
        <v>0</v>
      </c>
    </row>
    <row r="137" spans="1:14">
      <c r="A137" s="152">
        <v>45798</v>
      </c>
      <c r="B137" s="48">
        <f>IFERROR(VLOOKUP(Tabela3[[#This Row],[RESERVA]],Tabela96[[RESERVA]:[PROJETO]],2,FALSE),"")</f>
        <v>32</v>
      </c>
      <c r="C137" s="48">
        <f>IFERROR(VLOOKUP(Tabela3[[#This Row],[RESERVA]],Tabela96[[RESERVA]:[PROJETO]],3,FALSE),"")</f>
        <v>2226</v>
      </c>
      <c r="D137" s="103">
        <f>IFERROR(VLOOKUP(Tabela3[[#This Row],[RESERVA]],Tabela96[[RESERVA]:[PROJETO]],4,FALSE),"")</f>
        <v>2128</v>
      </c>
      <c r="E137" s="103">
        <f>IFERROR(VLOOKUP(Tabela3[[#This Row],[RESERVA]],Tabela96[[RESERVA]:[PROJETO]],5,FALSE),"")</f>
        <v>84</v>
      </c>
      <c r="F137" s="36">
        <v>7050</v>
      </c>
      <c r="G137" s="36">
        <v>51481</v>
      </c>
      <c r="H137" s="647" t="s">
        <v>481</v>
      </c>
      <c r="I137" s="155">
        <v>11414</v>
      </c>
      <c r="J137" s="64">
        <v>22400</v>
      </c>
      <c r="K137" s="417"/>
      <c r="L137" s="428">
        <f>Tabela3[[#This Row],[VALOR
 EMPENHO]]-Tabela3[[#This Row],[ESTORNO]]</f>
        <v>22400</v>
      </c>
      <c r="M137" s="304">
        <f>SUMIFS('LIQUIDAÇÃO 2025'!K:K,'LIQUIDAÇÃO 2025'!B:B,Tabela3[[#This Row],[CÓDIGO
 EMPRESA ]],'LIQUIDAÇÃO 2025'!C:C,Tabela3[[#This Row],[EMPRESA]],'LIQUIDAÇÃO 2025'!F:F,Tabela3[[#This Row],[EMPENHO]])</f>
        <v>22400</v>
      </c>
      <c r="N137" s="245">
        <f t="shared" si="4"/>
        <v>0</v>
      </c>
    </row>
    <row r="138" spans="1:14">
      <c r="A138" s="478">
        <v>45798</v>
      </c>
      <c r="B138" s="48">
        <f>IFERROR(VLOOKUP(Tabela3[[#This Row],[RESERVA]],Tabela96[[RESERVA]:[PROJETO]],2,FALSE),"")</f>
        <v>32</v>
      </c>
      <c r="C138" s="48">
        <f>IFERROR(VLOOKUP(Tabela3[[#This Row],[RESERVA]],Tabela96[[RESERVA]:[PROJETO]],3,FALSE),"")</f>
        <v>3484</v>
      </c>
      <c r="D138" s="103">
        <f>IFERROR(VLOOKUP(Tabela3[[#This Row],[RESERVA]],Tabela96[[RESERVA]:[PROJETO]],4,FALSE),"")</f>
        <v>2128</v>
      </c>
      <c r="E138" s="103">
        <f>IFERROR(VLOOKUP(Tabela3[[#This Row],[RESERVA]],Tabela96[[RESERVA]:[PROJETO]],5,FALSE),"")</f>
        <v>314</v>
      </c>
      <c r="F138" s="36">
        <v>7051</v>
      </c>
      <c r="G138" s="36">
        <v>48442</v>
      </c>
      <c r="H138" s="969" t="s">
        <v>512</v>
      </c>
      <c r="I138" s="155">
        <v>11429</v>
      </c>
      <c r="J138" s="479">
        <v>2685</v>
      </c>
      <c r="K138" s="64"/>
      <c r="L138" s="428">
        <f>Tabela3[[#This Row],[VALOR
 EMPENHO]]-Tabela3[[#This Row],[ESTORNO]]</f>
        <v>2685</v>
      </c>
      <c r="M138" s="304">
        <f>SUMIFS('LIQUIDAÇÃO 2025'!K:K,'LIQUIDAÇÃO 2025'!B:B,Tabela3[[#This Row],[CÓDIGO
 EMPRESA ]],'LIQUIDAÇÃO 2025'!C:C,Tabela3[[#This Row],[EMPRESA]],'LIQUIDAÇÃO 2025'!F:F,Tabela3[[#This Row],[EMPENHO]])</f>
        <v>2685</v>
      </c>
      <c r="N138" s="245">
        <f t="shared" si="4"/>
        <v>0</v>
      </c>
    </row>
    <row r="139" spans="1:14">
      <c r="A139" s="478">
        <v>45798</v>
      </c>
      <c r="B139" s="48">
        <f>IFERROR(VLOOKUP(Tabela3[[#This Row],[RESERVA]],Tabela96[[RESERVA]:[PROJETO]],2,FALSE),"")</f>
        <v>32</v>
      </c>
      <c r="C139" s="48">
        <f>IFERROR(VLOOKUP(Tabela3[[#This Row],[RESERVA]],Tabela96[[RESERVA]:[PROJETO]],3,FALSE),"")</f>
        <v>3484</v>
      </c>
      <c r="D139" s="103">
        <f>IFERROR(VLOOKUP(Tabela3[[#This Row],[RESERVA]],Tabela96[[RESERVA]:[PROJETO]],4,FALSE),"")</f>
        <v>2128</v>
      </c>
      <c r="E139" s="103">
        <f>IFERROR(VLOOKUP(Tabela3[[#This Row],[RESERVA]],Tabela96[[RESERVA]:[PROJETO]],5,FALSE),"")</f>
        <v>314</v>
      </c>
      <c r="F139" s="36">
        <v>7051</v>
      </c>
      <c r="G139" s="36">
        <v>48442</v>
      </c>
      <c r="H139" s="963" t="s">
        <v>512</v>
      </c>
      <c r="I139" s="155">
        <v>11430</v>
      </c>
      <c r="J139" s="944">
        <v>10814.01</v>
      </c>
      <c r="K139" s="64"/>
      <c r="L139" s="428">
        <f>Tabela3[[#This Row],[VALOR
 EMPENHO]]-Tabela3[[#This Row],[ESTORNO]]</f>
        <v>10814.01</v>
      </c>
      <c r="M139" s="304">
        <f>SUMIFS('LIQUIDAÇÃO 2025'!K:K,'LIQUIDAÇÃO 2025'!B:B,Tabela3[[#This Row],[CÓDIGO
 EMPRESA ]],'LIQUIDAÇÃO 2025'!C:C,Tabela3[[#This Row],[EMPRESA]],'LIQUIDAÇÃO 2025'!F:F,Tabela3[[#This Row],[EMPENHO]])</f>
        <v>10814.01</v>
      </c>
      <c r="N139" s="245">
        <f t="shared" si="4"/>
        <v>0</v>
      </c>
    </row>
    <row r="140" spans="1:14">
      <c r="A140" s="478">
        <v>45798</v>
      </c>
      <c r="B140" s="48">
        <f>IFERROR(VLOOKUP(Tabela3[[#This Row],[RESERVA]],Tabela96[[RESERVA]:[PROJETO]],2,FALSE),"")</f>
        <v>30</v>
      </c>
      <c r="C140" s="48">
        <f>IFERROR(VLOOKUP(Tabela3[[#This Row],[RESERVA]],Tabela96[[RESERVA]:[PROJETO]],3,FALSE),"")</f>
        <v>3487</v>
      </c>
      <c r="D140" s="103">
        <f>IFERROR(VLOOKUP(Tabela3[[#This Row],[RESERVA]],Tabela96[[RESERVA]:[PROJETO]],4,FALSE),"")</f>
        <v>2124</v>
      </c>
      <c r="E140" s="103">
        <f>IFERROR(VLOOKUP(Tabela3[[#This Row],[RESERVA]],Tabela96[[RESERVA]:[PROJETO]],5,FALSE),"")</f>
        <v>25</v>
      </c>
      <c r="F140" s="36">
        <v>7053</v>
      </c>
      <c r="G140" s="36">
        <v>68004</v>
      </c>
      <c r="H140" s="965" t="s">
        <v>382</v>
      </c>
      <c r="I140" s="155">
        <v>11422</v>
      </c>
      <c r="J140" s="971">
        <v>5430.18</v>
      </c>
      <c r="K140" s="64"/>
      <c r="L140" s="428">
        <f>Tabela3[[#This Row],[VALOR
 EMPENHO]]-Tabela3[[#This Row],[ESTORNO]]</f>
        <v>5430.18</v>
      </c>
      <c r="M140" s="304">
        <f>SUMIFS('LIQUIDAÇÃO 2025'!K:K,'LIQUIDAÇÃO 2025'!B:B,Tabela3[[#This Row],[CÓDIGO
 EMPRESA ]],'LIQUIDAÇÃO 2025'!C:C,Tabela3[[#This Row],[EMPRESA]],'LIQUIDAÇÃO 2025'!F:F,Tabela3[[#This Row],[EMPENHO]])</f>
        <v>5430.18</v>
      </c>
      <c r="N140" s="245">
        <f t="shared" si="4"/>
        <v>0</v>
      </c>
    </row>
    <row r="141" spans="1:14">
      <c r="A141" s="478">
        <v>45798</v>
      </c>
      <c r="B141" s="48">
        <f>IFERROR(VLOOKUP(Tabela3[[#This Row],[RESERVA]],Tabela96[[RESERVA]:[PROJETO]],2,FALSE),"")</f>
        <v>30</v>
      </c>
      <c r="C141" s="48">
        <f>IFERROR(VLOOKUP(Tabela3[[#This Row],[RESERVA]],Tabela96[[RESERVA]:[PROJETO]],3,FALSE),"")</f>
        <v>3487</v>
      </c>
      <c r="D141" s="103">
        <f>IFERROR(VLOOKUP(Tabela3[[#This Row],[RESERVA]],Tabela96[[RESERVA]:[PROJETO]],4,FALSE),"")</f>
        <v>2124</v>
      </c>
      <c r="E141" s="103">
        <f>IFERROR(VLOOKUP(Tabela3[[#This Row],[RESERVA]],Tabela96[[RESERVA]:[PROJETO]],5,FALSE),"")</f>
        <v>25</v>
      </c>
      <c r="F141" s="36">
        <v>7053</v>
      </c>
      <c r="G141" s="36">
        <v>68004</v>
      </c>
      <c r="H141" s="942" t="s">
        <v>382</v>
      </c>
      <c r="I141" s="155">
        <v>11423</v>
      </c>
      <c r="J141" s="479">
        <v>5430.18</v>
      </c>
      <c r="K141" s="64"/>
      <c r="L141" s="428">
        <f>Tabela3[[#This Row],[VALOR
 EMPENHO]]-Tabela3[[#This Row],[ESTORNO]]</f>
        <v>5430.18</v>
      </c>
      <c r="M141" s="304">
        <f>SUMIFS('LIQUIDAÇÃO 2025'!K:K,'LIQUIDAÇÃO 2025'!B:B,Tabela3[[#This Row],[CÓDIGO
 EMPRESA ]],'LIQUIDAÇÃO 2025'!C:C,Tabela3[[#This Row],[EMPRESA]],'LIQUIDAÇÃO 2025'!F:F,Tabela3[[#This Row],[EMPENHO]])</f>
        <v>5430.18</v>
      </c>
      <c r="N141" s="245">
        <f t="shared" si="4"/>
        <v>0</v>
      </c>
    </row>
    <row r="142" spans="1:14">
      <c r="A142" s="478">
        <v>45798</v>
      </c>
      <c r="B142" s="48">
        <f>IFERROR(VLOOKUP(Tabela3[[#This Row],[RESERVA]],Tabela96[[RESERVA]:[PROJETO]],2,FALSE),"")</f>
        <v>30</v>
      </c>
      <c r="C142" s="48">
        <f>IFERROR(VLOOKUP(Tabela3[[#This Row],[RESERVA]],Tabela96[[RESERVA]:[PROJETO]],3,FALSE),"")</f>
        <v>3487</v>
      </c>
      <c r="D142" s="103">
        <f>IFERROR(VLOOKUP(Tabela3[[#This Row],[RESERVA]],Tabela96[[RESERVA]:[PROJETO]],4,FALSE),"")</f>
        <v>2124</v>
      </c>
      <c r="E142" s="103">
        <f>IFERROR(VLOOKUP(Tabela3[[#This Row],[RESERVA]],Tabela96[[RESERVA]:[PROJETO]],5,FALSE),"")</f>
        <v>25</v>
      </c>
      <c r="F142" s="36">
        <v>7053</v>
      </c>
      <c r="G142" s="36">
        <v>68004</v>
      </c>
      <c r="H142" s="942" t="s">
        <v>382</v>
      </c>
      <c r="I142" s="155">
        <v>11426</v>
      </c>
      <c r="J142" s="479">
        <v>10860.25</v>
      </c>
      <c r="K142" s="64"/>
      <c r="L142" s="428">
        <f>Tabela3[[#This Row],[VALOR
 EMPENHO]]-Tabela3[[#This Row],[ESTORNO]]</f>
        <v>10860.25</v>
      </c>
      <c r="M142" s="304">
        <f>SUMIFS('LIQUIDAÇÃO 2025'!K:K,'LIQUIDAÇÃO 2025'!B:B,Tabela3[[#This Row],[CÓDIGO
 EMPRESA ]],'LIQUIDAÇÃO 2025'!C:C,Tabela3[[#This Row],[EMPRESA]],'LIQUIDAÇÃO 2025'!F:F,Tabela3[[#This Row],[EMPENHO]])</f>
        <v>10860.25</v>
      </c>
      <c r="N142" s="245">
        <f t="shared" si="4"/>
        <v>0</v>
      </c>
    </row>
    <row r="143" spans="1:14" ht="15" customHeight="1">
      <c r="A143" s="500">
        <v>45800</v>
      </c>
      <c r="B143" s="510">
        <f>IFERROR(VLOOKUP(Tabela3[[#This Row],[RESERVA]],Tabela96[[RESERVA]:[PROJETO]],2,FALSE),"")</f>
        <v>30</v>
      </c>
      <c r="C143" s="511">
        <f>IFERROR(VLOOKUP(Tabela3[[#This Row],[RESERVA]],Tabela96[[RESERVA]:[PROJETO]],3,FALSE),"")</f>
        <v>2253</v>
      </c>
      <c r="D143" s="510">
        <f>IFERROR(VLOOKUP(Tabela3[[#This Row],[RESERVA]],Tabela96[[RESERVA]:[PROJETO]],4,FALSE),"")</f>
        <v>2124</v>
      </c>
      <c r="E143" s="510">
        <f>IFERROR(VLOOKUP(Tabela3[[#This Row],[RESERVA]],Tabela96[[RESERVA]:[PROJETO]],5,FALSE),"")</f>
        <v>25</v>
      </c>
      <c r="F143" s="501">
        <v>2645</v>
      </c>
      <c r="G143" s="501">
        <v>103747</v>
      </c>
      <c r="H143" s="503" t="s">
        <v>371</v>
      </c>
      <c r="I143" s="155">
        <v>11507</v>
      </c>
      <c r="J143" s="502">
        <v>1000000</v>
      </c>
      <c r="K143" s="417"/>
      <c r="L143" s="428">
        <f>Tabela3[[#This Row],[VALOR
 EMPENHO]]-Tabela3[[#This Row],[ESTORNO]]</f>
        <v>1000000</v>
      </c>
      <c r="M143" s="304">
        <f>SUMIFS('LIQUIDAÇÃO 2025'!K:K,'LIQUIDAÇÃO 2025'!B:B,Tabela3[[#This Row],[CÓDIGO
 EMPRESA ]],'LIQUIDAÇÃO 2025'!C:C,Tabela3[[#This Row],[EMPRESA]],'LIQUIDAÇÃO 2025'!F:F,Tabela3[[#This Row],[EMPENHO]])</f>
        <v>1000000</v>
      </c>
      <c r="N143" s="69">
        <f t="shared" si="4"/>
        <v>0</v>
      </c>
    </row>
    <row r="144" spans="1:14">
      <c r="A144" s="500">
        <v>45800</v>
      </c>
      <c r="B144" s="510">
        <f>IFERROR(VLOOKUP(Tabela3[[#This Row],[RESERVA]],Tabela96[[RESERVA]:[PROJETO]],2,FALSE),"")</f>
        <v>30</v>
      </c>
      <c r="C144" s="511">
        <f>IFERROR(VLOOKUP(Tabela3[[#This Row],[RESERVA]],Tabela96[[RESERVA]:[PROJETO]],3,FALSE),"")</f>
        <v>2253</v>
      </c>
      <c r="D144" s="510">
        <f>IFERROR(VLOOKUP(Tabela3[[#This Row],[RESERVA]],Tabela96[[RESERVA]:[PROJETO]],4,FALSE),"")</f>
        <v>2124</v>
      </c>
      <c r="E144" s="510">
        <f>IFERROR(VLOOKUP(Tabela3[[#This Row],[RESERVA]],Tabela96[[RESERVA]:[PROJETO]],5,FALSE),"")</f>
        <v>25</v>
      </c>
      <c r="F144" s="501">
        <v>2639</v>
      </c>
      <c r="G144" s="501">
        <v>73115</v>
      </c>
      <c r="H144" s="503" t="s">
        <v>29</v>
      </c>
      <c r="I144" s="155">
        <v>11477</v>
      </c>
      <c r="J144" s="502">
        <v>5935121.6799999997</v>
      </c>
      <c r="K144" s="417"/>
      <c r="L144" s="428">
        <f>Tabela3[[#This Row],[VALOR
 EMPENHO]]-Tabela3[[#This Row],[ESTORNO]]</f>
        <v>5935121.6799999997</v>
      </c>
      <c r="M144" s="304">
        <f>SUMIFS('LIQUIDAÇÃO 2025'!K:K,'LIQUIDAÇÃO 2025'!B:B,Tabela3[[#This Row],[CÓDIGO
 EMPRESA ]],'LIQUIDAÇÃO 2025'!C:C,Tabela3[[#This Row],[EMPRESA]],'LIQUIDAÇÃO 2025'!F:F,Tabela3[[#This Row],[EMPENHO]])</f>
        <v>5935121.6799999997</v>
      </c>
      <c r="N144" s="69">
        <f t="shared" si="4"/>
        <v>0</v>
      </c>
    </row>
    <row r="145" spans="1:14">
      <c r="A145" s="500">
        <v>45800</v>
      </c>
      <c r="B145" s="510">
        <f>IFERROR(VLOOKUP(Tabela3[[#This Row],[RESERVA]],Tabela96[[RESERVA]:[PROJETO]],2,FALSE),"")</f>
        <v>30</v>
      </c>
      <c r="C145" s="511">
        <f>IFERROR(VLOOKUP(Tabela3[[#This Row],[RESERVA]],Tabela96[[RESERVA]:[PROJETO]],3,FALSE),"")</f>
        <v>2253</v>
      </c>
      <c r="D145" s="510">
        <f>IFERROR(VLOOKUP(Tabela3[[#This Row],[RESERVA]],Tabela96[[RESERVA]:[PROJETO]],4,FALSE),"")</f>
        <v>2124</v>
      </c>
      <c r="E145" s="510">
        <f>IFERROR(VLOOKUP(Tabela3[[#This Row],[RESERVA]],Tabela96[[RESERVA]:[PROJETO]],5,FALSE),"")</f>
        <v>25</v>
      </c>
      <c r="F145" s="501">
        <v>3008</v>
      </c>
      <c r="G145" s="501">
        <v>119162</v>
      </c>
      <c r="H145" s="503" t="s">
        <v>373</v>
      </c>
      <c r="I145" s="155">
        <v>11481</v>
      </c>
      <c r="J145" s="502">
        <v>23603.29</v>
      </c>
      <c r="K145" s="502"/>
      <c r="L145" s="428">
        <f>Tabela3[[#This Row],[VALOR
 EMPENHO]]-Tabela3[[#This Row],[ESTORNO]]</f>
        <v>23603.29</v>
      </c>
      <c r="M145" s="304">
        <f>SUMIFS('LIQUIDAÇÃO 2025'!K:K,'LIQUIDAÇÃO 2025'!B:B,Tabela3[[#This Row],[CÓDIGO
 EMPRESA ]],'LIQUIDAÇÃO 2025'!C:C,Tabela3[[#This Row],[EMPRESA]],'LIQUIDAÇÃO 2025'!F:F,Tabela3[[#This Row],[EMPENHO]])</f>
        <v>2878.65</v>
      </c>
      <c r="N145" s="69">
        <f t="shared" si="4"/>
        <v>20724.64</v>
      </c>
    </row>
    <row r="146" spans="1:14">
      <c r="A146" s="500">
        <v>45800</v>
      </c>
      <c r="B146" s="512">
        <f>IFERROR(VLOOKUP(Tabela3[[#This Row],[RESERVA]],Tabela96[[RESERVA]:[PROJETO]],2,FALSE),"")</f>
        <v>30</v>
      </c>
      <c r="C146" s="48">
        <f>IFERROR(VLOOKUP(Tabela3[[#This Row],[RESERVA]],Tabela96[[RESERVA]:[PROJETO]],3,FALSE),"")</f>
        <v>2253</v>
      </c>
      <c r="D146" s="513">
        <f>IFERROR(VLOOKUP(Tabela3[[#This Row],[RESERVA]],Tabela96[[RESERVA]:[PROJETO]],4,FALSE),"")</f>
        <v>2124</v>
      </c>
      <c r="E146" s="513">
        <f>IFERROR(VLOOKUP(Tabela3[[#This Row],[RESERVA]],Tabela96[[RESERVA]:[PROJETO]],5,FALSE),"")</f>
        <v>25</v>
      </c>
      <c r="F146" s="501">
        <v>3001</v>
      </c>
      <c r="G146" s="501">
        <v>118229</v>
      </c>
      <c r="H146" s="967" t="s">
        <v>374</v>
      </c>
      <c r="I146" s="155">
        <v>11485</v>
      </c>
      <c r="J146" s="502">
        <v>38773.800000000003</v>
      </c>
      <c r="K146" s="417"/>
      <c r="L146" s="428">
        <f>Tabela3[[#This Row],[VALOR
 EMPENHO]]-Tabela3[[#This Row],[ESTORNO]]</f>
        <v>38773.800000000003</v>
      </c>
      <c r="M146" s="304">
        <f>SUMIFS('LIQUIDAÇÃO 2025'!K:K,'LIQUIDAÇÃO 2025'!B:B,Tabela3[[#This Row],[CÓDIGO
 EMPRESA ]],'LIQUIDAÇÃO 2025'!C:C,Tabela3[[#This Row],[EMPRESA]],'LIQUIDAÇÃO 2025'!F:F,Tabela3[[#This Row],[EMPENHO]])</f>
        <v>38773.800000000003</v>
      </c>
      <c r="N146" s="69">
        <f t="shared" si="4"/>
        <v>0</v>
      </c>
    </row>
    <row r="147" spans="1:14">
      <c r="A147" s="500">
        <v>45800</v>
      </c>
      <c r="B147" s="510">
        <f>IFERROR(VLOOKUP(Tabela3[[#This Row],[RESERVA]],Tabela96[[RESERVA]:[PROJETO]],2,FALSE),"")</f>
        <v>30</v>
      </c>
      <c r="C147" s="511">
        <f>IFERROR(VLOOKUP(Tabela3[[#This Row],[RESERVA]],Tabela96[[RESERVA]:[PROJETO]],3,FALSE),"")</f>
        <v>2253</v>
      </c>
      <c r="D147" s="510">
        <f>IFERROR(VLOOKUP(Tabela3[[#This Row],[RESERVA]],Tabela96[[RESERVA]:[PROJETO]],4,FALSE),"")</f>
        <v>2124</v>
      </c>
      <c r="E147" s="510">
        <f>IFERROR(VLOOKUP(Tabela3[[#This Row],[RESERVA]],Tabela96[[RESERVA]:[PROJETO]],5,FALSE),"")</f>
        <v>25</v>
      </c>
      <c r="F147" s="501">
        <v>2995</v>
      </c>
      <c r="G147" s="501">
        <v>118247</v>
      </c>
      <c r="H147" s="217" t="s">
        <v>375</v>
      </c>
      <c r="I147" s="155">
        <v>11494</v>
      </c>
      <c r="J147" s="502">
        <v>39184.800000000003</v>
      </c>
      <c r="K147" s="417"/>
      <c r="L147" s="428">
        <f>Tabela3[[#This Row],[VALOR
 EMPENHO]]-Tabela3[[#This Row],[ESTORNO]]</f>
        <v>39184.800000000003</v>
      </c>
      <c r="M147" s="304">
        <f>SUMIFS('LIQUIDAÇÃO 2025'!K:K,'LIQUIDAÇÃO 2025'!B:B,Tabela3[[#This Row],[CÓDIGO
 EMPRESA ]],'LIQUIDAÇÃO 2025'!C:C,Tabela3[[#This Row],[EMPRESA]],'LIQUIDAÇÃO 2025'!F:F,Tabela3[[#This Row],[EMPENHO]])</f>
        <v>39184.800000000003</v>
      </c>
      <c r="N147" s="69">
        <f t="shared" si="4"/>
        <v>0</v>
      </c>
    </row>
    <row r="148" spans="1:14">
      <c r="A148" s="824">
        <v>45800</v>
      </c>
      <c r="B148" s="627">
        <f>IFERROR(VLOOKUP(Tabela3[[#This Row],[RESERVA]],Tabela96[[RESERVA]:[PROJETO]],2,FALSE),"")</f>
        <v>30</v>
      </c>
      <c r="C148" s="628">
        <f>IFERROR(VLOOKUP(Tabela3[[#This Row],[RESERVA]],Tabela96[[RESERVA]:[PROJETO]],3,FALSE),"")</f>
        <v>2253</v>
      </c>
      <c r="D148" s="960">
        <f>IFERROR(VLOOKUP(Tabela3[[#This Row],[RESERVA]],Tabela96[[RESERVA]:[PROJETO]],4,FALSE),"")</f>
        <v>2124</v>
      </c>
      <c r="E148" s="960">
        <f>IFERROR(VLOOKUP(Tabela3[[#This Row],[RESERVA]],Tabela96[[RESERVA]:[PROJETO]],5,FALSE),"")</f>
        <v>25</v>
      </c>
      <c r="F148" s="825">
        <v>3007</v>
      </c>
      <c r="G148" s="825">
        <v>119151</v>
      </c>
      <c r="H148" s="970" t="s">
        <v>366</v>
      </c>
      <c r="I148" s="155">
        <v>11483</v>
      </c>
      <c r="J148" s="826">
        <v>23603.3</v>
      </c>
      <c r="K148" s="826"/>
      <c r="L148" s="428">
        <f>Tabela3[[#This Row],[VALOR
 EMPENHO]]-Tabela3[[#This Row],[ESTORNO]]</f>
        <v>23603.3</v>
      </c>
      <c r="M148" s="304">
        <f>SUMIFS('LIQUIDAÇÃO 2025'!K:K,'LIQUIDAÇÃO 2025'!B:B,Tabela3[[#This Row],[CÓDIGO
 EMPRESA ]],'LIQUIDAÇÃO 2025'!C:C,Tabela3[[#This Row],[EMPRESA]],'LIQUIDAÇÃO 2025'!F:F,Tabela3[[#This Row],[EMPENHO]])</f>
        <v>23603.3</v>
      </c>
      <c r="N148" s="974">
        <f t="shared" si="4"/>
        <v>0</v>
      </c>
    </row>
    <row r="149" spans="1:14">
      <c r="A149" s="500">
        <v>45800</v>
      </c>
      <c r="B149" s="510">
        <f>IFERROR(VLOOKUP(Tabela3[[#This Row],[RESERVA]],Tabela96[[RESERVA]:[PROJETO]],2,FALSE),"")</f>
        <v>30</v>
      </c>
      <c r="C149" s="511">
        <f>IFERROR(VLOOKUP(Tabela3[[#This Row],[RESERVA]],Tabela96[[RESERVA]:[PROJETO]],3,FALSE),"")</f>
        <v>2253</v>
      </c>
      <c r="D149" s="510">
        <f>IFERROR(VLOOKUP(Tabela3[[#This Row],[RESERVA]],Tabela96[[RESERVA]:[PROJETO]],4,FALSE),"")</f>
        <v>2124</v>
      </c>
      <c r="E149" s="510">
        <f>IFERROR(VLOOKUP(Tabela3[[#This Row],[RESERVA]],Tabela96[[RESERVA]:[PROJETO]],5,FALSE),"")</f>
        <v>25</v>
      </c>
      <c r="F149" s="501">
        <v>3000</v>
      </c>
      <c r="G149" s="501">
        <v>119152</v>
      </c>
      <c r="H149" s="836" t="s">
        <v>376</v>
      </c>
      <c r="I149" s="155">
        <v>11488</v>
      </c>
      <c r="J149" s="502">
        <v>23603.3</v>
      </c>
      <c r="K149" s="417"/>
      <c r="L149" s="428">
        <f>Tabela3[[#This Row],[VALOR
 EMPENHO]]-Tabela3[[#This Row],[ESTORNO]]</f>
        <v>23603.3</v>
      </c>
      <c r="M149" s="304">
        <f>SUMIFS('LIQUIDAÇÃO 2025'!K:K,'LIQUIDAÇÃO 2025'!B:B,Tabela3[[#This Row],[CÓDIGO
 EMPRESA ]],'LIQUIDAÇÃO 2025'!C:C,Tabela3[[#This Row],[EMPRESA]],'LIQUIDAÇÃO 2025'!F:F,Tabela3[[#This Row],[EMPENHO]])</f>
        <v>23603.3</v>
      </c>
      <c r="N149" s="69">
        <f t="shared" si="4"/>
        <v>0</v>
      </c>
    </row>
    <row r="150" spans="1:14">
      <c r="A150" s="500">
        <v>45800</v>
      </c>
      <c r="B150" s="510">
        <f>IFERROR(VLOOKUP(Tabela3[[#This Row],[RESERVA]],Tabela96[[RESERVA]:[PROJETO]],2,FALSE),"")</f>
        <v>30</v>
      </c>
      <c r="C150" s="511">
        <f>IFERROR(VLOOKUP(Tabela3[[#This Row],[RESERVA]],Tabela96[[RESERVA]:[PROJETO]],3,FALSE),"")</f>
        <v>2253</v>
      </c>
      <c r="D150" s="510">
        <f>IFERROR(VLOOKUP(Tabela3[[#This Row],[RESERVA]],Tabela96[[RESERVA]:[PROJETO]],4,FALSE),"")</f>
        <v>2124</v>
      </c>
      <c r="E150" s="510">
        <f>IFERROR(VLOOKUP(Tabela3[[#This Row],[RESERVA]],Tabela96[[RESERVA]:[PROJETO]],5,FALSE),"")</f>
        <v>25</v>
      </c>
      <c r="F150" s="501">
        <v>3003</v>
      </c>
      <c r="G150" s="501">
        <v>119166</v>
      </c>
      <c r="H150" s="104" t="s">
        <v>363</v>
      </c>
      <c r="I150" s="155">
        <v>11490</v>
      </c>
      <c r="J150" s="502">
        <v>23603.3</v>
      </c>
      <c r="K150" s="417"/>
      <c r="L150" s="428">
        <f>Tabela3[[#This Row],[VALOR
 EMPENHO]]-Tabela3[[#This Row],[ESTORNO]]</f>
        <v>23603.3</v>
      </c>
      <c r="M150" s="304">
        <f>SUMIFS('LIQUIDAÇÃO 2025'!K:K,'LIQUIDAÇÃO 2025'!B:B,Tabela3[[#This Row],[CÓDIGO
 EMPRESA ]],'LIQUIDAÇÃO 2025'!C:C,Tabela3[[#This Row],[EMPRESA]],'LIQUIDAÇÃO 2025'!F:F,Tabela3[[#This Row],[EMPENHO]])</f>
        <v>23603.3</v>
      </c>
      <c r="N150" s="69">
        <f t="shared" si="4"/>
        <v>0</v>
      </c>
    </row>
    <row r="151" spans="1:14">
      <c r="A151" s="500">
        <v>45800</v>
      </c>
      <c r="B151" s="510">
        <f>IFERROR(VLOOKUP(Tabela3[[#This Row],[RESERVA]],Tabela96[[RESERVA]:[PROJETO]],2,FALSE),"")</f>
        <v>30</v>
      </c>
      <c r="C151" s="511">
        <f>IFERROR(VLOOKUP(Tabela3[[#This Row],[RESERVA]],Tabela96[[RESERVA]:[PROJETO]],3,FALSE),"")</f>
        <v>2253</v>
      </c>
      <c r="D151" s="510">
        <f>IFERROR(VLOOKUP(Tabela3[[#This Row],[RESERVA]],Tabela96[[RESERVA]:[PROJETO]],4,FALSE),"")</f>
        <v>2124</v>
      </c>
      <c r="E151" s="510">
        <f>IFERROR(VLOOKUP(Tabela3[[#This Row],[RESERVA]],Tabela96[[RESERVA]:[PROJETO]],5,FALSE),"")</f>
        <v>25</v>
      </c>
      <c r="F151" s="501">
        <v>2998</v>
      </c>
      <c r="G151" s="501">
        <v>112466</v>
      </c>
      <c r="H151" s="836" t="s">
        <v>377</v>
      </c>
      <c r="I151" s="155">
        <v>11491</v>
      </c>
      <c r="J151" s="502">
        <v>23603.3</v>
      </c>
      <c r="K151" s="417"/>
      <c r="L151" s="428">
        <f>Tabela3[[#This Row],[VALOR
 EMPENHO]]-Tabela3[[#This Row],[ESTORNO]]</f>
        <v>23603.3</v>
      </c>
      <c r="M151" s="304">
        <f>SUMIFS('LIQUIDAÇÃO 2025'!K:K,'LIQUIDAÇÃO 2025'!B:B,Tabela3[[#This Row],[CÓDIGO
 EMPRESA ]],'LIQUIDAÇÃO 2025'!C:C,Tabela3[[#This Row],[EMPRESA]],'LIQUIDAÇÃO 2025'!F:F,Tabela3[[#This Row],[EMPENHO]])</f>
        <v>23603.3</v>
      </c>
      <c r="N151" s="69">
        <f t="shared" si="4"/>
        <v>0</v>
      </c>
    </row>
    <row r="152" spans="1:14">
      <c r="A152" s="500">
        <v>45800</v>
      </c>
      <c r="B152" s="510">
        <f>IFERROR(VLOOKUP(Tabela3[[#This Row],[RESERVA]],Tabela96[[RESERVA]:[PROJETO]],2,FALSE),"")</f>
        <v>30</v>
      </c>
      <c r="C152" s="511">
        <f>IFERROR(VLOOKUP(Tabela3[[#This Row],[RESERVA]],Tabela96[[RESERVA]:[PROJETO]],3,FALSE),"")</f>
        <v>2253</v>
      </c>
      <c r="D152" s="510">
        <f>IFERROR(VLOOKUP(Tabela3[[#This Row],[RESERVA]],Tabela96[[RESERVA]:[PROJETO]],4,FALSE),"")</f>
        <v>2124</v>
      </c>
      <c r="E152" s="510">
        <f>IFERROR(VLOOKUP(Tabela3[[#This Row],[RESERVA]],Tabela96[[RESERVA]:[PROJETO]],5,FALSE),"")</f>
        <v>25</v>
      </c>
      <c r="F152" s="501">
        <v>3005</v>
      </c>
      <c r="G152" s="501">
        <v>118253</v>
      </c>
      <c r="H152" s="217" t="s">
        <v>378</v>
      </c>
      <c r="I152" s="155">
        <v>11493</v>
      </c>
      <c r="J152" s="502">
        <v>37630.800000000003</v>
      </c>
      <c r="K152" s="417"/>
      <c r="L152" s="428">
        <f>Tabela3[[#This Row],[VALOR
 EMPENHO]]-Tabela3[[#This Row],[ESTORNO]]</f>
        <v>37630.800000000003</v>
      </c>
      <c r="M152" s="304">
        <f>SUMIFS('LIQUIDAÇÃO 2025'!K:K,'LIQUIDAÇÃO 2025'!B:B,Tabela3[[#This Row],[CÓDIGO
 EMPRESA ]],'LIQUIDAÇÃO 2025'!C:C,Tabela3[[#This Row],[EMPRESA]],'LIQUIDAÇÃO 2025'!F:F,Tabela3[[#This Row],[EMPENHO]])</f>
        <v>0</v>
      </c>
      <c r="N152" s="69">
        <f t="shared" si="4"/>
        <v>37630.800000000003</v>
      </c>
    </row>
    <row r="153" spans="1:14">
      <c r="A153" s="478">
        <v>45800</v>
      </c>
      <c r="B153" s="512">
        <f>IFERROR(VLOOKUP(Tabela3[[#This Row],[RESERVA]],Tabela96[[RESERVA]:[PROJETO]],2,FALSE),"")</f>
        <v>30</v>
      </c>
      <c r="C153" s="48">
        <f>IFERROR(VLOOKUP(Tabela3[[#This Row],[RESERVA]],Tabela96[[RESERVA]:[PROJETO]],3,FALSE),"")</f>
        <v>2253</v>
      </c>
      <c r="D153" s="513">
        <f>IFERROR(VLOOKUP(Tabela3[[#This Row],[RESERVA]],Tabela96[[RESERVA]:[PROJETO]],4,FALSE),"")</f>
        <v>2124</v>
      </c>
      <c r="E153" s="513">
        <f>IFERROR(VLOOKUP(Tabela3[[#This Row],[RESERVA]],Tabela96[[RESERVA]:[PROJETO]],5,FALSE),"")</f>
        <v>25</v>
      </c>
      <c r="F153" s="36">
        <v>2996</v>
      </c>
      <c r="G153" s="961" t="s">
        <v>514</v>
      </c>
      <c r="H153" s="964" t="s">
        <v>314</v>
      </c>
      <c r="I153" s="155">
        <v>11487</v>
      </c>
      <c r="J153" s="479">
        <v>23603.3</v>
      </c>
      <c r="K153" s="64"/>
      <c r="L153" s="428">
        <f>Tabela3[[#This Row],[VALOR
 EMPENHO]]-Tabela3[[#This Row],[ESTORNO]]</f>
        <v>23603.3</v>
      </c>
      <c r="M153" s="304">
        <f>SUMIFS('LIQUIDAÇÃO 2025'!K:K,'LIQUIDAÇÃO 2025'!B:B,Tabela3[[#This Row],[CÓDIGO
 EMPRESA ]],'LIQUIDAÇÃO 2025'!C:C,Tabela3[[#This Row],[EMPRESA]],'LIQUIDAÇÃO 2025'!F:F,Tabela3[[#This Row],[EMPENHO]])</f>
        <v>23603.3</v>
      </c>
      <c r="N153" s="69">
        <f t="shared" si="4"/>
        <v>0</v>
      </c>
    </row>
    <row r="154" spans="1:14">
      <c r="A154" s="500">
        <v>45800</v>
      </c>
      <c r="B154" s="510">
        <f>IFERROR(VLOOKUP(Tabela3[[#This Row],[RESERVA]],Tabela96[[RESERVA]:[PROJETO]],2,FALSE),"")</f>
        <v>30</v>
      </c>
      <c r="C154" s="511">
        <f>IFERROR(VLOOKUP(Tabela3[[#This Row],[RESERVA]],Tabela96[[RESERVA]:[PROJETO]],3,FALSE),"")</f>
        <v>2253</v>
      </c>
      <c r="D154" s="510">
        <f>IFERROR(VLOOKUP(Tabela3[[#This Row],[RESERVA]],Tabela96[[RESERVA]:[PROJETO]],4,FALSE),"")</f>
        <v>2124</v>
      </c>
      <c r="E154" s="510">
        <f>IFERROR(VLOOKUP(Tabela3[[#This Row],[RESERVA]],Tabela96[[RESERVA]:[PROJETO]],5,FALSE),"")</f>
        <v>25</v>
      </c>
      <c r="F154" s="501">
        <v>3002</v>
      </c>
      <c r="G154" s="501">
        <v>60979</v>
      </c>
      <c r="H154" s="503" t="s">
        <v>122</v>
      </c>
      <c r="I154" s="155">
        <v>11474</v>
      </c>
      <c r="J154" s="502">
        <v>300000</v>
      </c>
      <c r="K154" s="417"/>
      <c r="L154" s="428">
        <f>Tabela3[[#This Row],[VALOR
 EMPENHO]]-Tabela3[[#This Row],[ESTORNO]]</f>
        <v>300000</v>
      </c>
      <c r="M154" s="304">
        <f>SUMIFS('LIQUIDAÇÃO 2025'!K:K,'LIQUIDAÇÃO 2025'!B:B,Tabela3[[#This Row],[CÓDIGO
 EMPRESA ]],'LIQUIDAÇÃO 2025'!C:C,Tabela3[[#This Row],[EMPRESA]],'LIQUIDAÇÃO 2025'!F:F,Tabela3[[#This Row],[EMPENHO]])</f>
        <v>300000</v>
      </c>
      <c r="N154" s="69">
        <f t="shared" si="4"/>
        <v>0</v>
      </c>
    </row>
    <row r="155" spans="1:14">
      <c r="A155" s="500">
        <v>45805</v>
      </c>
      <c r="B155" s="510">
        <f>IFERROR(VLOOKUP(Tabela3[[#This Row],[RESERVA]],Tabela96[[RESERVA]:[PROJETO]],2,FALSE),"")</f>
        <v>30</v>
      </c>
      <c r="C155" s="511">
        <f>IFERROR(VLOOKUP(Tabela3[[#This Row],[RESERVA]],Tabela96[[RESERVA]:[PROJETO]],3,FALSE),"")</f>
        <v>2261</v>
      </c>
      <c r="D155" s="510">
        <f>IFERROR(VLOOKUP(Tabela3[[#This Row],[RESERVA]],Tabela96[[RESERVA]:[PROJETO]],4,FALSE),"")</f>
        <v>2126</v>
      </c>
      <c r="E155" s="510">
        <f>IFERROR(VLOOKUP(Tabela3[[#This Row],[RESERVA]],Tabela96[[RESERVA]:[PROJETO]],5,FALSE),"")</f>
        <v>104</v>
      </c>
      <c r="F155" s="501">
        <v>5699</v>
      </c>
      <c r="G155" s="501">
        <v>67538</v>
      </c>
      <c r="H155" s="503" t="s">
        <v>325</v>
      </c>
      <c r="I155" s="155">
        <v>11819</v>
      </c>
      <c r="J155" s="502">
        <v>12281.28</v>
      </c>
      <c r="K155" s="788"/>
      <c r="L155" s="428">
        <f>Tabela3[[#This Row],[VALOR
 EMPENHO]]-Tabela3[[#This Row],[ESTORNO]]</f>
        <v>12281.28</v>
      </c>
      <c r="M155" s="304">
        <f>SUMIFS('LIQUIDAÇÃO 2025'!K:K,'LIQUIDAÇÃO 2025'!B:B,Tabela3[[#This Row],[CÓDIGO
 EMPRESA ]],'LIQUIDAÇÃO 2025'!C:C,Tabela3[[#This Row],[EMPRESA]],'LIQUIDAÇÃO 2025'!F:F,Tabela3[[#This Row],[EMPENHO]])</f>
        <v>12281.28</v>
      </c>
      <c r="N155" s="245">
        <f t="shared" si="4"/>
        <v>0</v>
      </c>
    </row>
    <row r="156" spans="1:14">
      <c r="A156" s="500">
        <v>45807</v>
      </c>
      <c r="B156" s="510">
        <f>IFERROR(VLOOKUP(Tabela3[[#This Row],[RESERVA]],Tabela96[[RESERVA]:[PROJETO]],2,FALSE),"")</f>
        <v>30</v>
      </c>
      <c r="C156" s="511">
        <f>IFERROR(VLOOKUP(Tabela3[[#This Row],[RESERVA]],Tabela96[[RESERVA]:[PROJETO]],3,FALSE),"")</f>
        <v>2253</v>
      </c>
      <c r="D156" s="510">
        <f>IFERROR(VLOOKUP(Tabela3[[#This Row],[RESERVA]],Tabela96[[RESERVA]:[PROJETO]],4,FALSE),"")</f>
        <v>2124</v>
      </c>
      <c r="E156" s="510">
        <f>IFERROR(VLOOKUP(Tabela3[[#This Row],[RESERVA]],Tabela96[[RESERVA]:[PROJETO]],5,FALSE),"")</f>
        <v>25</v>
      </c>
      <c r="F156" s="501">
        <v>7254</v>
      </c>
      <c r="G156" s="501">
        <v>73115</v>
      </c>
      <c r="H156" s="217" t="s">
        <v>29</v>
      </c>
      <c r="I156" s="155">
        <v>11869</v>
      </c>
      <c r="J156" s="502">
        <v>4800000</v>
      </c>
      <c r="K156" s="788"/>
      <c r="L156" s="428">
        <f>Tabela3[[#This Row],[VALOR
 EMPENHO]]-Tabela3[[#This Row],[ESTORNO]]</f>
        <v>4800000</v>
      </c>
      <c r="M156" s="304">
        <f>SUMIFS('LIQUIDAÇÃO 2025'!K:K,'LIQUIDAÇÃO 2025'!B:B,Tabela3[[#This Row],[CÓDIGO
 EMPRESA ]],'LIQUIDAÇÃO 2025'!C:C,Tabela3[[#This Row],[EMPRESA]],'LIQUIDAÇÃO 2025'!F:F,Tabela3[[#This Row],[EMPENHO]])</f>
        <v>4800000</v>
      </c>
      <c r="N156" s="69">
        <f t="shared" si="4"/>
        <v>0</v>
      </c>
    </row>
    <row r="157" spans="1:14">
      <c r="A157" s="534">
        <v>45811</v>
      </c>
      <c r="B157" s="512">
        <f>IFERROR(VLOOKUP(Tabela3[[#This Row],[RESERVA]],Tabela96[[RESERVA]:[PROJETO]],2,FALSE),"")</f>
        <v>29</v>
      </c>
      <c r="C157" s="536">
        <f>IFERROR(VLOOKUP(Tabela3[[#This Row],[RESERVA]],Tabela96[[RESERVA]:[PROJETO]],3,FALSE),"")</f>
        <v>2248</v>
      </c>
      <c r="D157" s="535">
        <f>IFERROR(VLOOKUP(Tabela3[[#This Row],[RESERVA]],Tabela96[[RESERVA]:[PROJETO]],4,FALSE),"")</f>
        <v>2123</v>
      </c>
      <c r="E157" s="535">
        <f>IFERROR(VLOOKUP(Tabela3[[#This Row],[RESERVA]],Tabela96[[RESERVA]:[PROJETO]],5,FALSE),"")</f>
        <v>69</v>
      </c>
      <c r="F157" s="537">
        <v>7392</v>
      </c>
      <c r="G157" s="537">
        <v>73402</v>
      </c>
      <c r="H157" s="217" t="s">
        <v>295</v>
      </c>
      <c r="I157" s="155">
        <v>12190</v>
      </c>
      <c r="J157" s="538">
        <v>193965</v>
      </c>
      <c r="K157" s="417">
        <v>142884.96</v>
      </c>
      <c r="L157" s="428">
        <f>Tabela3[[#This Row],[VALOR
 EMPENHO]]-Tabela3[[#This Row],[ESTORNO]]</f>
        <v>51080.04</v>
      </c>
      <c r="M157" s="304">
        <f>SUMIFS('LIQUIDAÇÃO 2025'!K:K,'LIQUIDAÇÃO 2025'!B:B,Tabela3[[#This Row],[CÓDIGO
 EMPRESA ]],'LIQUIDAÇÃO 2025'!C:C,Tabela3[[#This Row],[EMPRESA]],'LIQUIDAÇÃO 2025'!F:F,Tabela3[[#This Row],[EMPENHO]])</f>
        <v>51080.04</v>
      </c>
      <c r="N157" s="69">
        <f t="shared" ref="N157:N188" si="5">L157-M157</f>
        <v>0</v>
      </c>
    </row>
    <row r="158" spans="1:14">
      <c r="A158" s="500">
        <v>45813</v>
      </c>
      <c r="B158" s="510">
        <f>IFERROR(VLOOKUP(Tabela3[[#This Row],[RESERVA]],Tabela96[[RESERVA]:[PROJETO]],2,FALSE),"")</f>
        <v>78</v>
      </c>
      <c r="C158" s="511">
        <f>IFERROR(VLOOKUP(Tabela3[[#This Row],[RESERVA]],Tabela96[[RESERVA]:[PROJETO]],3,FALSE),"")</f>
        <v>2755</v>
      </c>
      <c r="D158" s="510">
        <f>IFERROR(VLOOKUP(Tabela3[[#This Row],[RESERVA]],Tabela96[[RESERVA]:[PROJETO]],4,FALSE),"")</f>
        <v>1061</v>
      </c>
      <c r="E158" s="510">
        <f>IFERROR(VLOOKUP(Tabela3[[#This Row],[RESERVA]],Tabela96[[RESERVA]:[PROJETO]],5,FALSE),"")</f>
        <v>262</v>
      </c>
      <c r="F158" s="501">
        <v>7528</v>
      </c>
      <c r="G158" s="501">
        <v>739</v>
      </c>
      <c r="H158" s="217" t="s">
        <v>516</v>
      </c>
      <c r="I158" s="155">
        <v>12288</v>
      </c>
      <c r="J158" s="502">
        <v>97600</v>
      </c>
      <c r="K158" s="789"/>
      <c r="L158" s="428">
        <f>Tabela3[[#This Row],[VALOR
 EMPENHO]]-Tabela3[[#This Row],[ESTORNO]]</f>
        <v>97600</v>
      </c>
      <c r="M158" s="304">
        <f>SUMIFS('LIQUIDAÇÃO 2025'!K:K,'LIQUIDAÇÃO 2025'!B:B,Tabela3[[#This Row],[CÓDIGO
 EMPRESA ]],'LIQUIDAÇÃO 2025'!C:C,Tabela3[[#This Row],[EMPRESA]],'LIQUIDAÇÃO 2025'!F:F,Tabela3[[#This Row],[EMPENHO]])</f>
        <v>23730</v>
      </c>
      <c r="N158" s="245">
        <f t="shared" si="5"/>
        <v>73870</v>
      </c>
    </row>
    <row r="159" spans="1:14">
      <c r="A159" s="500">
        <v>45817</v>
      </c>
      <c r="B159" s="510">
        <f>IFERROR(VLOOKUP(Tabela3[[#This Row],[RESERVA]],Tabela96[[RESERVA]:[PROJETO]],2,FALSE),"")</f>
        <v>30</v>
      </c>
      <c r="C159" s="511">
        <f>IFERROR(VLOOKUP(Tabela3[[#This Row],[RESERVA]],Tabela96[[RESERVA]:[PROJETO]],3,FALSE),"")</f>
        <v>2253</v>
      </c>
      <c r="D159" s="510">
        <f>IFERROR(VLOOKUP(Tabela3[[#This Row],[RESERVA]],Tabela96[[RESERVA]:[PROJETO]],4,FALSE),"")</f>
        <v>2124</v>
      </c>
      <c r="E159" s="510">
        <f>IFERROR(VLOOKUP(Tabela3[[#This Row],[RESERVA]],Tabela96[[RESERVA]:[PROJETO]],5,FALSE),"")</f>
        <v>25</v>
      </c>
      <c r="F159" s="501">
        <v>8516</v>
      </c>
      <c r="G159" s="501">
        <v>73112</v>
      </c>
      <c r="H159" s="217" t="s">
        <v>685</v>
      </c>
      <c r="I159" s="155">
        <v>12613</v>
      </c>
      <c r="J159" s="502">
        <v>18000000</v>
      </c>
      <c r="K159" s="417">
        <v>2118445.87</v>
      </c>
      <c r="L159" s="428">
        <f>Tabela3[[#This Row],[VALOR
 EMPENHO]]-Tabela3[[#This Row],[ESTORNO]]</f>
        <v>15881554.130000001</v>
      </c>
      <c r="M159" s="304">
        <f>SUMIFS('LIQUIDAÇÃO 2025'!K:K,'LIQUIDAÇÃO 2025'!B:B,Tabela3[[#This Row],[CÓDIGO
 EMPRESA ]],'LIQUIDAÇÃO 2025'!C:C,Tabela3[[#This Row],[EMPRESA]],'LIQUIDAÇÃO 2025'!F:F,Tabela3[[#This Row],[EMPENHO]])</f>
        <v>15881554.130000001</v>
      </c>
      <c r="N159" s="69">
        <f t="shared" si="5"/>
        <v>0</v>
      </c>
    </row>
    <row r="160" spans="1:14">
      <c r="A160" s="152">
        <v>45818</v>
      </c>
      <c r="B160" s="510">
        <f>IFERROR(VLOOKUP(Tabela3[[#This Row],[RESERVA]],Tabela96[[RESERVA]:[PROJETO]],2,FALSE),"")</f>
        <v>30</v>
      </c>
      <c r="C160" s="511">
        <f>IFERROR(VLOOKUP(Tabela3[[#This Row],[RESERVA]],Tabela96[[RESERVA]:[PROJETO]],3,FALSE),"")</f>
        <v>2253</v>
      </c>
      <c r="D160" s="510">
        <f>IFERROR(VLOOKUP(Tabela3[[#This Row],[RESERVA]],Tabela96[[RESERVA]:[PROJETO]],4,FALSE),"")</f>
        <v>2124</v>
      </c>
      <c r="E160" s="510">
        <f>IFERROR(VLOOKUP(Tabela3[[#This Row],[RESERVA]],Tabela96[[RESERVA]:[PROJETO]],5,FALSE),"")</f>
        <v>25</v>
      </c>
      <c r="F160" s="501">
        <v>8517</v>
      </c>
      <c r="G160" s="501">
        <v>76116</v>
      </c>
      <c r="H160" s="217" t="s">
        <v>120</v>
      </c>
      <c r="I160" s="155">
        <v>12676</v>
      </c>
      <c r="J160" s="502">
        <v>555940.15</v>
      </c>
      <c r="K160" s="973">
        <v>150040.15</v>
      </c>
      <c r="L160" s="428">
        <f>Tabela3[[#This Row],[VALOR
 EMPENHO]]-Tabela3[[#This Row],[ESTORNO]]</f>
        <v>405900</v>
      </c>
      <c r="M160" s="304">
        <f>SUMIFS('LIQUIDAÇÃO 2025'!K:K,'LIQUIDAÇÃO 2025'!B:B,Tabela3[[#This Row],[CÓDIGO
 EMPRESA ]],'LIQUIDAÇÃO 2025'!C:C,Tabela3[[#This Row],[EMPRESA]],'LIQUIDAÇÃO 2025'!F:F,Tabela3[[#This Row],[EMPENHO]])</f>
        <v>193636.33</v>
      </c>
      <c r="N160" s="69">
        <f t="shared" si="5"/>
        <v>212263.67</v>
      </c>
    </row>
    <row r="161" spans="1:14">
      <c r="A161" s="500">
        <v>45818</v>
      </c>
      <c r="B161" s="510">
        <f>IFERROR(VLOOKUP(Tabela3[[#This Row],[RESERVA]],Tabela96[[RESERVA]:[PROJETO]],2,FALSE),"")</f>
        <v>29</v>
      </c>
      <c r="C161" s="511">
        <f>IFERROR(VLOOKUP(Tabela3[[#This Row],[RESERVA]],Tabela96[[RESERVA]:[PROJETO]],3,FALSE),"")</f>
        <v>2248</v>
      </c>
      <c r="D161" s="510">
        <f>IFERROR(VLOOKUP(Tabela3[[#This Row],[RESERVA]],Tabela96[[RESERVA]:[PROJETO]],4,FALSE),"")</f>
        <v>2123</v>
      </c>
      <c r="E161" s="513">
        <f>IFERROR(VLOOKUP(Tabela3[[#This Row],[RESERVA]],Tabela96[[RESERVA]:[PROJETO]],5,FALSE),"")</f>
        <v>69</v>
      </c>
      <c r="F161" s="501">
        <v>8518</v>
      </c>
      <c r="G161" s="501">
        <v>41807</v>
      </c>
      <c r="H161" s="964" t="s">
        <v>370</v>
      </c>
      <c r="I161" s="155">
        <v>12759</v>
      </c>
      <c r="J161" s="502">
        <v>130600</v>
      </c>
      <c r="K161" s="417"/>
      <c r="L161" s="428">
        <f>Tabela3[[#This Row],[VALOR
 EMPENHO]]-Tabela3[[#This Row],[ESTORNO]]</f>
        <v>130600</v>
      </c>
      <c r="M161" s="304">
        <f>SUMIFS('LIQUIDAÇÃO 2025'!K:K,'LIQUIDAÇÃO 2025'!B:B,Tabela3[[#This Row],[CÓDIGO
 EMPRESA ]],'LIQUIDAÇÃO 2025'!C:C,Tabela3[[#This Row],[EMPRESA]],'LIQUIDAÇÃO 2025'!F:F,Tabela3[[#This Row],[EMPENHO]])</f>
        <v>125800</v>
      </c>
      <c r="N161" s="69">
        <f t="shared" si="5"/>
        <v>4800</v>
      </c>
    </row>
    <row r="162" spans="1:14">
      <c r="A162" s="553">
        <v>45818</v>
      </c>
      <c r="B162" s="554">
        <f>IFERROR(VLOOKUP(Tabela3[[#This Row],[RESERVA]],Tabela96[[RESERVA]:[PROJETO]],2,FALSE),"")</f>
        <v>32</v>
      </c>
      <c r="C162" s="555">
        <f>IFERROR(VLOOKUP(Tabela3[[#This Row],[RESERVA]],Tabela96[[RESERVA]:[PROJETO]],3,FALSE),"")</f>
        <v>2226</v>
      </c>
      <c r="D162" s="554">
        <f>IFERROR(VLOOKUP(Tabela3[[#This Row],[RESERVA]],Tabela96[[RESERVA]:[PROJETO]],4,FALSE),"")</f>
        <v>2128</v>
      </c>
      <c r="E162" s="554">
        <f>IFERROR(VLOOKUP(Tabela3[[#This Row],[RESERVA]],Tabela96[[RESERVA]:[PROJETO]],5,FALSE),"")</f>
        <v>50</v>
      </c>
      <c r="F162" s="556">
        <v>2635</v>
      </c>
      <c r="G162" s="556">
        <v>124054</v>
      </c>
      <c r="H162" s="217" t="s">
        <v>530</v>
      </c>
      <c r="I162" s="155">
        <v>12718</v>
      </c>
      <c r="J162" s="557">
        <v>8977.5</v>
      </c>
      <c r="K162" s="788"/>
      <c r="L162" s="428">
        <f>Tabela3[[#This Row],[VALOR
 EMPENHO]]-Tabela3[[#This Row],[ESTORNO]]</f>
        <v>8977.5</v>
      </c>
      <c r="M162" s="304">
        <f>SUMIFS('LIQUIDAÇÃO 2025'!K:K,'LIQUIDAÇÃO 2025'!B:B,Tabela3[[#This Row],[CÓDIGO
 EMPRESA ]],'LIQUIDAÇÃO 2025'!C:C,Tabela3[[#This Row],[EMPRESA]],'LIQUIDAÇÃO 2025'!F:F,Tabela3[[#This Row],[EMPENHO]])</f>
        <v>8977.5</v>
      </c>
      <c r="N162" s="245">
        <f t="shared" si="5"/>
        <v>0</v>
      </c>
    </row>
    <row r="163" spans="1:14">
      <c r="A163" s="553">
        <v>45820</v>
      </c>
      <c r="B163" s="554">
        <f>IFERROR(VLOOKUP(Tabela3[[#This Row],[RESERVA]],Tabela96[[RESERVA]:[PROJETO]],2,FALSE),"")</f>
        <v>32</v>
      </c>
      <c r="C163" s="555">
        <f>IFERROR(VLOOKUP(Tabela3[[#This Row],[RESERVA]],Tabela96[[RESERVA]:[PROJETO]],3,FALSE),"")</f>
        <v>2226</v>
      </c>
      <c r="D163" s="554">
        <f>IFERROR(VLOOKUP(Tabela3[[#This Row],[RESERVA]],Tabela96[[RESERVA]:[PROJETO]],4,FALSE),"")</f>
        <v>2128</v>
      </c>
      <c r="E163" s="554">
        <f>IFERROR(VLOOKUP(Tabela3[[#This Row],[RESERVA]],Tabela96[[RESERVA]:[PROJETO]],5,FALSE),"")</f>
        <v>84</v>
      </c>
      <c r="F163" s="556">
        <v>7529</v>
      </c>
      <c r="G163" s="556">
        <v>74416</v>
      </c>
      <c r="H163" s="217" t="s">
        <v>531</v>
      </c>
      <c r="I163" s="155">
        <v>12287</v>
      </c>
      <c r="J163" s="64">
        <v>5700</v>
      </c>
      <c r="K163" s="417"/>
      <c r="L163" s="428">
        <f>Tabela3[[#This Row],[VALOR
 EMPENHO]]-Tabela3[[#This Row],[ESTORNO]]</f>
        <v>5700</v>
      </c>
      <c r="M163" s="304">
        <f>SUMIFS('LIQUIDAÇÃO 2025'!K:K,'LIQUIDAÇÃO 2025'!B:B,Tabela3[[#This Row],[CÓDIGO
 EMPRESA ]],'LIQUIDAÇÃO 2025'!C:C,Tabela3[[#This Row],[EMPRESA]],'LIQUIDAÇÃO 2025'!F:F,Tabela3[[#This Row],[EMPENHO]])</f>
        <v>5700</v>
      </c>
      <c r="N163" s="562">
        <f t="shared" si="5"/>
        <v>0</v>
      </c>
    </row>
    <row r="164" spans="1:14">
      <c r="A164" s="500">
        <v>45824</v>
      </c>
      <c r="B164" s="510">
        <f>IFERROR(VLOOKUP(Tabela3[[#This Row],[RESERVA]],Tabela96[[RESERVA]:[PROJETO]],2,FALSE),"")</f>
        <v>30</v>
      </c>
      <c r="C164" s="511">
        <f>IFERROR(VLOOKUP(Tabela3[[#This Row],[RESERVA]],Tabela96[[RESERVA]:[PROJETO]],3,FALSE),"")</f>
        <v>2253</v>
      </c>
      <c r="D164" s="510">
        <f>IFERROR(VLOOKUP(Tabela3[[#This Row],[RESERVA]],Tabela96[[RESERVA]:[PROJETO]],4,FALSE),"")</f>
        <v>2124</v>
      </c>
      <c r="E164" s="510">
        <f>IFERROR(VLOOKUP(Tabela3[[#This Row],[RESERVA]],Tabela96[[RESERVA]:[PROJETO]],5,FALSE),"")</f>
        <v>25</v>
      </c>
      <c r="F164" s="501">
        <v>8722</v>
      </c>
      <c r="G164" s="501">
        <v>58778</v>
      </c>
      <c r="H164" s="217" t="s">
        <v>57</v>
      </c>
      <c r="I164" s="155">
        <v>13606</v>
      </c>
      <c r="J164" s="502">
        <v>2000000</v>
      </c>
      <c r="K164" s="417">
        <v>1596300</v>
      </c>
      <c r="L164" s="428">
        <f>Tabela3[[#This Row],[VALOR
 EMPENHO]]-Tabela3[[#This Row],[ESTORNO]]</f>
        <v>403700</v>
      </c>
      <c r="M164" s="304">
        <f>SUMIFS('LIQUIDAÇÃO 2025'!K:K,'LIQUIDAÇÃO 2025'!B:B,Tabela3[[#This Row],[CÓDIGO
 EMPRESA ]],'LIQUIDAÇÃO 2025'!C:C,Tabela3[[#This Row],[EMPRESA]],'LIQUIDAÇÃO 2025'!F:F,Tabela3[[#This Row],[EMPENHO]])</f>
        <v>377618.89</v>
      </c>
      <c r="N164" s="69">
        <f t="shared" si="5"/>
        <v>26081.11</v>
      </c>
    </row>
    <row r="165" spans="1:14">
      <c r="A165" s="525">
        <v>45824</v>
      </c>
      <c r="B165" s="526">
        <f>IFERROR(VLOOKUP(Tabela3[[#This Row],[RESERVA]],Tabela96[[RESERVA]:[PROJETO]],2,FALSE),"")</f>
        <v>30</v>
      </c>
      <c r="C165" s="527">
        <f>IFERROR(VLOOKUP(Tabela3[[#This Row],[RESERVA]],Tabela96[[RESERVA]:[PROJETO]],3,FALSE),"")</f>
        <v>2253</v>
      </c>
      <c r="D165" s="526">
        <f>IFERROR(VLOOKUP(Tabela3[[#This Row],[RESERVA]],Tabela96[[RESERVA]:[PROJETO]],4,FALSE),"")</f>
        <v>2124</v>
      </c>
      <c r="E165" s="526">
        <f>IFERROR(VLOOKUP(Tabela3[[#This Row],[RESERVA]],Tabela96[[RESERVA]:[PROJETO]],5,FALSE),"")</f>
        <v>25</v>
      </c>
      <c r="F165" s="528">
        <v>2645</v>
      </c>
      <c r="G165" s="528">
        <v>103747</v>
      </c>
      <c r="H165" s="801" t="s">
        <v>371</v>
      </c>
      <c r="I165" s="155">
        <v>13555</v>
      </c>
      <c r="J165" s="502">
        <v>3900248.3</v>
      </c>
      <c r="K165" s="417"/>
      <c r="L165" s="428">
        <f>Tabela3[[#This Row],[VALOR
 EMPENHO]]-Tabela3[[#This Row],[ESTORNO]]</f>
        <v>3900248.3</v>
      </c>
      <c r="M165" s="304">
        <f>SUMIFS('LIQUIDAÇÃO 2025'!K:K,'LIQUIDAÇÃO 2025'!B:B,Tabela3[[#This Row],[CÓDIGO
 EMPRESA ]],'LIQUIDAÇÃO 2025'!C:C,Tabela3[[#This Row],[EMPRESA]],'LIQUIDAÇÃO 2025'!F:F,Tabela3[[#This Row],[EMPENHO]])</f>
        <v>3900248.3</v>
      </c>
      <c r="N165" s="69">
        <f t="shared" si="5"/>
        <v>0</v>
      </c>
    </row>
    <row r="166" spans="1:14">
      <c r="A166" s="500">
        <v>45824</v>
      </c>
      <c r="B166" s="510">
        <f>IFERROR(VLOOKUP(Tabela3[[#This Row],[RESERVA]],Tabela96[[RESERVA]:[PROJETO]],2,FALSE),"")</f>
        <v>30</v>
      </c>
      <c r="C166" s="511">
        <f>IFERROR(VLOOKUP(Tabela3[[#This Row],[RESERVA]],Tabela96[[RESERVA]:[PROJETO]],3,FALSE),"")</f>
        <v>2253</v>
      </c>
      <c r="D166" s="510">
        <f>IFERROR(VLOOKUP(Tabela3[[#This Row],[RESERVA]],Tabela96[[RESERVA]:[PROJETO]],4,FALSE),"")</f>
        <v>2124</v>
      </c>
      <c r="E166" s="510">
        <f>IFERROR(VLOOKUP(Tabela3[[#This Row],[RESERVA]],Tabela96[[RESERVA]:[PROJETO]],5,FALSE),"")</f>
        <v>25</v>
      </c>
      <c r="F166" s="501">
        <v>3002</v>
      </c>
      <c r="G166" s="501">
        <v>60979</v>
      </c>
      <c r="H166" s="968" t="s">
        <v>122</v>
      </c>
      <c r="I166" s="155">
        <v>13556</v>
      </c>
      <c r="J166" s="502">
        <v>1156701.8999999999</v>
      </c>
      <c r="K166" s="417"/>
      <c r="L166" s="428">
        <f>Tabela3[[#This Row],[VALOR
 EMPENHO]]-Tabela3[[#This Row],[ESTORNO]]</f>
        <v>1156701.8999999999</v>
      </c>
      <c r="M166" s="304">
        <f>SUMIFS('LIQUIDAÇÃO 2025'!K:K,'LIQUIDAÇÃO 2025'!B:B,Tabela3[[#This Row],[CÓDIGO
 EMPRESA ]],'LIQUIDAÇÃO 2025'!C:C,Tabela3[[#This Row],[EMPRESA]],'LIQUIDAÇÃO 2025'!F:F,Tabela3[[#This Row],[EMPENHO]])</f>
        <v>1156701.8999999999</v>
      </c>
      <c r="N166" s="69">
        <f t="shared" si="5"/>
        <v>0</v>
      </c>
    </row>
    <row r="167" spans="1:14">
      <c r="A167" s="500">
        <v>45826</v>
      </c>
      <c r="B167" s="510">
        <f>IFERROR(VLOOKUP(Tabela3[[#This Row],[RESERVA]],Tabela96[[RESERVA]:[PROJETO]],2,FALSE),"")</f>
        <v>29</v>
      </c>
      <c r="C167" s="511">
        <f>IFERROR(VLOOKUP(Tabela3[[#This Row],[RESERVA]],Tabela96[[RESERVA]:[PROJETO]],3,FALSE),"")</f>
        <v>2248</v>
      </c>
      <c r="D167" s="510">
        <f>IFERROR(VLOOKUP(Tabela3[[#This Row],[RESERVA]],Tabela96[[RESERVA]:[PROJETO]],4,FALSE),"")</f>
        <v>2123</v>
      </c>
      <c r="E167" s="510">
        <f>IFERROR(VLOOKUP(Tabela3[[#This Row],[RESERVA]],Tabela96[[RESERVA]:[PROJETO]],5,FALSE),"")</f>
        <v>69</v>
      </c>
      <c r="F167" s="501">
        <v>8741</v>
      </c>
      <c r="G167" s="501">
        <v>123753</v>
      </c>
      <c r="H167" s="217" t="s">
        <v>543</v>
      </c>
      <c r="I167" s="155">
        <v>13764</v>
      </c>
      <c r="J167" s="502">
        <v>67030</v>
      </c>
      <c r="K167" s="417"/>
      <c r="L167" s="428">
        <f>Tabela3[[#This Row],[VALOR
 EMPENHO]]-Tabela3[[#This Row],[ESTORNO]]</f>
        <v>67030</v>
      </c>
      <c r="M167" s="304">
        <f>SUMIFS('LIQUIDAÇÃO 2025'!K:K,'LIQUIDAÇÃO 2025'!B:B,Tabela3[[#This Row],[CÓDIGO
 EMPRESA ]],'LIQUIDAÇÃO 2025'!C:C,Tabela3[[#This Row],[EMPRESA]],'LIQUIDAÇÃO 2025'!F:F,Tabela3[[#This Row],[EMPENHO]])</f>
        <v>67030</v>
      </c>
      <c r="N167" s="245">
        <f t="shared" si="5"/>
        <v>0</v>
      </c>
    </row>
    <row r="168" spans="1:14">
      <c r="A168" s="500">
        <v>45826</v>
      </c>
      <c r="B168" s="510">
        <f>IFERROR(VLOOKUP(Tabela3[[#This Row],[RESERVA]],Tabela96[[RESERVA]:[PROJETO]],2,FALSE),"")</f>
        <v>32</v>
      </c>
      <c r="C168" s="511">
        <f>IFERROR(VLOOKUP(Tabela3[[#This Row],[RESERVA]],Tabela96[[RESERVA]:[PROJETO]],3,FALSE),"")</f>
        <v>2229</v>
      </c>
      <c r="D168" s="510">
        <f>IFERROR(VLOOKUP(Tabela3[[#This Row],[RESERVA]],Tabela96[[RESERVA]:[PROJETO]],4,FALSE),"")</f>
        <v>2128</v>
      </c>
      <c r="E168" s="510">
        <f>IFERROR(VLOOKUP(Tabela3[[#This Row],[RESERVA]],Tabela96[[RESERVA]:[PROJETO]],5,FALSE),"")</f>
        <v>245</v>
      </c>
      <c r="F168" s="501">
        <v>8742</v>
      </c>
      <c r="G168" s="501">
        <v>54615</v>
      </c>
      <c r="H168" s="217" t="s">
        <v>158</v>
      </c>
      <c r="I168" s="155">
        <v>13826</v>
      </c>
      <c r="J168" s="502">
        <v>10458</v>
      </c>
      <c r="K168" s="417"/>
      <c r="L168" s="428">
        <f>Tabela3[[#This Row],[VALOR
 EMPENHO]]-Tabela3[[#This Row],[ESTORNO]]</f>
        <v>10458</v>
      </c>
      <c r="M168" s="304">
        <f>SUMIFS('LIQUIDAÇÃO 2025'!K:K,'LIQUIDAÇÃO 2025'!B:B,Tabela3[[#This Row],[CÓDIGO
 EMPRESA ]],'LIQUIDAÇÃO 2025'!C:C,Tabela3[[#This Row],[EMPRESA]],'LIQUIDAÇÃO 2025'!F:F,Tabela3[[#This Row],[EMPENHO]])</f>
        <v>10458</v>
      </c>
      <c r="N168" s="245">
        <f t="shared" si="5"/>
        <v>0</v>
      </c>
    </row>
    <row r="169" spans="1:14">
      <c r="A169" s="500">
        <v>45826</v>
      </c>
      <c r="B169" s="510">
        <f>IFERROR(VLOOKUP(Tabela3[[#This Row],[RESERVA]],Tabela96[[RESERVA]:[PROJETO]],2,FALSE),"")</f>
        <v>32</v>
      </c>
      <c r="C169" s="511">
        <f>IFERROR(VLOOKUP(Tabela3[[#This Row],[RESERVA]],Tabela96[[RESERVA]:[PROJETO]],3,FALSE),"")</f>
        <v>2226</v>
      </c>
      <c r="D169" s="510">
        <f>IFERROR(VLOOKUP(Tabela3[[#This Row],[RESERVA]],Tabela96[[RESERVA]:[PROJETO]],4,FALSE),"")</f>
        <v>2128</v>
      </c>
      <c r="E169" s="510">
        <f>IFERROR(VLOOKUP(Tabela3[[#This Row],[RESERVA]],Tabela96[[RESERVA]:[PROJETO]],5,FALSE),"")</f>
        <v>84</v>
      </c>
      <c r="F169" s="501">
        <v>8832</v>
      </c>
      <c r="G169" s="501">
        <v>76390</v>
      </c>
      <c r="H169" s="217" t="s">
        <v>558</v>
      </c>
      <c r="I169" s="155">
        <v>14173</v>
      </c>
      <c r="J169" s="502">
        <v>13000</v>
      </c>
      <c r="K169" s="417"/>
      <c r="L169" s="428">
        <f>Tabela3[[#This Row],[VALOR
 EMPENHO]]-Tabela3[[#This Row],[ESTORNO]]</f>
        <v>13000</v>
      </c>
      <c r="M169" s="304">
        <f>SUMIFS('LIQUIDAÇÃO 2025'!K:K,'LIQUIDAÇÃO 2025'!B:B,Tabela3[[#This Row],[CÓDIGO
 EMPRESA ]],'LIQUIDAÇÃO 2025'!C:C,Tabela3[[#This Row],[EMPRESA]],'LIQUIDAÇÃO 2025'!F:F,Tabela3[[#This Row],[EMPENHO]])</f>
        <v>13000</v>
      </c>
      <c r="N169" s="245">
        <f t="shared" si="5"/>
        <v>0</v>
      </c>
    </row>
    <row r="170" spans="1:14">
      <c r="A170" s="500">
        <v>45831</v>
      </c>
      <c r="B170" s="511">
        <f>IFERROR(VLOOKUP(Tabela3[[#This Row],[RESERVA]],Tabela96[[RESERVA]:[PROJETO]],2,FALSE),"")</f>
        <v>32</v>
      </c>
      <c r="C170" s="511">
        <f>IFERROR(VLOOKUP(Tabela3[[#This Row],[RESERVA]],Tabela96[[RESERVA]:[PROJETO]],3,FALSE),"")</f>
        <v>2229</v>
      </c>
      <c r="D170" s="511">
        <f>IFERROR(VLOOKUP(Tabela3[[#This Row],[RESERVA]],Tabela96[[RESERVA]:[PROJETO]],4,FALSE),"")</f>
        <v>2128</v>
      </c>
      <c r="E170" s="511">
        <f>IFERROR(VLOOKUP(Tabela3[[#This Row],[RESERVA]],Tabela96[[RESERVA]:[PROJETO]],5,FALSE),"")</f>
        <v>242</v>
      </c>
      <c r="F170" s="501">
        <v>3052</v>
      </c>
      <c r="G170" s="501">
        <v>105064</v>
      </c>
      <c r="H170" s="217" t="s">
        <v>559</v>
      </c>
      <c r="I170" s="155">
        <v>14300</v>
      </c>
      <c r="J170" s="502">
        <v>198835.92</v>
      </c>
      <c r="K170" s="417">
        <v>198835.92</v>
      </c>
      <c r="L170" s="428">
        <f>Tabela3[[#This Row],[VALOR
 EMPENHO]]-Tabela3[[#This Row],[ESTORNO]]</f>
        <v>0</v>
      </c>
      <c r="M170" s="304">
        <f>SUMIFS('LIQUIDAÇÃO 2025'!K:K,'LIQUIDAÇÃO 2025'!B:B,Tabela3[[#This Row],[CÓDIGO
 EMPRESA ]],'LIQUIDAÇÃO 2025'!C:C,Tabela3[[#This Row],[EMPRESA]],'LIQUIDAÇÃO 2025'!F:F,Tabela3[[#This Row],[EMPENHO]])</f>
        <v>0</v>
      </c>
      <c r="N170" s="245">
        <f t="shared" si="5"/>
        <v>0</v>
      </c>
    </row>
    <row r="171" spans="1:14">
      <c r="A171" s="525">
        <v>45833</v>
      </c>
      <c r="B171" s="526">
        <f>IFERROR(VLOOKUP(Tabela3[[#This Row],[RESERVA]],Tabela96[[RESERVA]:[PROJETO]],2,FALSE),"")</f>
        <v>30</v>
      </c>
      <c r="C171" s="527">
        <f>IFERROR(VLOOKUP(Tabela3[[#This Row],[RESERVA]],Tabela96[[RESERVA]:[PROJETO]],3,FALSE),"")</f>
        <v>3487</v>
      </c>
      <c r="D171" s="526">
        <f>IFERROR(VLOOKUP(Tabela3[[#This Row],[RESERVA]],Tabela96[[RESERVA]:[PROJETO]],4,FALSE),"")</f>
        <v>2124</v>
      </c>
      <c r="E171" s="526">
        <f>IFERROR(VLOOKUP(Tabela3[[#This Row],[RESERVA]],Tabela96[[RESERVA]:[PROJETO]],5,FALSE),"")</f>
        <v>25</v>
      </c>
      <c r="F171" s="528">
        <v>8966</v>
      </c>
      <c r="G171" s="528">
        <v>73115</v>
      </c>
      <c r="H171" s="217" t="s">
        <v>29</v>
      </c>
      <c r="I171" s="155">
        <v>14444</v>
      </c>
      <c r="J171" s="529">
        <v>317420.40999999997</v>
      </c>
      <c r="K171" s="417"/>
      <c r="L171" s="428">
        <f>Tabela3[[#This Row],[VALOR
 EMPENHO]]-Tabela3[[#This Row],[ESTORNO]]</f>
        <v>317420.40999999997</v>
      </c>
      <c r="M171" s="304">
        <f>SUMIFS('LIQUIDAÇÃO 2025'!K:K,'LIQUIDAÇÃO 2025'!B:B,Tabela3[[#This Row],[CÓDIGO
 EMPRESA ]],'LIQUIDAÇÃO 2025'!C:C,Tabela3[[#This Row],[EMPRESA]],'LIQUIDAÇÃO 2025'!F:F,Tabela3[[#This Row],[EMPENHO]])</f>
        <v>317420.40999999997</v>
      </c>
      <c r="N171" s="578">
        <f t="shared" si="5"/>
        <v>0</v>
      </c>
    </row>
    <row r="172" spans="1:14">
      <c r="A172" s="525">
        <v>45833</v>
      </c>
      <c r="B172" s="527">
        <f>IFERROR(VLOOKUP(Tabela3[[#This Row],[RESERVA]],Tabela96[[RESERVA]:[PROJETO]],2,FALSE),"")</f>
        <v>32</v>
      </c>
      <c r="C172" s="527">
        <f>IFERROR(VLOOKUP(Tabela3[[#This Row],[RESERVA]],Tabela96[[RESERVA]:[PROJETO]],3,FALSE),"")</f>
        <v>2229</v>
      </c>
      <c r="D172" s="526">
        <f>IFERROR(VLOOKUP(Tabela3[[#This Row],[RESERVA]],Tabela96[[RESERVA]:[PROJETO]],4,FALSE),"")</f>
        <v>2128</v>
      </c>
      <c r="E172" s="526">
        <f>IFERROR(VLOOKUP(Tabela3[[#This Row],[RESERVA]],Tabela96[[RESERVA]:[PROJETO]],5,FALSE),"")</f>
        <v>242</v>
      </c>
      <c r="F172" s="528">
        <v>8965</v>
      </c>
      <c r="G172" s="528">
        <v>46674</v>
      </c>
      <c r="H172" s="950" t="s">
        <v>338</v>
      </c>
      <c r="I172" s="155">
        <v>14449</v>
      </c>
      <c r="J172" s="529">
        <v>300000</v>
      </c>
      <c r="K172" s="417"/>
      <c r="L172" s="428">
        <f>Tabela3[[#This Row],[VALOR
 EMPENHO]]-Tabela3[[#This Row],[ESTORNO]]</f>
        <v>300000</v>
      </c>
      <c r="M172" s="304">
        <f>SUMIFS('LIQUIDAÇÃO 2025'!K:K,'LIQUIDAÇÃO 2025'!B:B,Tabela3[[#This Row],[CÓDIGO
 EMPRESA ]],'LIQUIDAÇÃO 2025'!C:C,Tabela3[[#This Row],[EMPRESA]],'LIQUIDAÇÃO 2025'!F:F,Tabela3[[#This Row],[EMPENHO]])</f>
        <v>300000</v>
      </c>
      <c r="N172" s="578">
        <f t="shared" si="5"/>
        <v>0</v>
      </c>
    </row>
    <row r="173" spans="1:14">
      <c r="A173" s="553">
        <v>45854</v>
      </c>
      <c r="B173" s="554">
        <f>IFERROR(VLOOKUP(Tabela3[[#This Row],[RESERVA]],Tabela96[[RESERVA]:[PROJETO]],2,FALSE),"")</f>
        <v>32</v>
      </c>
      <c r="C173" s="555">
        <f>IFERROR(VLOOKUP(Tabela3[[#This Row],[RESERVA]],Tabela96[[RESERVA]:[PROJETO]],3,FALSE),"")</f>
        <v>2231</v>
      </c>
      <c r="D173" s="554">
        <f>IFERROR(VLOOKUP(Tabela3[[#This Row],[RESERVA]],Tabela96[[RESERVA]:[PROJETO]],4,FALSE),"")</f>
        <v>2128</v>
      </c>
      <c r="E173" s="554">
        <f>IFERROR(VLOOKUP(Tabela3[[#This Row],[RESERVA]],Tabela96[[RESERVA]:[PROJETO]],5,FALSE),"")</f>
        <v>104</v>
      </c>
      <c r="F173" s="556">
        <v>9394</v>
      </c>
      <c r="G173" s="556">
        <v>119899</v>
      </c>
      <c r="H173" t="s">
        <v>572</v>
      </c>
      <c r="I173" s="155">
        <v>16416</v>
      </c>
      <c r="J173" s="557">
        <v>1600</v>
      </c>
      <c r="K173" s="417"/>
      <c r="L173" s="428">
        <f>Tabela3[[#This Row],[VALOR
 EMPENHO]]-Tabela3[[#This Row],[ESTORNO]]</f>
        <v>1600</v>
      </c>
      <c r="M173" s="304">
        <f>SUMIFS('LIQUIDAÇÃO 2025'!K:K,'LIQUIDAÇÃO 2025'!B:B,Tabela3[[#This Row],[CÓDIGO
 EMPRESA ]],'LIQUIDAÇÃO 2025'!C:C,Tabela3[[#This Row],[EMPRESA]],'LIQUIDAÇÃO 2025'!F:F,Tabela3[[#This Row],[EMPENHO]])</f>
        <v>1600</v>
      </c>
      <c r="N173" s="562">
        <f t="shared" si="5"/>
        <v>0</v>
      </c>
    </row>
    <row r="174" spans="1:14">
      <c r="A174" s="553">
        <v>45859</v>
      </c>
      <c r="B174" s="555">
        <f>IFERROR(VLOOKUP(Tabela3[[#This Row],[RESERVA]],Tabela96[[RESERVA]:[PROJETO]],2,FALSE),"")</f>
        <v>30</v>
      </c>
      <c r="C174" s="555">
        <v>2253</v>
      </c>
      <c r="D174" s="555">
        <v>2124</v>
      </c>
      <c r="E174" s="555">
        <v>25</v>
      </c>
      <c r="F174" s="556">
        <v>9579</v>
      </c>
      <c r="G174" s="556">
        <v>73115</v>
      </c>
      <c r="H174" s="104" t="s">
        <v>29</v>
      </c>
      <c r="I174" s="155">
        <v>16759</v>
      </c>
      <c r="J174" s="557">
        <v>4218445.87</v>
      </c>
      <c r="K174" s="417"/>
      <c r="L174" s="428">
        <f>Tabela3[[#This Row],[VALOR
 EMPENHO]]-Tabela3[[#This Row],[ESTORNO]]</f>
        <v>4218445.87</v>
      </c>
      <c r="M174" s="304">
        <f>SUMIFS('LIQUIDAÇÃO 2025'!K:K,'LIQUIDAÇÃO 2025'!B:B,Tabela3[[#This Row],[CÓDIGO
 EMPRESA ]],'LIQUIDAÇÃO 2025'!C:C,Tabela3[[#This Row],[EMPRESA]],'LIQUIDAÇÃO 2025'!F:F,Tabela3[[#This Row],[EMPENHO]])</f>
        <v>4218445.87</v>
      </c>
      <c r="N174" s="245">
        <f t="shared" si="5"/>
        <v>0</v>
      </c>
    </row>
    <row r="175" spans="1:14">
      <c r="A175" s="553">
        <v>45867</v>
      </c>
      <c r="B175" s="554">
        <f>IFERROR(VLOOKUP(Tabela3[[#This Row],[RESERVA]],Tabela96[[RESERVA]:[PROJETO]],2,FALSE),"")</f>
        <v>32</v>
      </c>
      <c r="C175" s="555">
        <f>IFERROR(VLOOKUP(Tabela3[[#This Row],[RESERVA]],Tabela96[[RESERVA]:[PROJETO]],3,FALSE),"")</f>
        <v>2229</v>
      </c>
      <c r="D175" s="554">
        <f>IFERROR(VLOOKUP(Tabela3[[#This Row],[RESERVA]],Tabela96[[RESERVA]:[PROJETO]],4,FALSE),"")</f>
        <v>2128</v>
      </c>
      <c r="E175" s="554">
        <f>IFERROR(VLOOKUP(Tabela3[[#This Row],[RESERVA]],Tabela96[[RESERVA]:[PROJETO]],5,FALSE),"")</f>
        <v>242</v>
      </c>
      <c r="F175" s="556">
        <v>8965</v>
      </c>
      <c r="G175" s="556">
        <v>46674</v>
      </c>
      <c r="H175" s="950" t="s">
        <v>338</v>
      </c>
      <c r="I175" s="155">
        <v>17167</v>
      </c>
      <c r="J175" s="557">
        <v>230000</v>
      </c>
      <c r="K175" s="417"/>
      <c r="L175" s="428">
        <f>Tabela3[[#This Row],[VALOR
 EMPENHO]]-Tabela3[[#This Row],[ESTORNO]]</f>
        <v>230000</v>
      </c>
      <c r="M175" s="304">
        <f>SUMIFS('LIQUIDAÇÃO 2025'!K:K,'LIQUIDAÇÃO 2025'!B:B,Tabela3[[#This Row],[CÓDIGO
 EMPRESA ]],'LIQUIDAÇÃO 2025'!C:C,Tabela3[[#This Row],[EMPRESA]],'LIQUIDAÇÃO 2025'!F:F,Tabela3[[#This Row],[EMPENHO]])</f>
        <v>230000</v>
      </c>
      <c r="N175" s="562">
        <f t="shared" si="5"/>
        <v>0</v>
      </c>
    </row>
    <row r="176" spans="1:14">
      <c r="A176" s="553">
        <v>45867</v>
      </c>
      <c r="B176" s="554">
        <f>IFERROR(VLOOKUP(Tabela3[[#This Row],[RESERVA]],Tabela96[[RESERVA]:[PROJETO]],2,FALSE),"")</f>
        <v>30</v>
      </c>
      <c r="C176" s="555">
        <f>IFERROR(VLOOKUP(Tabela3[[#This Row],[RESERVA]],Tabela96[[RESERVA]:[PROJETO]],3,FALSE),"")</f>
        <v>2253</v>
      </c>
      <c r="D176" s="554">
        <f>IFERROR(VLOOKUP(Tabela3[[#This Row],[RESERVA]],Tabela96[[RESERVA]:[PROJETO]],4,FALSE),"")</f>
        <v>2124</v>
      </c>
      <c r="E176" s="554">
        <f>IFERROR(VLOOKUP(Tabela3[[#This Row],[RESERVA]],Tabela96[[RESERVA]:[PROJETO]],5,FALSE),"")</f>
        <v>25</v>
      </c>
      <c r="F176" s="556">
        <v>3002</v>
      </c>
      <c r="G176" s="556">
        <v>60979</v>
      </c>
      <c r="H176" s="217" t="s">
        <v>122</v>
      </c>
      <c r="I176" s="155">
        <v>17162</v>
      </c>
      <c r="J176" s="557">
        <v>100000</v>
      </c>
      <c r="K176" s="417"/>
      <c r="L176" s="428">
        <f>Tabela3[[#This Row],[VALOR
 EMPENHO]]-Tabela3[[#This Row],[ESTORNO]]</f>
        <v>100000</v>
      </c>
      <c r="M176" s="304">
        <f>SUMIFS('LIQUIDAÇÃO 2025'!K:K,'LIQUIDAÇÃO 2025'!B:B,Tabela3[[#This Row],[CÓDIGO
 EMPRESA ]],'LIQUIDAÇÃO 2025'!C:C,Tabela3[[#This Row],[EMPRESA]],'LIQUIDAÇÃO 2025'!F:F,Tabela3[[#This Row],[EMPENHO]])</f>
        <v>100000</v>
      </c>
      <c r="N176" s="562">
        <f t="shared" si="5"/>
        <v>0</v>
      </c>
    </row>
    <row r="177" spans="1:16">
      <c r="A177" s="553">
        <v>45868</v>
      </c>
      <c r="B177" s="554">
        <f>IFERROR(VLOOKUP(Tabela3[[#This Row],[RESERVA]],Tabela96[[RESERVA]:[PROJETO]],2,FALSE),"")</f>
        <v>30</v>
      </c>
      <c r="C177" s="555">
        <f>IFERROR(VLOOKUP(Tabela3[[#This Row],[RESERVA]],Tabela96[[RESERVA]:[PROJETO]],3,FALSE),"")</f>
        <v>2253</v>
      </c>
      <c r="D177" s="554">
        <f>IFERROR(VLOOKUP(Tabela3[[#This Row],[RESERVA]],Tabela96[[RESERVA]:[PROJETO]],4,FALSE),"")</f>
        <v>2124</v>
      </c>
      <c r="E177" s="554">
        <f>IFERROR(VLOOKUP(Tabela3[[#This Row],[RESERVA]],Tabela96[[RESERVA]:[PROJETO]],5,FALSE),"")</f>
        <v>25</v>
      </c>
      <c r="F177" s="556">
        <v>2645</v>
      </c>
      <c r="G177" s="556">
        <v>103747</v>
      </c>
      <c r="H177" s="217" t="s">
        <v>371</v>
      </c>
      <c r="I177" s="155">
        <v>17388</v>
      </c>
      <c r="J177" s="64">
        <v>3500000</v>
      </c>
      <c r="K177" s="417"/>
      <c r="L177" s="428">
        <f>Tabela3[[#This Row],[VALOR
 EMPENHO]]-Tabela3[[#This Row],[ESTORNO]]</f>
        <v>3500000</v>
      </c>
      <c r="M177" s="304">
        <f>SUMIFS('LIQUIDAÇÃO 2025'!K:K,'LIQUIDAÇÃO 2025'!B:B,Tabela3[[#This Row],[CÓDIGO
 EMPRESA ]],'LIQUIDAÇÃO 2025'!C:C,Tabela3[[#This Row],[EMPRESA]],'LIQUIDAÇÃO 2025'!F:F,Tabela3[[#This Row],[EMPENHO]])</f>
        <v>3500000</v>
      </c>
      <c r="N177" s="562">
        <f t="shared" si="5"/>
        <v>0</v>
      </c>
    </row>
    <row r="178" spans="1:16">
      <c r="A178" s="152">
        <v>45868</v>
      </c>
      <c r="B178" s="512">
        <f>IFERROR(VLOOKUP(Tabela3[[#This Row],[RESERVA]],Tabela96[[RESERVA]:[PROJETO]],2,FALSE),"")</f>
        <v>30</v>
      </c>
      <c r="C178" s="48">
        <f>IFERROR(VLOOKUP(Tabela3[[#This Row],[RESERVA]],Tabela96[[RESERVA]:[PROJETO]],3,FALSE),"")</f>
        <v>2261</v>
      </c>
      <c r="D178" s="512">
        <f>IFERROR(VLOOKUP(Tabela3[[#This Row],[RESERVA]],Tabela96[[RESERVA]:[PROJETO]],4,FALSE),"")</f>
        <v>2126</v>
      </c>
      <c r="E178" s="512">
        <f>IFERROR(VLOOKUP(Tabela3[[#This Row],[RESERVA]],Tabela96[[RESERVA]:[PROJETO]],5,FALSE),"")</f>
        <v>104</v>
      </c>
      <c r="F178" s="36">
        <v>9746</v>
      </c>
      <c r="G178" s="36">
        <v>73963</v>
      </c>
      <c r="H178" s="217" t="s">
        <v>364</v>
      </c>
      <c r="I178" s="155">
        <v>17315</v>
      </c>
      <c r="J178" s="64">
        <v>4140</v>
      </c>
      <c r="K178" s="64"/>
      <c r="L178" s="428">
        <f>Tabela3[[#This Row],[VALOR
 EMPENHO]]-Tabela3[[#This Row],[ESTORNO]]</f>
        <v>4140</v>
      </c>
      <c r="M178" s="304">
        <f>SUMIFS('LIQUIDAÇÃO 2025'!K:K,'LIQUIDAÇÃO 2025'!B:B,Tabela3[[#This Row],[CÓDIGO
 EMPRESA ]],'LIQUIDAÇÃO 2025'!C:C,Tabela3[[#This Row],[EMPRESA]],'LIQUIDAÇÃO 2025'!F:F,Tabela3[[#This Row],[EMPENHO]])</f>
        <v>4140</v>
      </c>
      <c r="N178" s="69">
        <f t="shared" si="5"/>
        <v>0</v>
      </c>
    </row>
    <row r="179" spans="1:16">
      <c r="A179" s="152">
        <v>45868</v>
      </c>
      <c r="B179" s="512">
        <f>IFERROR(VLOOKUP(Tabela3[[#This Row],[RESERVA]],Tabela96[[RESERVA]:[PROJETO]],2,FALSE),"")</f>
        <v>30</v>
      </c>
      <c r="C179" s="48">
        <f>IFERROR(VLOOKUP(Tabela3[[#This Row],[RESERVA]],Tabela96[[RESERVA]:[PROJETO]],3,FALSE),"")</f>
        <v>2258</v>
      </c>
      <c r="D179" s="512">
        <f>IFERROR(VLOOKUP(Tabela3[[#This Row],[RESERVA]],Tabela96[[RESERVA]:[PROJETO]],4,FALSE),"")</f>
        <v>2126</v>
      </c>
      <c r="E179" s="512">
        <f>IFERROR(VLOOKUP(Tabela3[[#This Row],[RESERVA]],Tabela96[[RESERVA]:[PROJETO]],5,FALSE),"")</f>
        <v>104</v>
      </c>
      <c r="F179" s="36">
        <v>9748</v>
      </c>
      <c r="G179" s="36">
        <v>73963</v>
      </c>
      <c r="H179" s="217" t="s">
        <v>364</v>
      </c>
      <c r="I179" s="155">
        <v>17316</v>
      </c>
      <c r="J179" s="64">
        <v>2600</v>
      </c>
      <c r="K179" s="417"/>
      <c r="L179" s="428">
        <f>Tabela3[[#This Row],[VALOR
 EMPENHO]]-Tabela3[[#This Row],[ESTORNO]]</f>
        <v>2600</v>
      </c>
      <c r="M179" s="304">
        <f>SUMIFS('LIQUIDAÇÃO 2025'!K:K,'LIQUIDAÇÃO 2025'!B:B,Tabela3[[#This Row],[CÓDIGO
 EMPRESA ]],'LIQUIDAÇÃO 2025'!C:C,Tabela3[[#This Row],[EMPRESA]],'LIQUIDAÇÃO 2025'!F:F,Tabela3[[#This Row],[EMPENHO]])</f>
        <v>2600</v>
      </c>
      <c r="N179" s="69">
        <f t="shared" si="5"/>
        <v>0</v>
      </c>
    </row>
    <row r="180" spans="1:16">
      <c r="A180" s="553">
        <v>45877</v>
      </c>
      <c r="B180" s="554">
        <f>IFERROR(VLOOKUP(Tabela3[[#This Row],[RESERVA]],Tabela96[[RESERVA]:[PROJETO]],2,FALSE),"")</f>
        <v>32</v>
      </c>
      <c r="C180" s="555">
        <f>IFERROR(VLOOKUP(Tabela3[[#This Row],[RESERVA]],Tabela96[[RESERVA]:[PROJETO]],3,FALSE),"")</f>
        <v>2229</v>
      </c>
      <c r="D180" s="554">
        <f>IFERROR(VLOOKUP(Tabela3[[#This Row],[RESERVA]],Tabela96[[RESERVA]:[PROJETO]],4,FALSE),"")</f>
        <v>2128</v>
      </c>
      <c r="E180" s="554">
        <f>IFERROR(VLOOKUP(Tabela3[[#This Row],[RESERVA]],Tabela96[[RESERVA]:[PROJETO]],5,FALSE),"")</f>
        <v>122</v>
      </c>
      <c r="F180" s="556">
        <v>10321</v>
      </c>
      <c r="G180" s="556">
        <v>2808</v>
      </c>
      <c r="H180" s="217" t="s">
        <v>59</v>
      </c>
      <c r="I180" s="155">
        <v>17981</v>
      </c>
      <c r="J180" s="557">
        <v>12034.95</v>
      </c>
      <c r="K180" s="417"/>
      <c r="L180" s="428">
        <f>Tabela3[[#This Row],[VALOR
 EMPENHO]]-Tabela3[[#This Row],[ESTORNO]]</f>
        <v>12034.95</v>
      </c>
      <c r="M180" s="304">
        <f>SUMIFS('LIQUIDAÇÃO 2025'!K:K,'LIQUIDAÇÃO 2025'!B:B,Tabela3[[#This Row],[CÓDIGO
 EMPRESA ]],'LIQUIDAÇÃO 2025'!C:C,Tabela3[[#This Row],[EMPRESA]],'LIQUIDAÇÃO 2025'!F:F,Tabela3[[#This Row],[EMPENHO]])</f>
        <v>9430.61</v>
      </c>
      <c r="N180" s="562">
        <f t="shared" si="5"/>
        <v>2604.34</v>
      </c>
    </row>
    <row r="181" spans="1:16">
      <c r="A181" s="152">
        <v>45877</v>
      </c>
      <c r="B181" s="554">
        <f>IFERROR(VLOOKUP(Tabela3[[#This Row],[RESERVA]],Tabela96[[RESERVA]:[PROJETO]],2,FALSE),"")</f>
        <v>32</v>
      </c>
      <c r="C181" s="48">
        <v>2231</v>
      </c>
      <c r="D181" s="512">
        <v>2128</v>
      </c>
      <c r="E181" s="512">
        <v>104</v>
      </c>
      <c r="F181" s="36">
        <v>9912</v>
      </c>
      <c r="G181" s="36">
        <v>121020</v>
      </c>
      <c r="H181" s="217" t="s">
        <v>609</v>
      </c>
      <c r="I181" s="155">
        <v>17956</v>
      </c>
      <c r="J181" s="557">
        <v>20000</v>
      </c>
      <c r="K181" s="417"/>
      <c r="L181" s="428">
        <f>Tabela3[[#This Row],[VALOR
 EMPENHO]]-Tabela3[[#This Row],[ESTORNO]]</f>
        <v>20000</v>
      </c>
      <c r="M181" s="304">
        <f>SUMIFS('LIQUIDAÇÃO 2025'!K:K,'LIQUIDAÇÃO 2025'!B:B,Tabela3[[#This Row],[CÓDIGO
 EMPRESA ]],'LIQUIDAÇÃO 2025'!C:C,Tabela3[[#This Row],[EMPRESA]],'LIQUIDAÇÃO 2025'!F:F,Tabela3[[#This Row],[EMPENHO]])</f>
        <v>20000</v>
      </c>
      <c r="N181" s="69">
        <f t="shared" si="5"/>
        <v>0</v>
      </c>
      <c r="P181" s="62"/>
    </row>
    <row r="182" spans="1:16">
      <c r="A182" s="525">
        <v>45877</v>
      </c>
      <c r="B182" s="512">
        <f>IFERROR(VLOOKUP(Tabela3[[#This Row],[RESERVA]],Tabela96[[RESERVA]:[PROJETO]],2,FALSE),"")</f>
        <v>32</v>
      </c>
      <c r="C182" s="48">
        <f>IFERROR(VLOOKUP(Tabela3[[#This Row],[RESERVA]],Tabela96[[RESERVA]:[PROJETO]],3,FALSE),"")</f>
        <v>2229</v>
      </c>
      <c r="D182" s="513">
        <f>IFERROR(VLOOKUP(Tabela3[[#This Row],[RESERVA]],Tabela96[[RESERVA]:[PROJETO]],4,FALSE),"")</f>
        <v>2128</v>
      </c>
      <c r="E182" s="513">
        <f>IFERROR(VLOOKUP(Tabela3[[#This Row],[RESERVA]],Tabela96[[RESERVA]:[PROJETO]],5,FALSE),"")</f>
        <v>104</v>
      </c>
      <c r="F182" s="528">
        <v>9310</v>
      </c>
      <c r="G182" s="528">
        <v>70064</v>
      </c>
      <c r="H182" s="217" t="s">
        <v>569</v>
      </c>
      <c r="I182" s="155">
        <v>15569</v>
      </c>
      <c r="J182" s="529">
        <v>7000</v>
      </c>
      <c r="K182" s="417"/>
      <c r="L182" s="428">
        <f>Tabela3[[#This Row],[VALOR
 EMPENHO]]-Tabela3[[#This Row],[ESTORNO]]</f>
        <v>7000</v>
      </c>
      <c r="M182" s="304">
        <f>SUMIFS('LIQUIDAÇÃO 2025'!K:K,'LIQUIDAÇÃO 2025'!B:B,Tabela3[[#This Row],[CÓDIGO
 EMPRESA ]],'LIQUIDAÇÃO 2025'!C:C,Tabela3[[#This Row],[EMPRESA]],'LIQUIDAÇÃO 2025'!F:F,Tabela3[[#This Row],[EMPENHO]])</f>
        <v>7000</v>
      </c>
      <c r="N182" s="69">
        <f t="shared" si="5"/>
        <v>0</v>
      </c>
    </row>
    <row r="183" spans="1:16">
      <c r="A183" s="534">
        <v>45877</v>
      </c>
      <c r="B183" s="535">
        <f>IFERROR(VLOOKUP(Tabela3[[#This Row],[RESERVA]],Tabela96[[RESERVA]:[PROJETO]],2,FALSE),"")</f>
        <v>29</v>
      </c>
      <c r="C183" s="536">
        <f>IFERROR(VLOOKUP(Tabela3[[#This Row],[RESERVA]],Tabela96[[RESERVA]:[PROJETO]],3,FALSE),"")</f>
        <v>2248</v>
      </c>
      <c r="D183" s="535">
        <f>IFERROR(VLOOKUP(Tabela3[[#This Row],[RESERVA]],Tabela96[[RESERVA]:[PROJETO]],4,FALSE),"")</f>
        <v>2123</v>
      </c>
      <c r="E183" s="535">
        <f>IFERROR(VLOOKUP(Tabela3[[#This Row],[RESERVA]],Tabela96[[RESERVA]:[PROJETO]],5,FALSE),"")</f>
        <v>69</v>
      </c>
      <c r="F183" s="537">
        <v>9311</v>
      </c>
      <c r="G183" s="537">
        <v>122083</v>
      </c>
      <c r="H183" s="217" t="s">
        <v>293</v>
      </c>
      <c r="I183" s="155">
        <v>15544</v>
      </c>
      <c r="J183" s="538">
        <v>41800</v>
      </c>
      <c r="K183" s="417">
        <v>41800</v>
      </c>
      <c r="L183" s="428">
        <f>Tabela3[[#This Row],[VALOR
 EMPENHO]]-Tabela3[[#This Row],[ESTORNO]]</f>
        <v>0</v>
      </c>
      <c r="M183" s="304">
        <f>SUMIFS('LIQUIDAÇÃO 2025'!K:K,'LIQUIDAÇÃO 2025'!B:B,Tabela3[[#This Row],[CÓDIGO
 EMPRESA ]],'LIQUIDAÇÃO 2025'!C:C,Tabela3[[#This Row],[EMPRESA]],'LIQUIDAÇÃO 2025'!F:F,Tabela3[[#This Row],[EMPENHO]])</f>
        <v>0</v>
      </c>
      <c r="N183" s="578">
        <f t="shared" si="5"/>
        <v>0</v>
      </c>
      <c r="P183" s="10"/>
    </row>
    <row r="184" spans="1:16">
      <c r="A184" s="553">
        <v>45877</v>
      </c>
      <c r="B184" s="554">
        <f>IFERROR(VLOOKUP(Tabela3[[#This Row],[RESERVA]],Tabela96[[RESERVA]:[PROJETO]],2,FALSE),"")</f>
        <v>32</v>
      </c>
      <c r="C184" s="555">
        <f>IFERROR(VLOOKUP(Tabela3[[#This Row],[RESERVA]],Tabela96[[RESERVA]:[PROJETO]],3,FALSE),"")</f>
        <v>2229</v>
      </c>
      <c r="D184" s="554">
        <f>IFERROR(VLOOKUP(Tabela3[[#This Row],[RESERVA]],Tabela96[[RESERVA]:[PROJETO]],4,FALSE),"")</f>
        <v>2128</v>
      </c>
      <c r="E184" s="554">
        <f>IFERROR(VLOOKUP(Tabela3[[#This Row],[RESERVA]],Tabela96[[RESERVA]:[PROJETO]],5,FALSE),"")</f>
        <v>117</v>
      </c>
      <c r="F184" s="556">
        <v>10323</v>
      </c>
      <c r="G184" s="556">
        <v>34074</v>
      </c>
      <c r="H184" s="217" t="s">
        <v>360</v>
      </c>
      <c r="I184" s="155">
        <v>17980</v>
      </c>
      <c r="J184" s="64">
        <v>16291.33</v>
      </c>
      <c r="K184" s="417"/>
      <c r="L184" s="428">
        <f>Tabela3[[#This Row],[VALOR
 EMPENHO]]-Tabela3[[#This Row],[ESTORNO]]</f>
        <v>16291.33</v>
      </c>
      <c r="M184" s="304">
        <f>SUMIFS('LIQUIDAÇÃO 2025'!K:K,'LIQUIDAÇÃO 2025'!B:B,Tabela3[[#This Row],[CÓDIGO
 EMPRESA ]],'LIQUIDAÇÃO 2025'!C:C,Tabela3[[#This Row],[EMPRESA]],'LIQUIDAÇÃO 2025'!F:F,Tabela3[[#This Row],[EMPENHO]])</f>
        <v>16291.33</v>
      </c>
      <c r="N184" s="562">
        <f t="shared" si="5"/>
        <v>0</v>
      </c>
    </row>
    <row r="185" spans="1:16">
      <c r="A185" s="534">
        <v>45878</v>
      </c>
      <c r="B185" s="510">
        <f>IFERROR(VLOOKUP(Tabela3[[#This Row],[RESERVA]],Tabela96[[RESERVA]:[PROJETO]],2,FALSE),"")</f>
        <v>30</v>
      </c>
      <c r="C185" s="511">
        <f>IFERROR(VLOOKUP(Tabela3[[#This Row],[RESERVA]],Tabela96[[RESERVA]:[PROJETO]],3,FALSE),"")</f>
        <v>2258</v>
      </c>
      <c r="D185" s="510">
        <f>IFERROR(VLOOKUP(Tabela3[[#This Row],[RESERVA]],Tabela96[[RESERVA]:[PROJETO]],4,FALSE),"")</f>
        <v>2126</v>
      </c>
      <c r="E185" s="510">
        <f>IFERROR(VLOOKUP(Tabela3[[#This Row],[RESERVA]],Tabela96[[RESERVA]:[PROJETO]],5,FALSE),"")</f>
        <v>104</v>
      </c>
      <c r="F185" s="501">
        <v>5698</v>
      </c>
      <c r="G185" s="501">
        <v>67538</v>
      </c>
      <c r="H185" s="801" t="s">
        <v>483</v>
      </c>
      <c r="I185" s="155">
        <v>11820</v>
      </c>
      <c r="J185" s="502">
        <v>4675.57</v>
      </c>
      <c r="K185" s="417"/>
      <c r="L185" s="428">
        <f>Tabela3[[#This Row],[VALOR
 EMPENHO]]-Tabela3[[#This Row],[ESTORNO]]</f>
        <v>4675.57</v>
      </c>
      <c r="M185" s="304">
        <f>SUMIFS('LIQUIDAÇÃO 2025'!K:K,'LIQUIDAÇÃO 2025'!B:B,Tabela3[[#This Row],[CÓDIGO
 EMPRESA ]],'LIQUIDAÇÃO 2025'!C:C,Tabela3[[#This Row],[EMPRESA]],'LIQUIDAÇÃO 2025'!F:F,Tabela3[[#This Row],[EMPENHO]])</f>
        <v>0</v>
      </c>
      <c r="N185" s="245">
        <f t="shared" si="5"/>
        <v>4675.57</v>
      </c>
    </row>
    <row r="186" spans="1:16">
      <c r="A186" s="553">
        <v>45880</v>
      </c>
      <c r="B186" s="554">
        <f>IFERROR(VLOOKUP(Tabela3[[#This Row],[RESERVA]],Tabela96[[RESERVA]:[PROJETO]],2,FALSE),"")</f>
        <v>32</v>
      </c>
      <c r="C186" s="555">
        <f>IFERROR(VLOOKUP(Tabela3[[#This Row],[RESERVA]],Tabela96[[RESERVA]:[PROJETO]],3,FALSE),"")</f>
        <v>2229</v>
      </c>
      <c r="D186" s="554">
        <f>IFERROR(VLOOKUP(Tabela3[[#This Row],[RESERVA]],Tabela96[[RESERVA]:[PROJETO]],4,FALSE),"")</f>
        <v>2128</v>
      </c>
      <c r="E186" s="554">
        <f>IFERROR(VLOOKUP(Tabela3[[#This Row],[RESERVA]],Tabela96[[RESERVA]:[PROJETO]],5,FALSE),"")</f>
        <v>104</v>
      </c>
      <c r="F186" s="556">
        <v>10322</v>
      </c>
      <c r="G186" s="556">
        <v>73963</v>
      </c>
      <c r="H186" s="217" t="s">
        <v>364</v>
      </c>
      <c r="I186" s="155">
        <v>18111</v>
      </c>
      <c r="J186" s="557">
        <v>1719</v>
      </c>
      <c r="K186" s="417"/>
      <c r="L186" s="428">
        <f>Tabela3[[#This Row],[VALOR
 EMPENHO]]-Tabela3[[#This Row],[ESTORNO]]</f>
        <v>1719</v>
      </c>
      <c r="M186" s="304">
        <f>SUMIFS('LIQUIDAÇÃO 2025'!K:K,'LIQUIDAÇÃO 2025'!B:B,Tabela3[[#This Row],[CÓDIGO
 EMPRESA ]],'LIQUIDAÇÃO 2025'!C:C,Tabela3[[#This Row],[EMPRESA]],'LIQUIDAÇÃO 2025'!F:F,Tabela3[[#This Row],[EMPENHO]])</f>
        <v>1719</v>
      </c>
      <c r="N186" s="562">
        <f t="shared" si="5"/>
        <v>0</v>
      </c>
    </row>
    <row r="187" spans="1:16">
      <c r="A187" s="626">
        <v>45880</v>
      </c>
      <c r="B187" s="554">
        <f>IFERROR(VLOOKUP(Tabela3[[#This Row],[RESERVA]],Tabela96[[RESERVA]:[PROJETO]],2,FALSE),"")</f>
        <v>30</v>
      </c>
      <c r="C187" s="555">
        <f>IFERROR(VLOOKUP(Tabela3[[#This Row],[RESERVA]],Tabela96[[RESERVA]:[PROJETO]],3,FALSE),"")</f>
        <v>2258</v>
      </c>
      <c r="D187" s="554">
        <f>IFERROR(VLOOKUP(Tabela3[[#This Row],[RESERVA]],Tabela96[[RESERVA]:[PROJETO]],4,FALSE),"")</f>
        <v>2126</v>
      </c>
      <c r="E187" s="554">
        <f>IFERROR(VLOOKUP(Tabela3[[#This Row],[RESERVA]],Tabela96[[RESERVA]:[PROJETO]],5,FALSE),"")</f>
        <v>104</v>
      </c>
      <c r="F187" s="629">
        <v>10319</v>
      </c>
      <c r="G187" s="629">
        <v>73963</v>
      </c>
      <c r="H187" s="217" t="s">
        <v>364</v>
      </c>
      <c r="I187" s="155">
        <v>18119</v>
      </c>
      <c r="J187" s="630">
        <v>240</v>
      </c>
      <c r="K187" s="417"/>
      <c r="L187" s="428">
        <f>Tabela3[[#This Row],[VALOR
 EMPENHO]]-Tabela3[[#This Row],[ESTORNO]]</f>
        <v>240</v>
      </c>
      <c r="M187" s="304">
        <f>SUMIFS('LIQUIDAÇÃO 2025'!K:K,'LIQUIDAÇÃO 2025'!B:B,Tabela3[[#This Row],[CÓDIGO
 EMPRESA ]],'LIQUIDAÇÃO 2025'!C:C,Tabela3[[#This Row],[EMPRESA]],'LIQUIDAÇÃO 2025'!F:F,Tabela3[[#This Row],[EMPENHO]])</f>
        <v>240</v>
      </c>
      <c r="N187" s="69">
        <f t="shared" si="5"/>
        <v>0</v>
      </c>
    </row>
    <row r="188" spans="1:16">
      <c r="A188" s="553">
        <v>45880</v>
      </c>
      <c r="B188" s="554">
        <f>IFERROR(VLOOKUP(Tabela3[[#This Row],[RESERVA]],Tabela96[[RESERVA]:[PROJETO]],2,FALSE),"")</f>
        <v>32</v>
      </c>
      <c r="C188" s="555">
        <f>IFERROR(VLOOKUP(Tabela3[[#This Row],[RESERVA]],Tabela96[[RESERVA]:[PROJETO]],3,FALSE),"")</f>
        <v>2226</v>
      </c>
      <c r="D188" s="554">
        <f>IFERROR(VLOOKUP(Tabela3[[#This Row],[RESERVA]],Tabela96[[RESERVA]:[PROJETO]],4,FALSE),"")</f>
        <v>2128</v>
      </c>
      <c r="E188" s="554">
        <f>IFERROR(VLOOKUP(Tabela3[[#This Row],[RESERVA]],Tabela96[[RESERVA]:[PROJETO]],5,FALSE),"")</f>
        <v>84</v>
      </c>
      <c r="F188" s="556">
        <v>10320</v>
      </c>
      <c r="G188" s="556">
        <v>75036</v>
      </c>
      <c r="H188" s="217" t="s">
        <v>610</v>
      </c>
      <c r="I188" s="155">
        <v>11820</v>
      </c>
      <c r="J188" s="557">
        <v>51420</v>
      </c>
      <c r="K188" s="417"/>
      <c r="L188" s="428">
        <f>Tabela3[[#This Row],[VALOR
 EMPENHO]]-Tabela3[[#This Row],[ESTORNO]]</f>
        <v>51420</v>
      </c>
      <c r="M188" s="304">
        <f>SUMIFS('LIQUIDAÇÃO 2025'!K:K,'LIQUIDAÇÃO 2025'!B:B,Tabela3[[#This Row],[CÓDIGO
 EMPRESA ]],'LIQUIDAÇÃO 2025'!C:C,Tabela3[[#This Row],[EMPRESA]],'LIQUIDAÇÃO 2025'!F:F,Tabela3[[#This Row],[EMPENHO]])</f>
        <v>0</v>
      </c>
      <c r="N188" s="562">
        <f t="shared" si="5"/>
        <v>51420</v>
      </c>
    </row>
    <row r="189" spans="1:16">
      <c r="A189" s="152">
        <v>45881</v>
      </c>
      <c r="B189" s="554">
        <f>IFERROR(VLOOKUP(Tabela3[[#This Row],[RESERVA]],Tabela96[[RESERVA]:[PROJETO]],2,FALSE),"")</f>
        <v>32</v>
      </c>
      <c r="C189" s="555">
        <f>IFERROR(VLOOKUP(Tabela3[[#This Row],[RESERVA]],Tabela96[[RESERVA]:[PROJETO]],3,FALSE),"")</f>
        <v>2226</v>
      </c>
      <c r="D189" s="554">
        <f>IFERROR(VLOOKUP(Tabela3[[#This Row],[RESERVA]],Tabela96[[RESERVA]:[PROJETO]],4,FALSE),"")</f>
        <v>2128</v>
      </c>
      <c r="E189" s="554">
        <f>IFERROR(VLOOKUP(Tabela3[[#This Row],[RESERVA]],Tabela96[[RESERVA]:[PROJETO]],5,FALSE),"")</f>
        <v>84</v>
      </c>
      <c r="F189" s="36">
        <v>10410</v>
      </c>
      <c r="G189" s="36">
        <v>51481</v>
      </c>
      <c r="H189" s="217" t="s">
        <v>481</v>
      </c>
      <c r="I189" s="155">
        <v>18360</v>
      </c>
      <c r="J189" s="64">
        <v>22400</v>
      </c>
      <c r="K189" s="417"/>
      <c r="L189" s="428">
        <f>Tabela3[[#This Row],[VALOR
 EMPENHO]]-Tabela3[[#This Row],[ESTORNO]]</f>
        <v>22400</v>
      </c>
      <c r="M189" s="304">
        <f>SUMIFS('LIQUIDAÇÃO 2025'!K:K,'LIQUIDAÇÃO 2025'!B:B,Tabela3[[#This Row],[CÓDIGO
 EMPRESA ]],'LIQUIDAÇÃO 2025'!C:C,Tabela3[[#This Row],[EMPRESA]],'LIQUIDAÇÃO 2025'!F:F,Tabela3[[#This Row],[EMPENHO]])</f>
        <v>22400</v>
      </c>
      <c r="N189" s="69">
        <f t="shared" ref="N189:N221" si="6">L189-M189</f>
        <v>0</v>
      </c>
    </row>
    <row r="190" spans="1:16">
      <c r="A190" s="553">
        <v>45882</v>
      </c>
      <c r="B190" s="554">
        <f>IFERROR(VLOOKUP(Tabela3[[#This Row],[RESERVA]],Tabela96[[RESERVA]:[PROJETO]],2,FALSE),"")</f>
        <v>32</v>
      </c>
      <c r="C190" s="555">
        <f>IFERROR(VLOOKUP(Tabela3[[#This Row],[RESERVA]],Tabela96[[RESERVA]:[PROJETO]],3,FALSE),"")</f>
        <v>2226</v>
      </c>
      <c r="D190" s="554">
        <f>IFERROR(VLOOKUP(Tabela3[[#This Row],[RESERVA]],Tabela96[[RESERVA]:[PROJETO]],4,FALSE),"")</f>
        <v>2128</v>
      </c>
      <c r="E190" s="554">
        <f>IFERROR(VLOOKUP(Tabela3[[#This Row],[RESERVA]],Tabela96[[RESERVA]:[PROJETO]],5,FALSE),"")</f>
        <v>314</v>
      </c>
      <c r="F190" s="601">
        <v>7390</v>
      </c>
      <c r="G190" s="601">
        <v>48442</v>
      </c>
      <c r="H190" s="217" t="s">
        <v>512</v>
      </c>
      <c r="I190" s="155">
        <v>18500</v>
      </c>
      <c r="J190" s="602">
        <v>5720.77</v>
      </c>
      <c r="K190" s="602"/>
      <c r="L190" s="428">
        <f>Tabela3[[#This Row],[VALOR
 EMPENHO]]-Tabela3[[#This Row],[ESTORNO]]</f>
        <v>5720.77</v>
      </c>
      <c r="M190" s="304">
        <f>SUMIFS('LIQUIDAÇÃO 2025'!K:K,'LIQUIDAÇÃO 2025'!B:B,Tabela3[[#This Row],[CÓDIGO
 EMPRESA ]],'LIQUIDAÇÃO 2025'!C:C,Tabela3[[#This Row],[EMPRESA]],'LIQUIDAÇÃO 2025'!F:F,Tabela3[[#This Row],[EMPENHO]])</f>
        <v>5720.76</v>
      </c>
      <c r="N190" s="69">
        <f t="shared" si="6"/>
        <v>0.01</v>
      </c>
    </row>
    <row r="191" spans="1:16">
      <c r="A191" s="152">
        <v>45882</v>
      </c>
      <c r="B191" s="554">
        <f>IFERROR(VLOOKUP(Tabela3[[#This Row],[RESERVA]],Tabela96[[RESERVA]:[PROJETO]],2,FALSE),"")</f>
        <v>32</v>
      </c>
      <c r="C191" s="555">
        <f>IFERROR(VLOOKUP(Tabela3[[#This Row],[RESERVA]],Tabela96[[RESERVA]:[PROJETO]],3,FALSE),"")</f>
        <v>2229</v>
      </c>
      <c r="D191" s="554">
        <f>IFERROR(VLOOKUP(Tabela3[[#This Row],[RESERVA]],Tabela96[[RESERVA]:[PROJETO]],4,FALSE),"")</f>
        <v>2128</v>
      </c>
      <c r="E191" s="554">
        <f>IFERROR(VLOOKUP(Tabela3[[#This Row],[RESERVA]],Tabela96[[RESERVA]:[PROJETO]],5,FALSE),"")</f>
        <v>314</v>
      </c>
      <c r="F191" s="583">
        <v>7527</v>
      </c>
      <c r="G191" s="583">
        <v>48442</v>
      </c>
      <c r="H191" s="217" t="s">
        <v>512</v>
      </c>
      <c r="I191" s="155">
        <v>18502</v>
      </c>
      <c r="J191" s="584">
        <v>14921.75</v>
      </c>
      <c r="K191" s="417"/>
      <c r="L191" s="428">
        <f>Tabela3[[#This Row],[VALOR
 EMPENHO]]-Tabela3[[#This Row],[ESTORNO]]</f>
        <v>14921.75</v>
      </c>
      <c r="M191" s="304">
        <f>SUMIFS('LIQUIDAÇÃO 2025'!K:K,'LIQUIDAÇÃO 2025'!B:B,Tabela3[[#This Row],[CÓDIGO
 EMPRESA ]],'LIQUIDAÇÃO 2025'!C:C,Tabela3[[#This Row],[EMPRESA]],'LIQUIDAÇÃO 2025'!F:F,Tabela3[[#This Row],[EMPENHO]])</f>
        <v>14921.75</v>
      </c>
      <c r="N191" s="69">
        <f t="shared" si="6"/>
        <v>0</v>
      </c>
    </row>
    <row r="192" spans="1:16">
      <c r="A192" s="553">
        <v>45882</v>
      </c>
      <c r="B192" s="554">
        <f>IFERROR(VLOOKUP(Tabela3[[#This Row],[RESERVA]],Tabela96[[RESERVA]:[PROJETO]],2,FALSE),"")</f>
        <v>32</v>
      </c>
      <c r="C192" s="555">
        <f>IFERROR(VLOOKUP(Tabela3[[#This Row],[RESERVA]],Tabela96[[RESERVA]:[PROJETO]],3,FALSE),"")</f>
        <v>2226</v>
      </c>
      <c r="D192" s="554">
        <f>IFERROR(VLOOKUP(Tabela3[[#This Row],[RESERVA]],Tabela96[[RESERVA]:[PROJETO]],4,FALSE),"")</f>
        <v>2128</v>
      </c>
      <c r="E192" s="554">
        <f>IFERROR(VLOOKUP(Tabela3[[#This Row],[RESERVA]],Tabela96[[RESERVA]:[PROJETO]],5,FALSE),"")</f>
        <v>314</v>
      </c>
      <c r="F192" s="556">
        <v>7531</v>
      </c>
      <c r="G192" s="556">
        <v>48442</v>
      </c>
      <c r="H192" s="217" t="s">
        <v>512</v>
      </c>
      <c r="I192" s="155">
        <v>18509</v>
      </c>
      <c r="J192" s="557">
        <v>4884.43</v>
      </c>
      <c r="K192" s="417"/>
      <c r="L192" s="428">
        <f>Tabela3[[#This Row],[VALOR
 EMPENHO]]-Tabela3[[#This Row],[ESTORNO]]</f>
        <v>4884.43</v>
      </c>
      <c r="M192" s="304">
        <f>SUMIFS('LIQUIDAÇÃO 2025'!K:K,'LIQUIDAÇÃO 2025'!B:B,Tabela3[[#This Row],[CÓDIGO
 EMPRESA ]],'LIQUIDAÇÃO 2025'!C:C,Tabela3[[#This Row],[EMPRESA]],'LIQUIDAÇÃO 2025'!F:F,Tabela3[[#This Row],[EMPENHO]])</f>
        <v>0</v>
      </c>
      <c r="N192" s="69">
        <f t="shared" si="6"/>
        <v>4884.43</v>
      </c>
    </row>
    <row r="193" spans="1:14">
      <c r="A193" s="152">
        <v>45882</v>
      </c>
      <c r="B193" s="554">
        <f>IFERROR(VLOOKUP(Tabela3[[#This Row],[RESERVA]],Tabela96[[RESERVA]:[PROJETO]],2,FALSE),"")</f>
        <v>32</v>
      </c>
      <c r="C193" s="555">
        <f>IFERROR(VLOOKUP(Tabela3[[#This Row],[RESERVA]],Tabela96[[RESERVA]:[PROJETO]],3,FALSE),"")</f>
        <v>2229</v>
      </c>
      <c r="D193" s="554">
        <f>IFERROR(VLOOKUP(Tabela3[[#This Row],[RESERVA]],Tabela96[[RESERVA]:[PROJETO]],4,FALSE),"")</f>
        <v>2128</v>
      </c>
      <c r="E193" s="554">
        <f>IFERROR(VLOOKUP(Tabela3[[#This Row],[RESERVA]],Tabela96[[RESERVA]:[PROJETO]],5,FALSE),"")</f>
        <v>314</v>
      </c>
      <c r="F193" s="36">
        <v>7530</v>
      </c>
      <c r="G193" s="36">
        <v>48442</v>
      </c>
      <c r="H193" s="217" t="s">
        <v>512</v>
      </c>
      <c r="I193" s="155">
        <v>18510</v>
      </c>
      <c r="J193" s="64">
        <v>17284.75</v>
      </c>
      <c r="K193" s="417"/>
      <c r="L193" s="428">
        <f>Tabela3[[#This Row],[VALOR
 EMPENHO]]-Tabela3[[#This Row],[ESTORNO]]</f>
        <v>17284.75</v>
      </c>
      <c r="M193" s="304">
        <f>SUMIFS('LIQUIDAÇÃO 2025'!K:K,'LIQUIDAÇÃO 2025'!B:B,Tabela3[[#This Row],[CÓDIGO
 EMPRESA ]],'LIQUIDAÇÃO 2025'!C:C,Tabela3[[#This Row],[EMPRESA]],'LIQUIDAÇÃO 2025'!F:F,Tabela3[[#This Row],[EMPENHO]])</f>
        <v>0</v>
      </c>
      <c r="N193" s="69">
        <f t="shared" si="6"/>
        <v>17284.75</v>
      </c>
    </row>
    <row r="194" spans="1:14">
      <c r="A194" s="626">
        <v>45883</v>
      </c>
      <c r="B194" s="627">
        <f>IFERROR(VLOOKUP(Tabela3[[#This Row],[RESERVA]],Tabela96[[RESERVA]:[PROJETO]],2,FALSE),"")</f>
        <v>30</v>
      </c>
      <c r="C194" s="628">
        <f>IFERROR(VLOOKUP(Tabela3[[#This Row],[RESERVA]],Tabela96[[RESERVA]:[PROJETO]],3,FALSE),"")</f>
        <v>2253</v>
      </c>
      <c r="D194" s="627">
        <f>IFERROR(VLOOKUP(Tabela3[[#This Row],[RESERVA]],Tabela96[[RESERVA]:[PROJETO]],4,FALSE),"")</f>
        <v>2124</v>
      </c>
      <c r="E194" s="627">
        <f>IFERROR(VLOOKUP(Tabela3[[#This Row],[RESERVA]],Tabela96[[RESERVA]:[PROJETO]],5,FALSE),"")</f>
        <v>25</v>
      </c>
      <c r="F194" s="629">
        <v>2645</v>
      </c>
      <c r="G194" s="629">
        <v>103747</v>
      </c>
      <c r="H194" s="104" t="s">
        <v>371</v>
      </c>
      <c r="I194" s="155">
        <v>18903</v>
      </c>
      <c r="J194" s="630">
        <v>83806.100000000006</v>
      </c>
      <c r="K194" s="417"/>
      <c r="L194" s="428">
        <f>Tabela3[[#This Row],[VALOR
 EMPENHO]]-Tabela3[[#This Row],[ESTORNO]]</f>
        <v>83806.100000000006</v>
      </c>
      <c r="M194" s="304">
        <f>SUMIFS('LIQUIDAÇÃO 2025'!K:K,'LIQUIDAÇÃO 2025'!B:B,Tabela3[[#This Row],[CÓDIGO
 EMPRESA ]],'LIQUIDAÇÃO 2025'!C:C,Tabela3[[#This Row],[EMPRESA]],'LIQUIDAÇÃO 2025'!F:F,Tabela3[[#This Row],[EMPENHO]])</f>
        <v>83806.100000000006</v>
      </c>
      <c r="N194" s="69">
        <f t="shared" si="6"/>
        <v>0</v>
      </c>
    </row>
    <row r="195" spans="1:14">
      <c r="A195" s="626">
        <v>45888</v>
      </c>
      <c r="B195" s="627">
        <f>IFERROR(VLOOKUP(Tabela3[[#This Row],[RESERVA]],Tabela96[[RESERVA]:[PROJETO]],2,FALSE),"")</f>
        <v>30</v>
      </c>
      <c r="C195" s="628">
        <f>IFERROR(VLOOKUP(Tabela3[[#This Row],[RESERVA]],Tabela96[[RESERVA]:[PROJETO]],3,FALSE),"")</f>
        <v>2253</v>
      </c>
      <c r="D195" s="627">
        <f>IFERROR(VLOOKUP(Tabela3[[#This Row],[RESERVA]],Tabela96[[RESERVA]:[PROJETO]],4,FALSE),"")</f>
        <v>2124</v>
      </c>
      <c r="E195" s="627">
        <f>IFERROR(VLOOKUP(Tabela3[[#This Row],[RESERVA]],Tabela96[[RESERVA]:[PROJETO]],5,FALSE),"")</f>
        <v>25</v>
      </c>
      <c r="F195" s="629">
        <v>3009</v>
      </c>
      <c r="G195" s="629">
        <v>121973</v>
      </c>
      <c r="H195" s="217" t="s">
        <v>341</v>
      </c>
      <c r="I195" s="155">
        <v>19160</v>
      </c>
      <c r="J195" s="630">
        <v>2000000</v>
      </c>
      <c r="K195" s="417"/>
      <c r="L195" s="428">
        <f>Tabela3[[#This Row],[VALOR
 EMPENHO]]-Tabela3[[#This Row],[ESTORNO]]</f>
        <v>2000000</v>
      </c>
      <c r="M195" s="304">
        <f>SUMIFS('LIQUIDAÇÃO 2025'!K:K,'LIQUIDAÇÃO 2025'!B:B,Tabela3[[#This Row],[CÓDIGO
 EMPRESA ]],'LIQUIDAÇÃO 2025'!C:C,Tabela3[[#This Row],[EMPRESA]],'LIQUIDAÇÃO 2025'!F:F,Tabela3[[#This Row],[EMPENHO]])</f>
        <v>2000000</v>
      </c>
      <c r="N195" s="69">
        <f t="shared" si="6"/>
        <v>0</v>
      </c>
    </row>
    <row r="196" spans="1:14">
      <c r="A196" s="152">
        <v>45888</v>
      </c>
      <c r="B196" s="627">
        <f>IFERROR(VLOOKUP(Tabela3[[#This Row],[RESERVA]],Tabela96[[RESERVA]:[PROJETO]],2,FALSE),"")</f>
        <v>30</v>
      </c>
      <c r="C196" s="628">
        <f>IFERROR(VLOOKUP(Tabela3[[#This Row],[RESERVA]],Tabela96[[RESERVA]:[PROJETO]],3,FALSE),"")</f>
        <v>2253</v>
      </c>
      <c r="D196" s="627">
        <f>IFERROR(VLOOKUP(Tabela3[[#This Row],[RESERVA]],Tabela96[[RESERVA]:[PROJETO]],4,FALSE),"")</f>
        <v>2124</v>
      </c>
      <c r="E196" s="627">
        <f>IFERROR(VLOOKUP(Tabela3[[#This Row],[RESERVA]],Tabela96[[RESERVA]:[PROJETO]],5,FALSE),"")</f>
        <v>25</v>
      </c>
      <c r="F196" s="629">
        <v>6049</v>
      </c>
      <c r="G196" s="629">
        <v>68004</v>
      </c>
      <c r="H196" s="837" t="s">
        <v>382</v>
      </c>
      <c r="I196" s="155">
        <v>19153</v>
      </c>
      <c r="J196" s="630">
        <v>10860.36</v>
      </c>
      <c r="K196" s="417"/>
      <c r="L196" s="428">
        <f>Tabela3[[#This Row],[VALOR
 EMPENHO]]-Tabela3[[#This Row],[ESTORNO]]</f>
        <v>10860.36</v>
      </c>
      <c r="M196" s="304">
        <f>SUMIFS('LIQUIDAÇÃO 2025'!K:K,'LIQUIDAÇÃO 2025'!B:B,Tabela3[[#This Row],[CÓDIGO
 EMPRESA ]],'LIQUIDAÇÃO 2025'!C:C,Tabela3[[#This Row],[EMPRESA]],'LIQUIDAÇÃO 2025'!F:F,Tabela3[[#This Row],[EMPENHO]])</f>
        <v>10860.36</v>
      </c>
      <c r="N196" s="69">
        <f t="shared" si="6"/>
        <v>0</v>
      </c>
    </row>
    <row r="197" spans="1:14">
      <c r="A197" s="613">
        <v>45889</v>
      </c>
      <c r="B197" s="959">
        <f>IFERROR(VLOOKUP(Tabela3[[#This Row],[RESERVA]],Tabela96[[RESERVA]:[PROJETO]],2,FALSE),"")</f>
        <v>30</v>
      </c>
      <c r="C197" s="614">
        <f>IFERROR(VLOOKUP(Tabela3[[#This Row],[RESERVA]],Tabela96[[RESERVA]:[PROJETO]],3,FALSE),"")</f>
        <v>2253</v>
      </c>
      <c r="D197" s="959">
        <f>IFERROR(VLOOKUP(Tabela3[[#This Row],[RESERVA]],Tabela96[[RESERVA]:[PROJETO]],4,FALSE),"")</f>
        <v>2124</v>
      </c>
      <c r="E197" s="959">
        <f>IFERROR(VLOOKUP(Tabela3[[#This Row],[RESERVA]],Tabela96[[RESERVA]:[PROJETO]],5,FALSE),"")</f>
        <v>25</v>
      </c>
      <c r="F197" s="615">
        <v>2995</v>
      </c>
      <c r="G197" s="615">
        <v>118247</v>
      </c>
      <c r="H197" s="217" t="s">
        <v>375</v>
      </c>
      <c r="I197" s="155">
        <v>19181</v>
      </c>
      <c r="J197" s="616">
        <v>39184.800000000003</v>
      </c>
      <c r="K197" s="417"/>
      <c r="L197" s="428">
        <f>Tabela3[[#This Row],[VALOR
 EMPENHO]]-Tabela3[[#This Row],[ESTORNO]]</f>
        <v>39184.800000000003</v>
      </c>
      <c r="M197" s="304">
        <f>SUMIFS('LIQUIDAÇÃO 2025'!K:K,'LIQUIDAÇÃO 2025'!B:B,Tabela3[[#This Row],[CÓDIGO
 EMPRESA ]],'LIQUIDAÇÃO 2025'!C:C,Tabela3[[#This Row],[EMPRESA]],'LIQUIDAÇÃO 2025'!F:F,Tabela3[[#This Row],[EMPENHO]])</f>
        <v>39184.800000000003</v>
      </c>
      <c r="N197" s="69">
        <f t="shared" si="6"/>
        <v>0</v>
      </c>
    </row>
    <row r="198" spans="1:14">
      <c r="A198" s="626">
        <v>45889</v>
      </c>
      <c r="B198" s="627">
        <f>IFERROR(VLOOKUP(Tabela3[[#This Row],[RESERVA]],Tabela96[[RESERVA]:[PROJETO]],2,FALSE),"")</f>
        <v>30</v>
      </c>
      <c r="C198" s="628">
        <f>IFERROR(VLOOKUP(Tabela3[[#This Row],[RESERVA]],Tabela96[[RESERVA]:[PROJETO]],3,FALSE),"")</f>
        <v>2253</v>
      </c>
      <c r="D198" s="627">
        <f>IFERROR(VLOOKUP(Tabela3[[#This Row],[RESERVA]],Tabela96[[RESERVA]:[PROJETO]],4,FALSE),"")</f>
        <v>2124</v>
      </c>
      <c r="E198" s="627">
        <f>IFERROR(VLOOKUP(Tabela3[[#This Row],[RESERVA]],Tabela96[[RESERVA]:[PROJETO]],5,FALSE),"")</f>
        <v>25</v>
      </c>
      <c r="F198" s="629">
        <v>3000</v>
      </c>
      <c r="G198" s="629">
        <v>119152</v>
      </c>
      <c r="H198" s="836" t="s">
        <v>376</v>
      </c>
      <c r="I198" s="155">
        <v>19176</v>
      </c>
      <c r="J198" s="630">
        <v>23603.3</v>
      </c>
      <c r="K198" s="417"/>
      <c r="L198" s="428">
        <f>Tabela3[[#This Row],[VALOR
 EMPENHO]]-Tabela3[[#This Row],[ESTORNO]]</f>
        <v>23603.3</v>
      </c>
      <c r="M198" s="304">
        <f>SUMIFS('LIQUIDAÇÃO 2025'!K:K,'LIQUIDAÇÃO 2025'!B:B,Tabela3[[#This Row],[CÓDIGO
 EMPRESA ]],'LIQUIDAÇÃO 2025'!C:C,Tabela3[[#This Row],[EMPRESA]],'LIQUIDAÇÃO 2025'!F:F,Tabela3[[#This Row],[EMPENHO]])</f>
        <v>23603.3</v>
      </c>
      <c r="N198" s="69">
        <f t="shared" si="6"/>
        <v>0</v>
      </c>
    </row>
    <row r="199" spans="1:14">
      <c r="A199" s="152">
        <v>45889</v>
      </c>
      <c r="B199" s="48">
        <f>IFERROR(VLOOKUP(Tabela3[[#This Row],[RESERVA]],Tabela96[[RESERVA]:[PROJETO]],2,FALSE),"")</f>
        <v>30</v>
      </c>
      <c r="C199" s="555">
        <f>IFERROR(VLOOKUP(Tabela3[[#This Row],[RESERVA]],Tabela96[[RESERVA]:[PROJETO]],3,FALSE),"")</f>
        <v>2253</v>
      </c>
      <c r="D199" s="555">
        <f>IFERROR(VLOOKUP(Tabela3[[#This Row],[RESERVA]],Tabela96[[RESERVA]:[PROJETO]],4,FALSE),"")</f>
        <v>2124</v>
      </c>
      <c r="E199" s="48">
        <f>IFERROR(VLOOKUP(Tabela3[[#This Row],[RESERVA]],Tabela96[[RESERVA]:[PROJETO]],5,FALSE),"")</f>
        <v>25</v>
      </c>
      <c r="F199" s="36">
        <v>3003</v>
      </c>
      <c r="G199" s="36">
        <v>119166</v>
      </c>
      <c r="H199" s="104" t="s">
        <v>363</v>
      </c>
      <c r="I199" s="155">
        <v>19180</v>
      </c>
      <c r="J199" s="64">
        <v>23603.3</v>
      </c>
      <c r="K199" s="64"/>
      <c r="L199" s="428">
        <f>Tabela3[[#This Row],[VALOR
 EMPENHO]]-Tabela3[[#This Row],[ESTORNO]]</f>
        <v>23603.3</v>
      </c>
      <c r="M199" s="304">
        <f>SUMIFS('LIQUIDAÇÃO 2025'!K:K,'LIQUIDAÇÃO 2025'!B:B,Tabela3[[#This Row],[CÓDIGO
 EMPRESA ]],'LIQUIDAÇÃO 2025'!C:C,Tabela3[[#This Row],[EMPRESA]],'LIQUIDAÇÃO 2025'!F:F,Tabela3[[#This Row],[EMPENHO]])</f>
        <v>23603.3</v>
      </c>
      <c r="N199" s="69">
        <f t="shared" si="6"/>
        <v>0</v>
      </c>
    </row>
    <row r="200" spans="1:14">
      <c r="A200" s="626">
        <v>45889</v>
      </c>
      <c r="B200" s="627">
        <f>IFERROR(VLOOKUP(Tabela3[[#This Row],[RESERVA]],Tabela96[[RESERVA]:[PROJETO]],2,FALSE),"")</f>
        <v>30</v>
      </c>
      <c r="C200" s="628">
        <f>IFERROR(VLOOKUP(Tabela3[[#This Row],[RESERVA]],Tabela96[[RESERVA]:[PROJETO]],3,FALSE),"")</f>
        <v>2253</v>
      </c>
      <c r="D200" s="627">
        <f>IFERROR(VLOOKUP(Tabela3[[#This Row],[RESERVA]],Tabela96[[RESERVA]:[PROJETO]],4,FALSE),"")</f>
        <v>2124</v>
      </c>
      <c r="E200" s="627">
        <f>IFERROR(VLOOKUP(Tabela3[[#This Row],[RESERVA]],Tabela96[[RESERVA]:[PROJETO]],5,FALSE),"")</f>
        <v>25</v>
      </c>
      <c r="F200" s="629">
        <v>2998</v>
      </c>
      <c r="G200" s="629">
        <v>112466</v>
      </c>
      <c r="H200" s="836" t="s">
        <v>377</v>
      </c>
      <c r="I200" s="155">
        <v>19175</v>
      </c>
      <c r="J200" s="630">
        <v>23603.3</v>
      </c>
      <c r="K200" s="417"/>
      <c r="L200" s="428">
        <f>Tabela3[[#This Row],[VALOR
 EMPENHO]]-Tabela3[[#This Row],[ESTORNO]]</f>
        <v>23603.3</v>
      </c>
      <c r="M200" s="304">
        <f>SUMIFS('LIQUIDAÇÃO 2025'!K:K,'LIQUIDAÇÃO 2025'!B:B,Tabela3[[#This Row],[CÓDIGO
 EMPRESA ]],'LIQUIDAÇÃO 2025'!C:C,Tabela3[[#This Row],[EMPRESA]],'LIQUIDAÇÃO 2025'!F:F,Tabela3[[#This Row],[EMPENHO]])</f>
        <v>23603.3</v>
      </c>
      <c r="N200" s="69">
        <f t="shared" si="6"/>
        <v>0</v>
      </c>
    </row>
    <row r="201" spans="1:14">
      <c r="A201" s="152">
        <v>45889</v>
      </c>
      <c r="B201" s="554">
        <f>IFERROR(VLOOKUP(Tabela3[[#This Row],[RESERVA]],Tabela96[[RESERVA]:[PROJETO]],2,FALSE),"")</f>
        <v>30</v>
      </c>
      <c r="C201" s="555">
        <f>IFERROR(VLOOKUP(Tabela3[[#This Row],[RESERVA]],Tabela96[[RESERVA]:[PROJETO]],3,FALSE),"")</f>
        <v>2253</v>
      </c>
      <c r="D201" s="554">
        <f>IFERROR(VLOOKUP(Tabela3[[#This Row],[RESERVA]],Tabela96[[RESERVA]:[PROJETO]],4,FALSE),"")</f>
        <v>2124</v>
      </c>
      <c r="E201" s="554">
        <f>IFERROR(VLOOKUP(Tabela3[[#This Row],[RESERVA]],Tabela96[[RESERVA]:[PROJETO]],5,FALSE),"")</f>
        <v>25</v>
      </c>
      <c r="F201" s="36">
        <v>2996</v>
      </c>
      <c r="G201" s="36">
        <v>119149</v>
      </c>
      <c r="H201" s="217" t="s">
        <v>314</v>
      </c>
      <c r="I201" s="155">
        <v>19178</v>
      </c>
      <c r="J201" s="64">
        <v>23603.3</v>
      </c>
      <c r="K201" s="417"/>
      <c r="L201" s="428">
        <f>Tabela3[[#This Row],[VALOR
 EMPENHO]]-Tabela3[[#This Row],[ESTORNO]]</f>
        <v>23603.3</v>
      </c>
      <c r="M201" s="304">
        <f>SUMIFS('LIQUIDAÇÃO 2025'!K:K,'LIQUIDAÇÃO 2025'!B:B,Tabela3[[#This Row],[CÓDIGO
 EMPRESA ]],'LIQUIDAÇÃO 2025'!C:C,Tabela3[[#This Row],[EMPRESA]],'LIQUIDAÇÃO 2025'!F:F,Tabela3[[#This Row],[EMPENHO]])</f>
        <v>23603.3</v>
      </c>
      <c r="N201" s="69">
        <f t="shared" si="6"/>
        <v>0</v>
      </c>
    </row>
    <row r="202" spans="1:14">
      <c r="A202" s="626">
        <v>45895</v>
      </c>
      <c r="B202" s="627">
        <f>IFERROR(VLOOKUP(Tabela3[[#This Row],[RESERVA]],Tabela96[[RESERVA]:[PROJETO]],2,FALSE),"")</f>
        <v>29</v>
      </c>
      <c r="C202" s="628">
        <f>IFERROR(VLOOKUP(Tabela3[[#This Row],[RESERVA]],Tabela96[[RESERVA]:[PROJETO]],3,FALSE),"")</f>
        <v>2248</v>
      </c>
      <c r="D202" s="627">
        <f>IFERROR(VLOOKUP(Tabela3[[#This Row],[RESERVA]],Tabela96[[RESERVA]:[PROJETO]],4,FALSE),"")</f>
        <v>2123</v>
      </c>
      <c r="E202" s="627">
        <f>IFERROR(VLOOKUP(Tabela3[[#This Row],[RESERVA]],Tabela96[[RESERVA]:[PROJETO]],5,FALSE),"")</f>
        <v>69</v>
      </c>
      <c r="F202" s="629">
        <v>11089</v>
      </c>
      <c r="G202" s="629">
        <v>41807</v>
      </c>
      <c r="H202" s="217" t="s">
        <v>370</v>
      </c>
      <c r="I202" s="155">
        <v>19562</v>
      </c>
      <c r="J202" s="630">
        <v>93750</v>
      </c>
      <c r="K202" s="417">
        <v>93750</v>
      </c>
      <c r="L202" s="428">
        <f>Tabela3[[#This Row],[VALOR
 EMPENHO]]-Tabela3[[#This Row],[ESTORNO]]</f>
        <v>0</v>
      </c>
      <c r="M202" s="304">
        <f>SUMIFS('LIQUIDAÇÃO 2025'!K:K,'LIQUIDAÇÃO 2025'!B:B,Tabela3[[#This Row],[CÓDIGO
 EMPRESA ]],'LIQUIDAÇÃO 2025'!C:C,Tabela3[[#This Row],[EMPRESA]],'LIQUIDAÇÃO 2025'!F:F,Tabela3[[#This Row],[EMPENHO]])</f>
        <v>0</v>
      </c>
      <c r="N202" s="69">
        <f t="shared" si="6"/>
        <v>0</v>
      </c>
    </row>
    <row r="203" spans="1:14">
      <c r="A203" s="152">
        <v>45895</v>
      </c>
      <c r="B203" s="512">
        <f>IFERROR(VLOOKUP(Tabela3[[#This Row],[RESERVA]],Tabela96[[RESERVA]:[PROJETO]],2,FALSE),"")</f>
        <v>30</v>
      </c>
      <c r="C203" s="48">
        <f>IFERROR(VLOOKUP(Tabela3[[#This Row],[RESERVA]],Tabela96[[RESERVA]:[PROJETO]],3,FALSE),"")</f>
        <v>2253</v>
      </c>
      <c r="D203" s="512">
        <f>IFERROR(VLOOKUP(Tabela3[[#This Row],[RESERVA]],Tabela96[[RESERVA]:[PROJETO]],4,FALSE),"")</f>
        <v>2124</v>
      </c>
      <c r="E203" s="512">
        <f>IFERROR(VLOOKUP(Tabela3[[#This Row],[RESERVA]],Tabela96[[RESERVA]:[PROJETO]],5,FALSE),"")</f>
        <v>25</v>
      </c>
      <c r="F203" s="36">
        <v>2645</v>
      </c>
      <c r="G203" s="36">
        <v>103747</v>
      </c>
      <c r="H203" s="217" t="s">
        <v>371</v>
      </c>
      <c r="I203" s="155">
        <v>19569</v>
      </c>
      <c r="J203" s="64">
        <v>4000000</v>
      </c>
      <c r="K203" s="417"/>
      <c r="L203" s="428">
        <f>Tabela3[[#This Row],[VALOR
 EMPENHO]]-Tabela3[[#This Row],[ESTORNO]]</f>
        <v>4000000</v>
      </c>
      <c r="M203" s="304">
        <f>SUMIFS('LIQUIDAÇÃO 2025'!K:K,'LIQUIDAÇÃO 2025'!B:B,Tabela3[[#This Row],[CÓDIGO
 EMPRESA ]],'LIQUIDAÇÃO 2025'!C:C,Tabela3[[#This Row],[EMPRESA]],'LIQUIDAÇÃO 2025'!F:F,Tabela3[[#This Row],[EMPENHO]])</f>
        <v>4000000</v>
      </c>
      <c r="N203" s="69">
        <f t="shared" si="6"/>
        <v>0</v>
      </c>
    </row>
    <row r="204" spans="1:14">
      <c r="A204" s="152">
        <v>45895</v>
      </c>
      <c r="B204" s="512">
        <f>IFERROR(VLOOKUP(Tabela3[[#This Row],[RESERVA]],Tabela96[[RESERVA]:[PROJETO]],2,FALSE),"")</f>
        <v>29</v>
      </c>
      <c r="C204" s="628">
        <f>IFERROR(VLOOKUP(Tabela3[[#This Row],[RESERVA]],Tabela96[[RESERVA]:[PROJETO]],3,FALSE),"")</f>
        <v>2248</v>
      </c>
      <c r="D204" s="512">
        <f>IFERROR(VLOOKUP(Tabela3[[#This Row],[RESERVA]],Tabela96[[RESERVA]:[PROJETO]],4,FALSE),"")</f>
        <v>2123</v>
      </c>
      <c r="E204" s="512">
        <f>IFERROR(VLOOKUP(Tabela3[[#This Row],[RESERVA]],Tabela96[[RESERVA]:[PROJETO]],5,FALSE),"")</f>
        <v>69</v>
      </c>
      <c r="F204" s="36">
        <v>11086</v>
      </c>
      <c r="G204" s="36">
        <v>67547</v>
      </c>
      <c r="H204" s="217" t="s">
        <v>294</v>
      </c>
      <c r="I204" s="155">
        <v>19564</v>
      </c>
      <c r="J204" s="64">
        <v>43600</v>
      </c>
      <c r="K204" s="417">
        <v>43600</v>
      </c>
      <c r="L204" s="428">
        <f>Tabela3[[#This Row],[VALOR
 EMPENHO]]-Tabela3[[#This Row],[ESTORNO]]</f>
        <v>0</v>
      </c>
      <c r="M204" s="304">
        <f>SUMIFS('LIQUIDAÇÃO 2025'!K:K,'LIQUIDAÇÃO 2025'!B:B,Tabela3[[#This Row],[CÓDIGO
 EMPRESA ]],'LIQUIDAÇÃO 2025'!C:C,Tabela3[[#This Row],[EMPRESA]],'LIQUIDAÇÃO 2025'!F:F,Tabela3[[#This Row],[EMPENHO]])</f>
        <v>0</v>
      </c>
      <c r="N204" s="69">
        <f t="shared" ref="N204" si="7">L204-M204</f>
        <v>0</v>
      </c>
    </row>
    <row r="205" spans="1:14">
      <c r="A205" s="152">
        <v>45895</v>
      </c>
      <c r="B205" s="512">
        <f>IFERROR(VLOOKUP(Tabela3[[#This Row],[RESERVA]],Tabela96[[RESERVA]:[PROJETO]],2,FALSE),"")</f>
        <v>29</v>
      </c>
      <c r="C205" s="628">
        <f>IFERROR(VLOOKUP(Tabela3[[#This Row],[RESERVA]],Tabela96[[RESERVA]:[PROJETO]],3,FALSE),"")</f>
        <v>2248</v>
      </c>
      <c r="D205" s="512">
        <f>IFERROR(VLOOKUP(Tabela3[[#This Row],[RESERVA]],Tabela96[[RESERVA]:[PROJETO]],4,FALSE),"")</f>
        <v>2123</v>
      </c>
      <c r="E205" s="512">
        <f>IFERROR(VLOOKUP(Tabela3[[#This Row],[RESERVA]],Tabela96[[RESERVA]:[PROJETO]],5,FALSE),"")</f>
        <v>69</v>
      </c>
      <c r="F205" s="36">
        <v>11086</v>
      </c>
      <c r="G205" s="36">
        <v>67547</v>
      </c>
      <c r="H205" s="217" t="s">
        <v>294</v>
      </c>
      <c r="I205" s="155">
        <v>19564</v>
      </c>
      <c r="J205" s="64">
        <v>43600</v>
      </c>
      <c r="K205" s="417">
        <v>43600</v>
      </c>
      <c r="L205" s="428">
        <f>Tabela3[[#This Row],[VALOR
 EMPENHO]]-Tabela3[[#This Row],[ESTORNO]]</f>
        <v>0</v>
      </c>
      <c r="M205" s="304">
        <f>SUMIFS('LIQUIDAÇÃO 2025'!K:K,'LIQUIDAÇÃO 2025'!B:B,Tabela3[[#This Row],[CÓDIGO
 EMPRESA ]],'LIQUIDAÇÃO 2025'!C:C,Tabela3[[#This Row],[EMPRESA]],'LIQUIDAÇÃO 2025'!F:F,Tabela3[[#This Row],[EMPENHO]])</f>
        <v>0</v>
      </c>
      <c r="N205" s="69">
        <f t="shared" si="6"/>
        <v>0</v>
      </c>
    </row>
    <row r="206" spans="1:14">
      <c r="A206" s="626">
        <v>45895</v>
      </c>
      <c r="B206" s="627">
        <f>IFERROR(VLOOKUP(Tabela3[[#This Row],[RESERVA]],Tabela96[[RESERVA]:[PROJETO]],2,FALSE),"")</f>
        <v>29</v>
      </c>
      <c r="C206" s="628">
        <f>IFERROR(VLOOKUP(Tabela3[[#This Row],[RESERVA]],Tabela96[[RESERVA]:[PROJETO]],3,FALSE),"")</f>
        <v>2244</v>
      </c>
      <c r="D206" s="627">
        <f>IFERROR(VLOOKUP(Tabela3[[#This Row],[RESERVA]],Tabela96[[RESERVA]:[PROJETO]],4,FALSE),"")</f>
        <v>2123</v>
      </c>
      <c r="E206" s="627">
        <f>IFERROR(VLOOKUP(Tabela3[[#This Row],[RESERVA]],Tabela96[[RESERVA]:[PROJETO]],5,FALSE),"")</f>
        <v>92</v>
      </c>
      <c r="F206" s="629">
        <v>11087</v>
      </c>
      <c r="G206" s="36">
        <v>67547</v>
      </c>
      <c r="H206" s="217" t="s">
        <v>294</v>
      </c>
      <c r="I206" s="155">
        <v>19566</v>
      </c>
      <c r="J206" s="630">
        <v>29200</v>
      </c>
      <c r="K206" s="417">
        <v>29200</v>
      </c>
      <c r="L206" s="428">
        <f>Tabela3[[#This Row],[VALOR
 EMPENHO]]-Tabela3[[#This Row],[ESTORNO]]</f>
        <v>0</v>
      </c>
      <c r="M206" s="304">
        <f>SUMIFS('LIQUIDAÇÃO 2025'!K:K,'LIQUIDAÇÃO 2025'!B:B,Tabela3[[#This Row],[CÓDIGO
 EMPRESA ]],'LIQUIDAÇÃO 2025'!C:C,Tabela3[[#This Row],[EMPRESA]],'LIQUIDAÇÃO 2025'!F:F,Tabela3[[#This Row],[EMPENHO]])</f>
        <v>0</v>
      </c>
      <c r="N206" s="69">
        <f t="shared" si="6"/>
        <v>0</v>
      </c>
    </row>
    <row r="207" spans="1:14">
      <c r="A207" s="626">
        <v>45895</v>
      </c>
      <c r="B207" s="627">
        <f>IFERROR(VLOOKUP(Tabela3[[#This Row],[RESERVA]],Tabela96[[RESERVA]:[PROJETO]],2,FALSE),"")</f>
        <v>32</v>
      </c>
      <c r="C207" s="628">
        <f>IFERROR(VLOOKUP(Tabela3[[#This Row],[RESERVA]],Tabela96[[RESERVA]:[PROJETO]],3,FALSE),"")</f>
        <v>2229</v>
      </c>
      <c r="D207" s="627">
        <f>IFERROR(VLOOKUP(Tabela3[[#This Row],[RESERVA]],Tabela96[[RESERVA]:[PROJETO]],4,FALSE),"")</f>
        <v>2128</v>
      </c>
      <c r="E207" s="627">
        <f>IFERROR(VLOOKUP(Tabela3[[#This Row],[RESERVA]],Tabela96[[RESERVA]:[PROJETO]],5,FALSE),"")</f>
        <v>242</v>
      </c>
      <c r="F207" s="629">
        <v>8965</v>
      </c>
      <c r="G207" s="629">
        <v>46674</v>
      </c>
      <c r="H207" s="950" t="s">
        <v>338</v>
      </c>
      <c r="I207" s="155">
        <v>19571</v>
      </c>
      <c r="J207" s="630">
        <v>200000</v>
      </c>
      <c r="K207" s="417"/>
      <c r="L207" s="428">
        <f>Tabela3[[#This Row],[VALOR
 EMPENHO]]-Tabela3[[#This Row],[ESTORNO]]</f>
        <v>200000</v>
      </c>
      <c r="M207" s="304">
        <f>SUMIFS('LIQUIDAÇÃO 2025'!K:K,'LIQUIDAÇÃO 2025'!B:B,Tabela3[[#This Row],[CÓDIGO
 EMPRESA ]],'LIQUIDAÇÃO 2025'!C:C,Tabela3[[#This Row],[EMPRESA]],'LIQUIDAÇÃO 2025'!F:F,Tabela3[[#This Row],[EMPENHO]])</f>
        <v>200000</v>
      </c>
      <c r="N207" s="69">
        <f t="shared" si="6"/>
        <v>0</v>
      </c>
    </row>
    <row r="208" spans="1:14">
      <c r="A208" s="152">
        <v>45897</v>
      </c>
      <c r="B208" s="512">
        <f>IFERROR(VLOOKUP(Tabela3[[#This Row],[RESERVA]],Tabela96[[RESERVA]:[PROJETO]],2,FALSE),"")</f>
        <v>30</v>
      </c>
      <c r="C208" s="48">
        <f>IFERROR(VLOOKUP(Tabela3[[#This Row],[RESERVA]],Tabela96[[RESERVA]:[PROJETO]],3,FALSE),"")</f>
        <v>2261</v>
      </c>
      <c r="D208" s="512">
        <f>IFERROR(VLOOKUP(Tabela3[[#This Row],[RESERVA]],Tabela96[[RESERVA]:[PROJETO]],4,FALSE),"")</f>
        <v>2126</v>
      </c>
      <c r="E208" s="512">
        <f>IFERROR(VLOOKUP(Tabela3[[#This Row],[RESERVA]],Tabela96[[RESERVA]:[PROJETO]],5,FALSE),"")</f>
        <v>104</v>
      </c>
      <c r="F208" s="36">
        <v>2623</v>
      </c>
      <c r="G208" s="36">
        <v>67538</v>
      </c>
      <c r="H208" s="964" t="s">
        <v>325</v>
      </c>
      <c r="I208" s="155">
        <v>19697</v>
      </c>
      <c r="J208" s="64">
        <v>3070.32</v>
      </c>
      <c r="K208" s="417"/>
      <c r="L208" s="428">
        <f>Tabela3[[#This Row],[VALOR
 EMPENHO]]-Tabela3[[#This Row],[ESTORNO]]</f>
        <v>3070.32</v>
      </c>
      <c r="M208" s="304">
        <f>SUMIFS('LIQUIDAÇÃO 2025'!K:K,'LIQUIDAÇÃO 2025'!B:B,Tabela3[[#This Row],[CÓDIGO
 EMPRESA ]],'LIQUIDAÇÃO 2025'!C:C,Tabela3[[#This Row],[EMPRESA]],'LIQUIDAÇÃO 2025'!F:F,Tabela3[[#This Row],[EMPENHO]])</f>
        <v>3070.32</v>
      </c>
      <c r="N208" s="69">
        <f t="shared" si="6"/>
        <v>0</v>
      </c>
    </row>
    <row r="209" spans="1:14">
      <c r="A209" s="626">
        <v>45897</v>
      </c>
      <c r="B209" s="627">
        <f>IFERROR(VLOOKUP(Tabela3[[#This Row],[RESERVA]],Tabela96[[RESERVA]:[PROJETO]],2,FALSE),"")</f>
        <v>30</v>
      </c>
      <c r="C209" s="628">
        <f>IFERROR(VLOOKUP(Tabela3[[#This Row],[RESERVA]],Tabela96[[RESERVA]:[PROJETO]],3,FALSE),"")</f>
        <v>2253</v>
      </c>
      <c r="D209" s="627">
        <f>IFERROR(VLOOKUP(Tabela3[[#This Row],[RESERVA]],Tabela96[[RESERVA]:[PROJETO]],4,FALSE),"")</f>
        <v>2124</v>
      </c>
      <c r="E209" s="627">
        <f>IFERROR(VLOOKUP(Tabela3[[#This Row],[RESERVA]],Tabela96[[RESERVA]:[PROJETO]],5,FALSE),"")</f>
        <v>25</v>
      </c>
      <c r="F209" s="629">
        <v>3002</v>
      </c>
      <c r="G209" s="629">
        <v>60979</v>
      </c>
      <c r="H209" s="801" t="s">
        <v>122</v>
      </c>
      <c r="I209" s="155">
        <v>19658</v>
      </c>
      <c r="J209" s="630">
        <v>700000</v>
      </c>
      <c r="K209" s="417"/>
      <c r="L209" s="428">
        <f>Tabela3[[#This Row],[VALOR
 EMPENHO]]-Tabela3[[#This Row],[ESTORNO]]</f>
        <v>700000</v>
      </c>
      <c r="M209" s="304">
        <f>SUMIFS('LIQUIDAÇÃO 2025'!K:K,'LIQUIDAÇÃO 2025'!B:B,Tabela3[[#This Row],[CÓDIGO
 EMPRESA ]],'LIQUIDAÇÃO 2025'!C:C,Tabela3[[#This Row],[EMPRESA]],'LIQUIDAÇÃO 2025'!F:F,Tabela3[[#This Row],[EMPENHO]])</f>
        <v>700000</v>
      </c>
      <c r="N209" s="69">
        <f t="shared" si="6"/>
        <v>0</v>
      </c>
    </row>
    <row r="210" spans="1:14">
      <c r="A210" s="626">
        <v>45902</v>
      </c>
      <c r="B210" s="627">
        <f>IFERROR(VLOOKUP(Tabela3[[#This Row],[RESERVA]],Tabela96[[RESERVA]:[PROJETO]],2,FALSE),"")</f>
        <v>32</v>
      </c>
      <c r="C210" s="628">
        <f>IFERROR(VLOOKUP(Tabela3[[#This Row],[RESERVA]],Tabela96[[RESERVA]:[PROJETO]],3,FALSE),"")</f>
        <v>2226</v>
      </c>
      <c r="D210" s="627">
        <f>IFERROR(VLOOKUP(Tabela3[[#This Row],[RESERVA]],Tabela96[[RESERVA]:[PROJETO]],4,FALSE),"")</f>
        <v>2128</v>
      </c>
      <c r="E210" s="627">
        <f>IFERROR(VLOOKUP(Tabela3[[#This Row],[RESERVA]],Tabela96[[RESERVA]:[PROJETO]],5,FALSE),"")</f>
        <v>50</v>
      </c>
      <c r="F210" s="629">
        <v>11293</v>
      </c>
      <c r="G210" s="629">
        <v>119710</v>
      </c>
      <c r="H210" s="217" t="s">
        <v>629</v>
      </c>
      <c r="I210" s="155">
        <v>20089</v>
      </c>
      <c r="J210" s="630">
        <v>2565</v>
      </c>
      <c r="K210" s="417"/>
      <c r="L210" s="428">
        <f>Tabela3[[#This Row],[VALOR
 EMPENHO]]-Tabela3[[#This Row],[ESTORNO]]</f>
        <v>2565</v>
      </c>
      <c r="M210" s="304">
        <f>SUMIFS('LIQUIDAÇÃO 2025'!K:K,'LIQUIDAÇÃO 2025'!B:B,Tabela3[[#This Row],[CÓDIGO
 EMPRESA ]],'LIQUIDAÇÃO 2025'!C:C,Tabela3[[#This Row],[EMPRESA]],'LIQUIDAÇÃO 2025'!F:F,Tabela3[[#This Row],[EMPENHO]])</f>
        <v>2565</v>
      </c>
      <c r="N210" s="69">
        <f t="shared" si="6"/>
        <v>0</v>
      </c>
    </row>
    <row r="211" spans="1:14">
      <c r="A211" s="152">
        <v>45902</v>
      </c>
      <c r="B211" s="512">
        <f>IFERROR(VLOOKUP(Tabela3[[#This Row],[RESERVA]],Tabela96[[RESERVA]:[PROJETO]],2,FALSE),"")</f>
        <v>32</v>
      </c>
      <c r="C211" s="48">
        <f>IFERROR(VLOOKUP(Tabela3[[#This Row],[RESERVA]],Tabela96[[RESERVA]:[PROJETO]],3,FALSE),"")</f>
        <v>2226</v>
      </c>
      <c r="D211" s="512">
        <f>IFERROR(VLOOKUP(Tabela3[[#This Row],[RESERVA]],Tabela96[[RESERVA]:[PROJETO]],4,FALSE),"")</f>
        <v>2128</v>
      </c>
      <c r="E211" s="512">
        <f>IFERROR(VLOOKUP(Tabela3[[#This Row],[RESERVA]],Tabela96[[RESERVA]:[PROJETO]],5,FALSE),"")</f>
        <v>84</v>
      </c>
      <c r="F211" s="36">
        <v>11292</v>
      </c>
      <c r="G211" s="36">
        <v>51481</v>
      </c>
      <c r="H211" s="217" t="s">
        <v>611</v>
      </c>
      <c r="I211" s="155">
        <v>20078</v>
      </c>
      <c r="J211" s="64">
        <v>28000</v>
      </c>
      <c r="K211" s="417"/>
      <c r="L211" s="428">
        <f>Tabela3[[#This Row],[VALOR
 EMPENHO]]-Tabela3[[#This Row],[ESTORNO]]</f>
        <v>28000</v>
      </c>
      <c r="M211" s="304">
        <f>SUMIFS('LIQUIDAÇÃO 2025'!K:K,'LIQUIDAÇÃO 2025'!B:B,Tabela3[[#This Row],[CÓDIGO
 EMPRESA ]],'LIQUIDAÇÃO 2025'!C:C,Tabela3[[#This Row],[EMPRESA]],'LIQUIDAÇÃO 2025'!F:F,Tabela3[[#This Row],[EMPENHO]])</f>
        <v>0</v>
      </c>
      <c r="N211" s="69">
        <f t="shared" si="6"/>
        <v>28000</v>
      </c>
    </row>
    <row r="212" spans="1:14">
      <c r="A212" s="152">
        <v>45902</v>
      </c>
      <c r="B212" s="512">
        <f>IFERROR(VLOOKUP(Tabela3[[#This Row],[RESERVA]],Tabela96[[RESERVA]:[PROJETO]],2,FALSE),"")</f>
        <v>30</v>
      </c>
      <c r="C212" s="48">
        <f>IFERROR(VLOOKUP(Tabela3[[#This Row],[RESERVA]],Tabela96[[RESERVA]:[PROJETO]],3,FALSE),"")</f>
        <v>2253</v>
      </c>
      <c r="D212" s="512">
        <f>IFERROR(VLOOKUP(Tabela3[[#This Row],[RESERVA]],Tabela96[[RESERVA]:[PROJETO]],4,FALSE),"")</f>
        <v>2124</v>
      </c>
      <c r="E212" s="512">
        <f>IFERROR(VLOOKUP(Tabela3[[#This Row],[RESERVA]],Tabela96[[RESERVA]:[PROJETO]],5,FALSE),"")</f>
        <v>25</v>
      </c>
      <c r="F212" s="36">
        <v>8516</v>
      </c>
      <c r="G212" s="36">
        <v>73112</v>
      </c>
      <c r="H212" s="217" t="s">
        <v>685</v>
      </c>
      <c r="I212" s="155">
        <v>20079</v>
      </c>
      <c r="J212" s="64">
        <v>1000000</v>
      </c>
      <c r="K212" s="417"/>
      <c r="L212" s="428">
        <f>Tabela3[[#This Row],[VALOR
 EMPENHO]]-Tabela3[[#This Row],[ESTORNO]]</f>
        <v>1000000</v>
      </c>
      <c r="M212" s="304">
        <f>SUMIFS('LIQUIDAÇÃO 2025'!K:K,'LIQUIDAÇÃO 2025'!B:B,Tabela3[[#This Row],[CÓDIGO
 EMPRESA ]],'LIQUIDAÇÃO 2025'!C:C,Tabela3[[#This Row],[EMPRESA]],'LIQUIDAÇÃO 2025'!F:F,Tabela3[[#This Row],[EMPENHO]])</f>
        <v>1000000</v>
      </c>
      <c r="N212" s="69">
        <f t="shared" si="6"/>
        <v>0</v>
      </c>
    </row>
    <row r="213" spans="1:14">
      <c r="A213" s="152">
        <v>45908</v>
      </c>
      <c r="B213" s="512">
        <f>IFERROR(VLOOKUP(Tabela3[[#This Row],[RESERVA]],Tabela96[[RESERVA]:[PROJETO]],2,FALSE),"")</f>
        <v>30</v>
      </c>
      <c r="C213" s="48">
        <f>IFERROR(VLOOKUP(Tabela3[[#This Row],[RESERVA]],Tabela96[[RESERVA]:[PROJETO]],3,FALSE),"")</f>
        <v>2253</v>
      </c>
      <c r="D213" s="512">
        <f>IFERROR(VLOOKUP(Tabela3[[#This Row],[RESERVA]],Tabela96[[RESERVA]:[PROJETO]],4,FALSE),"")</f>
        <v>2124</v>
      </c>
      <c r="E213" s="512">
        <f>IFERROR(VLOOKUP(Tabela3[[#This Row],[RESERVA]],Tabela96[[RESERVA]:[PROJETO]],5,FALSE),"")</f>
        <v>25</v>
      </c>
      <c r="F213" s="36">
        <v>2999</v>
      </c>
      <c r="G213" s="36">
        <v>121426</v>
      </c>
      <c r="H213" s="104" t="s">
        <v>316</v>
      </c>
      <c r="I213" s="155">
        <v>20419</v>
      </c>
      <c r="J213" s="64">
        <v>201663.2</v>
      </c>
      <c r="K213" s="417"/>
      <c r="L213" s="428">
        <f>Tabela3[[#This Row],[VALOR
 EMPENHO]]-Tabela3[[#This Row],[ESTORNO]]</f>
        <v>201663.2</v>
      </c>
      <c r="M213" s="304">
        <f>SUMIFS('LIQUIDAÇÃO 2025'!K:K,'LIQUIDAÇÃO 2025'!B:B,Tabela3[[#This Row],[CÓDIGO
 EMPRESA ]],'LIQUIDAÇÃO 2025'!C:C,Tabela3[[#This Row],[EMPRESA]],'LIQUIDAÇÃO 2025'!F:F,Tabela3[[#This Row],[EMPENHO]])</f>
        <v>185402.74</v>
      </c>
      <c r="N213" s="69">
        <f t="shared" si="6"/>
        <v>16260.46</v>
      </c>
    </row>
    <row r="214" spans="1:14">
      <c r="A214" s="152">
        <v>45917</v>
      </c>
      <c r="B214" s="512">
        <f>IFERROR(VLOOKUP(Tabela3[[#This Row],[RESERVA]],Tabela96[[RESERVA]:[PROJETO]],2,FALSE),"")</f>
        <v>32</v>
      </c>
      <c r="C214" s="48">
        <f>IFERROR(VLOOKUP(Tabela3[[#This Row],[RESERVA]],Tabela96[[RESERVA]:[PROJETO]],3,FALSE),"")</f>
        <v>2229</v>
      </c>
      <c r="D214" s="512">
        <f>IFERROR(VLOOKUP(Tabela3[[#This Row],[RESERVA]],Tabela96[[RESERVA]:[PROJETO]],4,FALSE),"")</f>
        <v>2128</v>
      </c>
      <c r="E214" s="512">
        <f>IFERROR(VLOOKUP(Tabela3[[#This Row],[RESERVA]],Tabela96[[RESERVA]:[PROJETO]],5,FALSE),"")</f>
        <v>104</v>
      </c>
      <c r="F214" s="36">
        <v>11791</v>
      </c>
      <c r="G214" s="36">
        <v>54175</v>
      </c>
      <c r="H214" s="217" t="s">
        <v>774</v>
      </c>
      <c r="I214" s="155">
        <v>20987</v>
      </c>
      <c r="J214" s="648">
        <v>1128.5999999999999</v>
      </c>
      <c r="K214" s="417"/>
      <c r="L214" s="428">
        <f>Tabela3[[#This Row],[VALOR
 EMPENHO]]-Tabela3[[#This Row],[ESTORNO]]</f>
        <v>1128.5999999999999</v>
      </c>
      <c r="M214" s="304">
        <f>SUMIFS('LIQUIDAÇÃO 2025'!K:K,'LIQUIDAÇÃO 2025'!B:B,Tabela3[[#This Row],[CÓDIGO
 EMPRESA ]],'LIQUIDAÇÃO 2025'!C:C,Tabela3[[#This Row],[EMPRESA]],'LIQUIDAÇÃO 2025'!F:F,Tabela3[[#This Row],[EMPENHO]])</f>
        <v>1128.5999999999999</v>
      </c>
      <c r="N214" s="69">
        <f t="shared" si="6"/>
        <v>0</v>
      </c>
    </row>
    <row r="215" spans="1:14">
      <c r="A215" s="152">
        <v>45918</v>
      </c>
      <c r="B215" s="512">
        <f>IFERROR(VLOOKUP(Tabela3[[#This Row],[RESERVA]],Tabela96[[RESERVA]:[PROJETO]],2,FALSE),"")</f>
        <v>30</v>
      </c>
      <c r="C215" s="48">
        <f>IFERROR(VLOOKUP(Tabela3[[#This Row],[RESERVA]],Tabela96[[RESERVA]:[PROJETO]],3,FALSE),"")</f>
        <v>2253</v>
      </c>
      <c r="D215" s="512">
        <f>IFERROR(VLOOKUP(Tabela3[[#This Row],[RESERVA]],Tabela96[[RESERVA]:[PROJETO]],4,FALSE),"")</f>
        <v>2124</v>
      </c>
      <c r="E215" s="512">
        <f>IFERROR(VLOOKUP(Tabela3[[#This Row],[RESERVA]],Tabela96[[RESERVA]:[PROJETO]],5,FALSE),"")</f>
        <v>25</v>
      </c>
      <c r="F215" s="36">
        <v>2995</v>
      </c>
      <c r="G215" s="36">
        <v>118247</v>
      </c>
      <c r="H215" s="217" t="s">
        <v>375</v>
      </c>
      <c r="I215" s="155">
        <v>21207</v>
      </c>
      <c r="J215" s="648">
        <v>35924</v>
      </c>
      <c r="K215" s="417"/>
      <c r="L215" s="428">
        <f>Tabela3[[#This Row],[VALOR
 EMPENHO]]-Tabela3[[#This Row],[ESTORNO]]</f>
        <v>35924</v>
      </c>
      <c r="M215" s="304">
        <f>SUMIFS('LIQUIDAÇÃO 2025'!K:K,'LIQUIDAÇÃO 2025'!B:B,Tabela3[[#This Row],[CÓDIGO
 EMPRESA ]],'LIQUIDAÇÃO 2025'!C:C,Tabela3[[#This Row],[EMPRESA]],'LIQUIDAÇÃO 2025'!F:F,Tabela3[[#This Row],[EMPENHO]])</f>
        <v>35924</v>
      </c>
      <c r="N215" s="69">
        <f t="shared" si="6"/>
        <v>0</v>
      </c>
    </row>
    <row r="216" spans="1:14">
      <c r="A216" s="152">
        <v>45918</v>
      </c>
      <c r="B216" s="512">
        <f>IFERROR(VLOOKUP(Tabela3[[#This Row],[RESERVA]],Tabela96[[RESERVA]:[PROJETO]],2,FALSE),"")</f>
        <v>30</v>
      </c>
      <c r="C216" s="48">
        <f>IFERROR(VLOOKUP(Tabela3[[#This Row],[RESERVA]],Tabela96[[RESERVA]:[PROJETO]],3,FALSE),"")</f>
        <v>2253</v>
      </c>
      <c r="D216" s="512">
        <f>IFERROR(VLOOKUP(Tabela3[[#This Row],[RESERVA]],Tabela96[[RESERVA]:[PROJETO]],4,FALSE),"")</f>
        <v>2124</v>
      </c>
      <c r="E216" s="512">
        <f>IFERROR(VLOOKUP(Tabela3[[#This Row],[RESERVA]],Tabela96[[RESERVA]:[PROJETO]],5,FALSE),"")</f>
        <v>25</v>
      </c>
      <c r="F216" s="36">
        <v>2996</v>
      </c>
      <c r="G216" s="36">
        <v>119149</v>
      </c>
      <c r="H216" s="217" t="s">
        <v>314</v>
      </c>
      <c r="I216" s="155">
        <v>21209</v>
      </c>
      <c r="J216" s="648">
        <v>61619.8</v>
      </c>
      <c r="K216" s="417"/>
      <c r="L216" s="428">
        <f>Tabela3[[#This Row],[VALOR
 EMPENHO]]-Tabela3[[#This Row],[ESTORNO]]</f>
        <v>61619.8</v>
      </c>
      <c r="M216" s="304">
        <f>SUMIFS('LIQUIDAÇÃO 2025'!K:K,'LIQUIDAÇÃO 2025'!B:B,Tabela3[[#This Row],[CÓDIGO
 EMPRESA ]],'LIQUIDAÇÃO 2025'!C:C,Tabela3[[#This Row],[EMPRESA]],'LIQUIDAÇÃO 2025'!F:F,Tabela3[[#This Row],[EMPENHO]])</f>
        <v>61619.8</v>
      </c>
      <c r="N216" s="69">
        <f t="shared" si="6"/>
        <v>0</v>
      </c>
    </row>
    <row r="217" spans="1:14">
      <c r="A217" s="677">
        <v>45918</v>
      </c>
      <c r="B217" s="512">
        <f>IFERROR(VLOOKUP(Tabela3[[#This Row],[RESERVA]],Tabela96[[RESERVA]:[PROJETO]],2,FALSE),"")</f>
        <v>30</v>
      </c>
      <c r="C217" s="48">
        <f>IFERROR(VLOOKUP(Tabela3[[#This Row],[RESERVA]],Tabela96[[RESERVA]:[PROJETO]],3,FALSE),"")</f>
        <v>2253</v>
      </c>
      <c r="D217" s="512">
        <f>IFERROR(VLOOKUP(Tabela3[[#This Row],[RESERVA]],Tabela96[[RESERVA]:[PROJETO]],4,FALSE),"")</f>
        <v>2124</v>
      </c>
      <c r="E217" s="512">
        <f>IFERROR(VLOOKUP(Tabela3[[#This Row],[RESERVA]],Tabela96[[RESERVA]:[PROJETO]],5,FALSE),"")</f>
        <v>25</v>
      </c>
      <c r="F217" s="680">
        <v>11790</v>
      </c>
      <c r="G217" s="680">
        <v>68004</v>
      </c>
      <c r="H217" t="s">
        <v>382</v>
      </c>
      <c r="I217" s="155">
        <v>21442</v>
      </c>
      <c r="J217" s="681">
        <v>4618.34</v>
      </c>
      <c r="K217" s="417"/>
      <c r="L217" s="428">
        <f>Tabela3[[#This Row],[VALOR
 EMPENHO]]-Tabela3[[#This Row],[ESTORNO]]</f>
        <v>4618.34</v>
      </c>
      <c r="M217" s="304">
        <f>SUMIFS('LIQUIDAÇÃO 2025'!K:K,'LIQUIDAÇÃO 2025'!B:B,Tabela3[[#This Row],[CÓDIGO
 EMPRESA ]],'LIQUIDAÇÃO 2025'!C:C,Tabela3[[#This Row],[EMPRESA]],'LIQUIDAÇÃO 2025'!F:F,Tabela3[[#This Row],[EMPENHO]])</f>
        <v>4618.34</v>
      </c>
      <c r="N217" s="69">
        <f t="shared" si="6"/>
        <v>0</v>
      </c>
    </row>
    <row r="218" spans="1:14">
      <c r="A218" s="677">
        <v>45922</v>
      </c>
      <c r="B218" s="678">
        <f>IFERROR(VLOOKUP(Tabela3[[#This Row],[RESERVA]],Tabela96[[RESERVA]:[PROJETO]],2,FALSE),"")</f>
        <v>32</v>
      </c>
      <c r="C218" s="48">
        <f>IFERROR(VLOOKUP(Tabela3[[#This Row],[RESERVA]],Tabela96[[RESERVA]:[PROJETO]],3,FALSE),"")</f>
        <v>2226</v>
      </c>
      <c r="D218" s="512">
        <f>IFERROR(VLOOKUP(Tabela3[[#This Row],[RESERVA]],Tabela96[[RESERVA]:[PROJETO]],4,FALSE),"")</f>
        <v>2128</v>
      </c>
      <c r="E218" s="678">
        <f>IFERROR(VLOOKUP(Tabela3[[#This Row],[RESERVA]],Tabela96[[RESERVA]:[PROJETO]],5,FALSE),"")</f>
        <v>84</v>
      </c>
      <c r="F218" s="680">
        <v>11838</v>
      </c>
      <c r="G218" s="680">
        <v>51481</v>
      </c>
      <c r="H218" s="217" t="s">
        <v>611</v>
      </c>
      <c r="I218" s="155">
        <v>21558</v>
      </c>
      <c r="J218" s="681">
        <v>28000</v>
      </c>
      <c r="K218" s="417"/>
      <c r="L218" s="428">
        <f>Tabela3[[#This Row],[VALOR
 EMPENHO]]-Tabela3[[#This Row],[ESTORNO]]</f>
        <v>28000</v>
      </c>
      <c r="M218" s="304">
        <f>SUMIFS('LIQUIDAÇÃO 2025'!K:K,'LIQUIDAÇÃO 2025'!B:B,Tabela3[[#This Row],[CÓDIGO
 EMPRESA ]],'LIQUIDAÇÃO 2025'!C:C,Tabela3[[#This Row],[EMPRESA]],'LIQUIDAÇÃO 2025'!F:F,Tabela3[[#This Row],[EMPENHO]])</f>
        <v>0</v>
      </c>
      <c r="N218" s="682">
        <f t="shared" si="6"/>
        <v>28000</v>
      </c>
    </row>
    <row r="219" spans="1:14">
      <c r="A219" s="152">
        <v>45923</v>
      </c>
      <c r="B219" s="512">
        <f>IFERROR(VLOOKUP(Tabela3[[#This Row],[RESERVA]],Tabela96[[RESERVA]:[PROJETO]],2,FALSE),"")</f>
        <v>79</v>
      </c>
      <c r="C219" s="48">
        <f>IFERROR(VLOOKUP(Tabela3[[#This Row],[RESERVA]],Tabela96[[RESERVA]:[PROJETO]],3,FALSE),"")</f>
        <v>3731</v>
      </c>
      <c r="D219" s="512">
        <f>IFERROR(VLOOKUP(Tabela3[[#This Row],[RESERVA]],Tabela96[[RESERVA]:[PROJETO]],4,FALSE),"")</f>
        <v>2225</v>
      </c>
      <c r="E219" s="512">
        <f>IFERROR(VLOOKUP(Tabela3[[#This Row],[RESERVA]],Tabela96[[RESERVA]:[PROJETO]],5,FALSE),"")</f>
        <v>681</v>
      </c>
      <c r="F219" s="36">
        <v>11997</v>
      </c>
      <c r="G219" s="36">
        <v>73402</v>
      </c>
      <c r="H219" s="576" t="s">
        <v>295</v>
      </c>
      <c r="I219" s="155">
        <v>21661</v>
      </c>
      <c r="J219" s="681">
        <v>142884.96</v>
      </c>
      <c r="K219" s="64"/>
      <c r="L219" s="428">
        <f>Tabela3[[#This Row],[VALOR
 EMPENHO]]-Tabela3[[#This Row],[ESTORNO]]</f>
        <v>142884.96</v>
      </c>
      <c r="M219" s="304">
        <f>SUMIFS('LIQUIDAÇÃO 2025'!K:K,'LIQUIDAÇÃO 2025'!B:B,Tabela3[[#This Row],[CÓDIGO
 EMPRESA ]],'LIQUIDAÇÃO 2025'!C:C,Tabela3[[#This Row],[EMPRESA]],'LIQUIDAÇÃO 2025'!F:F,Tabela3[[#This Row],[EMPENHO]])</f>
        <v>47278.7</v>
      </c>
      <c r="N219" s="683">
        <f t="shared" si="6"/>
        <v>95606.26</v>
      </c>
    </row>
    <row r="220" spans="1:14">
      <c r="A220" s="677">
        <v>45924</v>
      </c>
      <c r="B220" s="678">
        <f>IFERROR(VLOOKUP(Tabela3[[#This Row],[RESERVA]],Tabela96[[RESERVA]:[PROJETO]],2,FALSE),"")</f>
        <v>30</v>
      </c>
      <c r="C220" s="679">
        <f>IFERROR(VLOOKUP(Tabela3[[#This Row],[RESERVA]],Tabela96[[RESERVA]:[PROJETO]],3,FALSE),"")</f>
        <v>2253</v>
      </c>
      <c r="D220" s="678">
        <f>IFERROR(VLOOKUP(Tabela3[[#This Row],[RESERVA]],Tabela96[[RESERVA]:[PROJETO]],4,FALSE),"")</f>
        <v>2124</v>
      </c>
      <c r="E220" s="678">
        <f>IFERROR(VLOOKUP(Tabela3[[#This Row],[RESERVA]],Tabela96[[RESERVA]:[PROJETO]],5,FALSE),"")</f>
        <v>25</v>
      </c>
      <c r="F220" s="680">
        <v>2645</v>
      </c>
      <c r="G220" s="680">
        <v>103747</v>
      </c>
      <c r="H220" s="217" t="s">
        <v>371</v>
      </c>
      <c r="I220" s="155">
        <v>21702</v>
      </c>
      <c r="J220" s="681">
        <v>3500000</v>
      </c>
      <c r="K220" s="417"/>
      <c r="L220" s="428">
        <f>Tabela3[[#This Row],[VALOR
 EMPENHO]]-Tabela3[[#This Row],[ESTORNO]]</f>
        <v>3500000</v>
      </c>
      <c r="M220" s="304">
        <f>SUMIFS('LIQUIDAÇÃO 2025'!K:K,'LIQUIDAÇÃO 2025'!B:B,Tabela3[[#This Row],[CÓDIGO
 EMPRESA ]],'LIQUIDAÇÃO 2025'!C:C,Tabela3[[#This Row],[EMPRESA]],'LIQUIDAÇÃO 2025'!F:F,Tabela3[[#This Row],[EMPENHO]])</f>
        <v>3500000</v>
      </c>
      <c r="N220" s="69">
        <f t="shared" si="6"/>
        <v>0</v>
      </c>
    </row>
    <row r="221" spans="1:14">
      <c r="A221" s="677">
        <v>45924</v>
      </c>
      <c r="B221" s="678">
        <f>IFERROR(VLOOKUP(Tabela3[[#This Row],[RESERVA]],Tabela96[[RESERVA]:[PROJETO]],2,FALSE),"")</f>
        <v>32</v>
      </c>
      <c r="C221" s="679">
        <f>IFERROR(VLOOKUP(Tabela3[[#This Row],[RESERVA]],Tabela96[[RESERVA]:[PROJETO]],3,FALSE),"")</f>
        <v>2232</v>
      </c>
      <c r="D221" s="678">
        <f>IFERROR(VLOOKUP(Tabela3[[#This Row],[RESERVA]],Tabela96[[RESERVA]:[PROJETO]],4,FALSE),"")</f>
        <v>2129</v>
      </c>
      <c r="E221" s="678">
        <f>IFERROR(VLOOKUP(Tabela3[[#This Row],[RESERVA]],Tabela96[[RESERVA]:[PROJETO]],5,FALSE),"")</f>
        <v>56</v>
      </c>
      <c r="F221" s="680">
        <v>3135</v>
      </c>
      <c r="G221" s="680">
        <v>69169</v>
      </c>
      <c r="H221" s="964" t="s">
        <v>372</v>
      </c>
      <c r="I221" s="155">
        <v>21704</v>
      </c>
      <c r="J221" s="681">
        <v>20000</v>
      </c>
      <c r="K221" s="417"/>
      <c r="L221" s="428">
        <f>Tabela3[[#This Row],[VALOR
 EMPENHO]]-Tabela3[[#This Row],[ESTORNO]]</f>
        <v>20000</v>
      </c>
      <c r="M221" s="304">
        <f>SUMIFS('LIQUIDAÇÃO 2025'!K:K,'LIQUIDAÇÃO 2025'!B:B,Tabela3[[#This Row],[CÓDIGO
 EMPRESA ]],'LIQUIDAÇÃO 2025'!C:C,Tabela3[[#This Row],[EMPRESA]],'LIQUIDAÇÃO 2025'!F:F,Tabela3[[#This Row],[EMPENHO]])</f>
        <v>19999.8</v>
      </c>
      <c r="N221" s="69">
        <f t="shared" si="6"/>
        <v>0.2</v>
      </c>
    </row>
    <row r="222" spans="1:14">
      <c r="A222" s="677">
        <v>45924</v>
      </c>
      <c r="B222" s="678">
        <f>IFERROR(VLOOKUP(Tabela3[[#This Row],[RESERVA]],Tabela96[[RESERVA]:[PROJETO]],2,FALSE),"")</f>
        <v>30</v>
      </c>
      <c r="C222" s="679">
        <f>IFERROR(VLOOKUP(Tabela3[[#This Row],[RESERVA]],Tabela96[[RESERVA]:[PROJETO]],3,FALSE),"")</f>
        <v>2253</v>
      </c>
      <c r="D222" s="678">
        <f>IFERROR(VLOOKUP(Tabela3[[#This Row],[RESERVA]],Tabela96[[RESERVA]:[PROJETO]],4,FALSE),"")</f>
        <v>2124</v>
      </c>
      <c r="E222" s="678">
        <f>IFERROR(VLOOKUP(Tabela3[[#This Row],[RESERVA]],Tabela96[[RESERVA]:[PROJETO]],5,FALSE),"")</f>
        <v>25</v>
      </c>
      <c r="F222" s="680">
        <v>3009</v>
      </c>
      <c r="G222" s="680">
        <v>121973</v>
      </c>
      <c r="H222" s="217" t="s">
        <v>341</v>
      </c>
      <c r="I222" s="155">
        <v>21701</v>
      </c>
      <c r="J222" s="681">
        <v>1000000</v>
      </c>
      <c r="K222" s="417"/>
      <c r="L222" s="428">
        <f>Tabela3[[#This Row],[VALOR
 EMPENHO]]-Tabela3[[#This Row],[ESTORNO]]</f>
        <v>1000000</v>
      </c>
      <c r="M222" s="304">
        <f>SUMIFS('LIQUIDAÇÃO 2025'!K:K,'LIQUIDAÇÃO 2025'!B:B,Tabela3[[#This Row],[CÓDIGO
 EMPRESA ]],'LIQUIDAÇÃO 2025'!C:C,Tabela3[[#This Row],[EMPRESA]],'LIQUIDAÇÃO 2025'!F:F,Tabela3[[#This Row],[EMPENHO]])</f>
        <v>1000000</v>
      </c>
      <c r="N222" s="69">
        <f t="shared" ref="N222:N283" si="8">L222-M222</f>
        <v>0</v>
      </c>
    </row>
    <row r="223" spans="1:14">
      <c r="A223" s="152">
        <v>45924</v>
      </c>
      <c r="B223" s="512">
        <f>IFERROR(VLOOKUP(Tabela3[[#This Row],[RESERVA]],Tabela96[[RESERVA]:[PROJETO]],2,FALSE),"")</f>
        <v>30</v>
      </c>
      <c r="C223" s="48">
        <f>IFERROR(VLOOKUP(Tabela3[[#This Row],[RESERVA]],Tabela96[[RESERVA]:[PROJETO]],3,FALSE),"")</f>
        <v>2253</v>
      </c>
      <c r="D223" s="512">
        <f>IFERROR(VLOOKUP(Tabela3[[#This Row],[RESERVA]],Tabela96[[RESERVA]:[PROJETO]],4,FALSE),"")</f>
        <v>2124</v>
      </c>
      <c r="E223" s="512">
        <f>IFERROR(VLOOKUP(Tabela3[[#This Row],[RESERVA]],Tabela96[[RESERVA]:[PROJETO]],5,FALSE),"")</f>
        <v>25</v>
      </c>
      <c r="F223" s="36">
        <v>2995</v>
      </c>
      <c r="G223" s="36">
        <v>118247</v>
      </c>
      <c r="H223" s="217" t="s">
        <v>375</v>
      </c>
      <c r="I223" s="155">
        <v>21707</v>
      </c>
      <c r="J223" s="64">
        <v>49000</v>
      </c>
      <c r="K223" s="417"/>
      <c r="L223" s="428">
        <f>Tabela3[[#This Row],[VALOR
 EMPENHO]]-Tabela3[[#This Row],[ESTORNO]]</f>
        <v>49000</v>
      </c>
      <c r="M223" s="304">
        <f>SUMIFS('LIQUIDAÇÃO 2025'!K:K,'LIQUIDAÇÃO 2025'!B:B,Tabela3[[#This Row],[CÓDIGO
 EMPRESA ]],'LIQUIDAÇÃO 2025'!C:C,Tabela3[[#This Row],[EMPRESA]],'LIQUIDAÇÃO 2025'!F:F,Tabela3[[#This Row],[EMPENHO]])</f>
        <v>49000</v>
      </c>
      <c r="N223" s="69">
        <f t="shared" si="8"/>
        <v>0</v>
      </c>
    </row>
    <row r="224" spans="1:14">
      <c r="A224" s="152">
        <v>45924</v>
      </c>
      <c r="B224" s="512">
        <f>IFERROR(VLOOKUP(Tabela3[[#This Row],[RESERVA]],Tabela96[[RESERVA]:[PROJETO]],2,FALSE),"")</f>
        <v>30</v>
      </c>
      <c r="C224" s="48">
        <f>IFERROR(VLOOKUP(Tabela3[[#This Row],[RESERVA]],Tabela96[[RESERVA]:[PROJETO]],3,FALSE),"")</f>
        <v>2253</v>
      </c>
      <c r="D224" s="512">
        <f>IFERROR(VLOOKUP(Tabela3[[#This Row],[RESERVA]],Tabela96[[RESERVA]:[PROJETO]],4,FALSE),"")</f>
        <v>2124</v>
      </c>
      <c r="E224" s="512">
        <f>IFERROR(VLOOKUP(Tabela3[[#This Row],[RESERVA]],Tabela96[[RESERVA]:[PROJETO]],5,FALSE),"")</f>
        <v>25</v>
      </c>
      <c r="F224" s="36">
        <v>3003</v>
      </c>
      <c r="G224" s="36">
        <v>119166</v>
      </c>
      <c r="H224" s="217" t="s">
        <v>363</v>
      </c>
      <c r="I224" s="155">
        <v>21705</v>
      </c>
      <c r="J224" s="64">
        <v>47206.6</v>
      </c>
      <c r="K224" s="417"/>
      <c r="L224" s="428">
        <f>Tabela3[[#This Row],[VALOR
 EMPENHO]]-Tabela3[[#This Row],[ESTORNO]]</f>
        <v>47206.6</v>
      </c>
      <c r="M224" s="304">
        <f>SUMIFS('LIQUIDAÇÃO 2025'!K:K,'LIQUIDAÇÃO 2025'!B:B,Tabela3[[#This Row],[CÓDIGO
 EMPRESA ]],'LIQUIDAÇÃO 2025'!C:C,Tabela3[[#This Row],[EMPRESA]],'LIQUIDAÇÃO 2025'!F:F,Tabela3[[#This Row],[EMPENHO]])</f>
        <v>28210.42</v>
      </c>
      <c r="N224" s="69">
        <f t="shared" si="8"/>
        <v>18996.18</v>
      </c>
    </row>
    <row r="225" spans="1:14">
      <c r="A225" s="152">
        <v>45924</v>
      </c>
      <c r="B225" s="512">
        <f>IFERROR(VLOOKUP(Tabela3[[#This Row],[RESERVA]],Tabela96[[RESERVA]:[PROJETO]],2,FALSE),"")</f>
        <v>79</v>
      </c>
      <c r="C225" s="48">
        <f>IFERROR(VLOOKUP(Tabela3[[#This Row],[RESERVA]],Tabela96[[RESERVA]:[PROJETO]],3,FALSE),"")</f>
        <v>3013</v>
      </c>
      <c r="D225" s="512">
        <f>IFERROR(VLOOKUP(Tabela3[[#This Row],[RESERVA]],Tabela96[[RESERVA]:[PROJETO]],4,FALSE),"")</f>
        <v>2225</v>
      </c>
      <c r="E225" s="512">
        <f>IFERROR(VLOOKUP(Tabela3[[#This Row],[RESERVA]],Tabela96[[RESERVA]:[PROJETO]],5,FALSE),"")</f>
        <v>681</v>
      </c>
      <c r="F225" s="36">
        <v>12023</v>
      </c>
      <c r="G225" s="36">
        <v>46901</v>
      </c>
      <c r="H225" s="104" t="s">
        <v>60</v>
      </c>
      <c r="I225" s="155">
        <v>21722</v>
      </c>
      <c r="J225" s="681">
        <v>66546.48</v>
      </c>
      <c r="K225" s="64"/>
      <c r="L225" s="428">
        <f>Tabela3[[#This Row],[VALOR
 EMPENHO]]-Tabela3[[#This Row],[ESTORNO]]</f>
        <v>66546.48</v>
      </c>
      <c r="M225" s="304">
        <f>SUMIFS('LIQUIDAÇÃO 2025'!K:K,'LIQUIDAÇÃO 2025'!B:B,Tabela3[[#This Row],[CÓDIGO
 EMPRESA ]],'LIQUIDAÇÃO 2025'!C:C,Tabela3[[#This Row],[EMPRESA]],'LIQUIDAÇÃO 2025'!F:F,Tabela3[[#This Row],[EMPENHO]])</f>
        <v>51189.599999999999</v>
      </c>
      <c r="N225" s="69">
        <f t="shared" si="8"/>
        <v>15356.88</v>
      </c>
    </row>
    <row r="226" spans="1:14">
      <c r="A226" s="677">
        <v>45924</v>
      </c>
      <c r="B226" s="678">
        <f>IFERROR(VLOOKUP(Tabela3[[#This Row],[RESERVA]],Tabela96[[RESERVA]:[PROJETO]],2,FALSE),"")</f>
        <v>32</v>
      </c>
      <c r="C226" s="679">
        <f>IFERROR(VLOOKUP(Tabela3[[#This Row],[RESERVA]],Tabela96[[RESERVA]:[PROJETO]],3,FALSE),"")</f>
        <v>2229</v>
      </c>
      <c r="D226" s="678">
        <f>IFERROR(VLOOKUP(Tabela3[[#This Row],[RESERVA]],Tabela96[[RESERVA]:[PROJETO]],4,FALSE),"")</f>
        <v>2128</v>
      </c>
      <c r="E226" s="678">
        <f>IFERROR(VLOOKUP(Tabela3[[#This Row],[RESERVA]],Tabela96[[RESERVA]:[PROJETO]],5,FALSE),"")</f>
        <v>242</v>
      </c>
      <c r="F226" s="680">
        <v>8965</v>
      </c>
      <c r="G226" s="680">
        <v>46674</v>
      </c>
      <c r="H226" s="950" t="s">
        <v>338</v>
      </c>
      <c r="I226" s="155">
        <v>21703</v>
      </c>
      <c r="J226" s="681">
        <v>150000</v>
      </c>
      <c r="K226" s="417"/>
      <c r="L226" s="428">
        <f>Tabela3[[#This Row],[VALOR
 EMPENHO]]-Tabela3[[#This Row],[ESTORNO]]</f>
        <v>150000</v>
      </c>
      <c r="M226" s="304">
        <f>SUMIFS('LIQUIDAÇÃO 2025'!K:K,'LIQUIDAÇÃO 2025'!B:B,Tabela3[[#This Row],[CÓDIGO
 EMPRESA ]],'LIQUIDAÇÃO 2025'!C:C,Tabela3[[#This Row],[EMPRESA]],'LIQUIDAÇÃO 2025'!F:F,Tabela3[[#This Row],[EMPENHO]])</f>
        <v>150000</v>
      </c>
      <c r="N226" s="69">
        <f t="shared" si="8"/>
        <v>0</v>
      </c>
    </row>
    <row r="227" spans="1:14">
      <c r="A227" s="677">
        <v>45924</v>
      </c>
      <c r="B227" s="678">
        <f>IFERROR(VLOOKUP(Tabela3[[#This Row],[RESERVA]],Tabela96[[RESERVA]:[PROJETO]],2,FALSE),"")</f>
        <v>30</v>
      </c>
      <c r="C227" s="679">
        <f>IFERROR(VLOOKUP(Tabela3[[#This Row],[RESERVA]],Tabela96[[RESERVA]:[PROJETO]],3,FALSE),"")</f>
        <v>2253</v>
      </c>
      <c r="D227" s="678">
        <f>IFERROR(VLOOKUP(Tabela3[[#This Row],[RESERVA]],Tabela96[[RESERVA]:[PROJETO]],4,FALSE),"")</f>
        <v>2124</v>
      </c>
      <c r="E227" s="678">
        <f>IFERROR(VLOOKUP(Tabela3[[#This Row],[RESERVA]],Tabela96[[RESERVA]:[PROJETO]],5,FALSE),"")</f>
        <v>25</v>
      </c>
      <c r="F227" s="680">
        <v>3002</v>
      </c>
      <c r="G227" s="680">
        <v>60979</v>
      </c>
      <c r="H227" s="801" t="s">
        <v>122</v>
      </c>
      <c r="I227" s="155">
        <v>21700</v>
      </c>
      <c r="J227" s="681">
        <v>600000</v>
      </c>
      <c r="K227" s="417"/>
      <c r="L227" s="428">
        <f>Tabela3[[#This Row],[VALOR
 EMPENHO]]-Tabela3[[#This Row],[ESTORNO]]</f>
        <v>600000</v>
      </c>
      <c r="M227" s="304">
        <f>SUMIFS('LIQUIDAÇÃO 2025'!K:K,'LIQUIDAÇÃO 2025'!B:B,Tabela3[[#This Row],[CÓDIGO
 EMPRESA ]],'LIQUIDAÇÃO 2025'!C:C,Tabela3[[#This Row],[EMPRESA]],'LIQUIDAÇÃO 2025'!F:F,Tabela3[[#This Row],[EMPENHO]])</f>
        <v>568024.96</v>
      </c>
      <c r="N227" s="69">
        <f t="shared" si="8"/>
        <v>31975.040000000001</v>
      </c>
    </row>
    <row r="228" spans="1:14">
      <c r="A228" s="152">
        <v>45925</v>
      </c>
      <c r="B228" s="512">
        <f>IFERROR(VLOOKUP(Tabela3[[#This Row],[RESERVA]],Tabela96[[RESERVA]:[PROJETO]],2,FALSE),"")</f>
        <v>79</v>
      </c>
      <c r="C228" s="48">
        <f>IFERROR(VLOOKUP(Tabela3[[#This Row],[RESERVA]],Tabela96[[RESERVA]:[PROJETO]],3,FALSE),"")</f>
        <v>3014</v>
      </c>
      <c r="D228" s="512">
        <f>IFERROR(VLOOKUP(Tabela3[[#This Row],[RESERVA]],Tabela96[[RESERVA]:[PROJETO]],4,FALSE),"")</f>
        <v>1063</v>
      </c>
      <c r="E228" s="512">
        <f>IFERROR(VLOOKUP(Tabela3[[#This Row],[RESERVA]],Tabela96[[RESERVA]:[PROJETO]],5,FALSE),"")</f>
        <v>681</v>
      </c>
      <c r="F228" s="36">
        <v>12090</v>
      </c>
      <c r="G228" s="36" t="s">
        <v>125</v>
      </c>
      <c r="H228" s="104" t="s">
        <v>457</v>
      </c>
      <c r="I228" s="155">
        <v>21778</v>
      </c>
      <c r="J228" s="701">
        <v>168024.93</v>
      </c>
      <c r="K228" s="64"/>
      <c r="L228" s="428">
        <f>Tabela3[[#This Row],[VALOR
 EMPENHO]]-Tabela3[[#This Row],[ESTORNO]]</f>
        <v>168024.93</v>
      </c>
      <c r="M228" s="304">
        <f>SUMIFS('LIQUIDAÇÃO 2025'!K:K,'LIQUIDAÇÃO 2025'!B:B,Tabela3[[#This Row],[CÓDIGO
 EMPRESA ]],'LIQUIDAÇÃO 2025'!C:C,Tabela3[[#This Row],[EMPRESA]],'LIQUIDAÇÃO 2025'!F:F,Tabela3[[#This Row],[EMPENHO]])</f>
        <v>168024.93</v>
      </c>
      <c r="N228" s="683">
        <f t="shared" si="8"/>
        <v>0</v>
      </c>
    </row>
    <row r="229" spans="1:14">
      <c r="A229" s="152">
        <v>45926</v>
      </c>
      <c r="B229" s="512">
        <f>IFERROR(VLOOKUP(Tabela3[[#This Row],[RESERVA]],Tabela96[[RESERVA]:[PROJETO]],2,FALSE),"")</f>
        <v>79</v>
      </c>
      <c r="C229" s="48">
        <f>IFERROR(VLOOKUP(Tabela3[[#This Row],[RESERVA]],Tabela96[[RESERVA]:[PROJETO]],3,FALSE),"")</f>
        <v>3014</v>
      </c>
      <c r="D229" s="512">
        <f>IFERROR(VLOOKUP(Tabela3[[#This Row],[RESERVA]],Tabela96[[RESERVA]:[PROJETO]],4,FALSE),"")</f>
        <v>1063</v>
      </c>
      <c r="E229" s="512">
        <f>IFERROR(VLOOKUP(Tabela3[[#This Row],[RESERVA]],Tabela96[[RESERVA]:[PROJETO]],5,FALSE),"")</f>
        <v>681</v>
      </c>
      <c r="F229" s="36">
        <v>12090</v>
      </c>
      <c r="G229" s="36" t="s">
        <v>126</v>
      </c>
      <c r="H229" s="104" t="s">
        <v>124</v>
      </c>
      <c r="I229" s="155">
        <v>21787</v>
      </c>
      <c r="J229" s="79">
        <v>113936.51</v>
      </c>
      <c r="K229" s="64"/>
      <c r="L229" s="428">
        <f>Tabela3[[#This Row],[VALOR
 EMPENHO]]-Tabela3[[#This Row],[ESTORNO]]</f>
        <v>113936.51</v>
      </c>
      <c r="M229" s="304">
        <f>SUMIFS('LIQUIDAÇÃO 2025'!K:K,'LIQUIDAÇÃO 2025'!B:B,Tabela3[[#This Row],[CÓDIGO
 EMPRESA ]],'LIQUIDAÇÃO 2025'!C:C,Tabela3[[#This Row],[EMPRESA]],'LIQUIDAÇÃO 2025'!F:F,Tabela3[[#This Row],[EMPENHO]])</f>
        <v>113936.51</v>
      </c>
      <c r="N229" s="683">
        <f t="shared" si="8"/>
        <v>0</v>
      </c>
    </row>
    <row r="230" spans="1:14">
      <c r="A230" s="152">
        <v>45926</v>
      </c>
      <c r="B230" s="512">
        <f>IFERROR(VLOOKUP(Tabela3[[#This Row],[RESERVA]],Tabela96[[RESERVA]:[PROJETO]],2,FALSE),"")</f>
        <v>79</v>
      </c>
      <c r="C230" s="48">
        <f>IFERROR(VLOOKUP(Tabela3[[#This Row],[RESERVA]],Tabela96[[RESERVA]:[PROJETO]],3,FALSE),"")</f>
        <v>3014</v>
      </c>
      <c r="D230" s="512">
        <f>IFERROR(VLOOKUP(Tabela3[[#This Row],[RESERVA]],Tabela96[[RESERVA]:[PROJETO]],4,FALSE),"")</f>
        <v>1063</v>
      </c>
      <c r="E230" s="512">
        <f>IFERROR(VLOOKUP(Tabela3[[#This Row],[RESERVA]],Tabela96[[RESERVA]:[PROJETO]],5,FALSE),"")</f>
        <v>681</v>
      </c>
      <c r="F230" s="36">
        <v>12090</v>
      </c>
      <c r="G230" s="36" t="s">
        <v>126</v>
      </c>
      <c r="H230" s="104" t="s">
        <v>124</v>
      </c>
      <c r="I230" s="155">
        <v>21795</v>
      </c>
      <c r="J230" s="945">
        <v>777901.8</v>
      </c>
      <c r="K230" s="803"/>
      <c r="L230" s="428">
        <f>Tabela3[[#This Row],[VALOR
 EMPENHO]]-Tabela3[[#This Row],[ESTORNO]]</f>
        <v>777901.8</v>
      </c>
      <c r="M230" s="304">
        <f>SUMIFS('LIQUIDAÇÃO 2025'!K:K,'LIQUIDAÇÃO 2025'!B:B,Tabela3[[#This Row],[CÓDIGO
 EMPRESA ]],'LIQUIDAÇÃO 2025'!C:C,Tabela3[[#This Row],[EMPRESA]],'LIQUIDAÇÃO 2025'!F:F,Tabela3[[#This Row],[EMPENHO]])</f>
        <v>353604.51</v>
      </c>
      <c r="N230" s="683">
        <f t="shared" si="8"/>
        <v>424297.29</v>
      </c>
    </row>
    <row r="231" spans="1:14">
      <c r="A231" s="152">
        <v>45926</v>
      </c>
      <c r="B231" s="512">
        <f>IFERROR(VLOOKUP(Tabela3[[#This Row],[RESERVA]],Tabela96[[RESERVA]:[PROJETO]],2,FALSE),"")</f>
        <v>79</v>
      </c>
      <c r="C231" s="48">
        <f>IFERROR(VLOOKUP(Tabela3[[#This Row],[RESERVA]],Tabela96[[RESERVA]:[PROJETO]],3,FALSE),"")</f>
        <v>3014</v>
      </c>
      <c r="D231" s="512">
        <f>IFERROR(VLOOKUP(Tabela3[[#This Row],[RESERVA]],Tabela96[[RESERVA]:[PROJETO]],4,FALSE),"")</f>
        <v>1063</v>
      </c>
      <c r="E231" s="512">
        <f>IFERROR(VLOOKUP(Tabela3[[#This Row],[RESERVA]],Tabela96[[RESERVA]:[PROJETO]],5,FALSE),"")</f>
        <v>681</v>
      </c>
      <c r="F231" s="36">
        <v>12090</v>
      </c>
      <c r="G231" s="36" t="s">
        <v>125</v>
      </c>
      <c r="H231" s="104" t="s">
        <v>457</v>
      </c>
      <c r="I231" s="155">
        <v>21784</v>
      </c>
      <c r="J231" s="64">
        <v>2812.19</v>
      </c>
      <c r="K231" s="945"/>
      <c r="L231" s="428">
        <f>Tabela3[[#This Row],[VALOR
 EMPENHO]]-Tabela3[[#This Row],[ESTORNO]]</f>
        <v>2812.19</v>
      </c>
      <c r="M231" s="304">
        <f>SUMIFS('LIQUIDAÇÃO 2025'!K:K,'LIQUIDAÇÃO 2025'!B:B,Tabela3[[#This Row],[CÓDIGO
 EMPRESA ]],'LIQUIDAÇÃO 2025'!C:C,Tabela3[[#This Row],[EMPRESA]],'LIQUIDAÇÃO 2025'!F:F,Tabela3[[#This Row],[EMPENHO]])</f>
        <v>0</v>
      </c>
      <c r="N231" s="683">
        <f t="shared" si="8"/>
        <v>2812.19</v>
      </c>
    </row>
    <row r="232" spans="1:14">
      <c r="A232" s="152">
        <v>45926</v>
      </c>
      <c r="B232" s="512">
        <f>IFERROR(VLOOKUP(Tabela3[[#This Row],[RESERVA]],Tabela96[[RESERVA]:[PROJETO]],2,FALSE),"")</f>
        <v>30</v>
      </c>
      <c r="C232" s="48">
        <f>IFERROR(VLOOKUP(Tabela3[[#This Row],[RESERVA]],Tabela96[[RESERVA]:[PROJETO]],3,FALSE),"")</f>
        <v>2253</v>
      </c>
      <c r="D232" s="512">
        <f>IFERROR(VLOOKUP(Tabela3[[#This Row],[RESERVA]],Tabela96[[RESERVA]:[PROJETO]],4,FALSE),"")</f>
        <v>2124</v>
      </c>
      <c r="E232" s="512">
        <f>IFERROR(VLOOKUP(Tabela3[[#This Row],[RESERVA]],Tabela96[[RESERVA]:[PROJETO]],5,FALSE),"")</f>
        <v>25</v>
      </c>
      <c r="F232" s="36">
        <v>8516</v>
      </c>
      <c r="G232" s="36">
        <v>73112</v>
      </c>
      <c r="H232" s="217" t="s">
        <v>685</v>
      </c>
      <c r="I232" s="155">
        <v>21819</v>
      </c>
      <c r="J232" s="64">
        <v>8200000</v>
      </c>
      <c r="K232" s="417"/>
      <c r="L232" s="428">
        <f>Tabela3[[#This Row],[VALOR
 EMPENHO]]-Tabela3[[#This Row],[ESTORNO]]</f>
        <v>8200000</v>
      </c>
      <c r="M232" s="304">
        <f>SUMIFS('LIQUIDAÇÃO 2025'!K:K,'LIQUIDAÇÃO 2025'!B:B,Tabela3[[#This Row],[CÓDIGO
 EMPRESA ]],'LIQUIDAÇÃO 2025'!C:C,Tabela3[[#This Row],[EMPRESA]],'LIQUIDAÇÃO 2025'!F:F,Tabela3[[#This Row],[EMPENHO]])</f>
        <v>8200000</v>
      </c>
      <c r="N232" s="69">
        <f t="shared" si="8"/>
        <v>0</v>
      </c>
    </row>
    <row r="233" spans="1:14">
      <c r="A233" s="152">
        <v>45926</v>
      </c>
      <c r="B233" s="512">
        <f>IFERROR(VLOOKUP(Tabela3[[#This Row],[RESERVA]],Tabela96[[RESERVA]:[PROJETO]],2,FALSE),"")</f>
        <v>32</v>
      </c>
      <c r="C233" s="48">
        <f>IFERROR(VLOOKUP(Tabela3[[#This Row],[RESERVA]],Tabela96[[RESERVA]:[PROJETO]],3,FALSE),"")</f>
        <v>2229</v>
      </c>
      <c r="D233" s="512">
        <f>IFERROR(VLOOKUP(Tabela3[[#This Row],[RESERVA]],Tabela96[[RESERVA]:[PROJETO]],4,FALSE),"")</f>
        <v>2128</v>
      </c>
      <c r="E233" s="512">
        <f>IFERROR(VLOOKUP(Tabela3[[#This Row],[RESERVA]],Tabela96[[RESERVA]:[PROJETO]],5,FALSE),"")</f>
        <v>245</v>
      </c>
      <c r="F233" s="36">
        <v>8742</v>
      </c>
      <c r="G233" s="36">
        <v>54615</v>
      </c>
      <c r="H233" s="217" t="s">
        <v>158</v>
      </c>
      <c r="I233" s="155">
        <v>21864</v>
      </c>
      <c r="J233" s="64">
        <v>5976</v>
      </c>
      <c r="K233" s="417"/>
      <c r="L233" s="428">
        <f>Tabela3[[#This Row],[VALOR
 EMPENHO]]-Tabela3[[#This Row],[ESTORNO]]</f>
        <v>5976</v>
      </c>
      <c r="M233" s="304">
        <f>SUMIFS('LIQUIDAÇÃO 2025'!K:K,'LIQUIDAÇÃO 2025'!B:B,Tabela3[[#This Row],[CÓDIGO
 EMPRESA ]],'LIQUIDAÇÃO 2025'!C:C,Tabela3[[#This Row],[EMPRESA]],'LIQUIDAÇÃO 2025'!F:F,Tabela3[[#This Row],[EMPENHO]])</f>
        <v>5976</v>
      </c>
      <c r="N233" s="69">
        <f t="shared" si="8"/>
        <v>0</v>
      </c>
    </row>
    <row r="234" spans="1:14">
      <c r="A234" s="152">
        <v>45929</v>
      </c>
      <c r="B234" s="512">
        <f>IFERROR(VLOOKUP(Tabela3[[#This Row],[RESERVA]],Tabela96[[RESERVA]:[PROJETO]],2,FALSE),"")</f>
        <v>30</v>
      </c>
      <c r="C234" s="48">
        <f>IFERROR(VLOOKUP(Tabela3[[#This Row],[RESERVA]],Tabela96[[RESERVA]:[PROJETO]],3,FALSE),"")</f>
        <v>2253</v>
      </c>
      <c r="D234" s="512">
        <f>IFERROR(VLOOKUP(Tabela3[[#This Row],[RESERVA]],Tabela96[[RESERVA]:[PROJETO]],4,FALSE),"")</f>
        <v>2124</v>
      </c>
      <c r="E234" s="512">
        <f>IFERROR(VLOOKUP(Tabela3[[#This Row],[RESERVA]],Tabela96[[RESERVA]:[PROJETO]],5,FALSE),"")</f>
        <v>25</v>
      </c>
      <c r="F234" s="36">
        <v>3009</v>
      </c>
      <c r="G234" s="36">
        <v>121973</v>
      </c>
      <c r="H234" s="217" t="s">
        <v>341</v>
      </c>
      <c r="I234" s="155">
        <v>21911</v>
      </c>
      <c r="J234" s="64">
        <v>1500000</v>
      </c>
      <c r="K234" s="417"/>
      <c r="L234" s="428">
        <f>Tabela3[[#This Row],[VALOR
 EMPENHO]]-Tabela3[[#This Row],[ESTORNO]]</f>
        <v>1500000</v>
      </c>
      <c r="M234" s="304">
        <f>SUMIFS('LIQUIDAÇÃO 2025'!K:K,'LIQUIDAÇÃO 2025'!B:B,Tabela3[[#This Row],[CÓDIGO
 EMPRESA ]],'LIQUIDAÇÃO 2025'!C:C,Tabela3[[#This Row],[EMPRESA]],'LIQUIDAÇÃO 2025'!F:F,Tabela3[[#This Row],[EMPENHO]])</f>
        <v>1169247.1000000001</v>
      </c>
      <c r="N234" s="69">
        <f t="shared" si="8"/>
        <v>330752.90000000002</v>
      </c>
    </row>
    <row r="235" spans="1:14">
      <c r="A235" s="152">
        <v>45929</v>
      </c>
      <c r="B235" s="512">
        <f>IFERROR(VLOOKUP(Tabela3[[#This Row],[RESERVA]],Tabela96[[RESERVA]:[PROJETO]],2,FALSE),"")</f>
        <v>30</v>
      </c>
      <c r="C235" s="48">
        <f>IFERROR(VLOOKUP(Tabela3[[#This Row],[RESERVA]],Tabela96[[RESERVA]:[PROJETO]],3,FALSE),"")</f>
        <v>2253</v>
      </c>
      <c r="D235" s="512">
        <f>IFERROR(VLOOKUP(Tabela3[[#This Row],[RESERVA]],Tabela96[[RESERVA]:[PROJETO]],4,FALSE),"")</f>
        <v>2124</v>
      </c>
      <c r="E235" s="512">
        <f>IFERROR(VLOOKUP(Tabela3[[#This Row],[RESERVA]],Tabela96[[RESERVA]:[PROJETO]],5,FALSE),"")</f>
        <v>25</v>
      </c>
      <c r="F235" s="36">
        <v>3007</v>
      </c>
      <c r="G235" s="36">
        <v>119151</v>
      </c>
      <c r="H235" s="966" t="s">
        <v>366</v>
      </c>
      <c r="I235" s="155">
        <v>47210</v>
      </c>
      <c r="J235" s="64">
        <v>47209.599999999999</v>
      </c>
      <c r="K235" s="417"/>
      <c r="L235" s="428">
        <f>Tabela3[[#This Row],[VALOR
 EMPENHO]]-Tabela3[[#This Row],[ESTORNO]]</f>
        <v>47209.599999999999</v>
      </c>
      <c r="M235" s="304">
        <f>SUMIFS('LIQUIDAÇÃO 2025'!K:K,'LIQUIDAÇÃO 2025'!B:B,Tabela3[[#This Row],[CÓDIGO
 EMPRESA ]],'LIQUIDAÇÃO 2025'!C:C,Tabela3[[#This Row],[EMPRESA]],'LIQUIDAÇÃO 2025'!F:F,Tabela3[[#This Row],[EMPENHO]])</f>
        <v>0</v>
      </c>
      <c r="N235" s="69">
        <f t="shared" si="8"/>
        <v>47209.599999999999</v>
      </c>
    </row>
    <row r="236" spans="1:14">
      <c r="A236" s="677">
        <v>45929</v>
      </c>
      <c r="B236" s="678">
        <f>IFERROR(VLOOKUP(Tabela3[[#This Row],[RESERVA]],Tabela96[[RESERVA]:[PROJETO]],2,FALSE),"")</f>
        <v>30</v>
      </c>
      <c r="C236" s="679">
        <f>IFERROR(VLOOKUP(Tabela3[[#This Row],[RESERVA]],Tabela96[[RESERVA]:[PROJETO]],3,FALSE),"")</f>
        <v>2253</v>
      </c>
      <c r="D236" s="678">
        <f>IFERROR(VLOOKUP(Tabela3[[#This Row],[RESERVA]],Tabela96[[RESERVA]:[PROJETO]],4,FALSE),"")</f>
        <v>2124</v>
      </c>
      <c r="E236" s="678">
        <f>IFERROR(VLOOKUP(Tabela3[[#This Row],[RESERVA]],Tabela96[[RESERVA]:[PROJETO]],5,FALSE),"")</f>
        <v>25</v>
      </c>
      <c r="F236" s="680">
        <v>3000</v>
      </c>
      <c r="G236" s="680">
        <v>119152</v>
      </c>
      <c r="H236" s="836" t="s">
        <v>376</v>
      </c>
      <c r="I236" s="155">
        <v>21940</v>
      </c>
      <c r="J236" s="681">
        <v>47209.599999999999</v>
      </c>
      <c r="K236" s="681"/>
      <c r="L236" s="428">
        <f>Tabela3[[#This Row],[VALOR
 EMPENHO]]-Tabela3[[#This Row],[ESTORNO]]</f>
        <v>47209.599999999999</v>
      </c>
      <c r="M236" s="304">
        <f>SUMIFS('LIQUIDAÇÃO 2025'!K:K,'LIQUIDAÇÃO 2025'!B:B,Tabela3[[#This Row],[CÓDIGO
 EMPRESA ]],'LIQUIDAÇÃO 2025'!C:C,Tabela3[[#This Row],[EMPRESA]],'LIQUIDAÇÃO 2025'!F:F,Tabela3[[#This Row],[EMPENHO]])</f>
        <v>19756.830000000002</v>
      </c>
      <c r="N236" s="69">
        <f t="shared" si="8"/>
        <v>27452.77</v>
      </c>
    </row>
    <row r="237" spans="1:14">
      <c r="A237" s="824">
        <v>45930</v>
      </c>
      <c r="B237" s="627">
        <f>IFERROR(VLOOKUP(Tabela3[[#This Row],[RESERVA]],Tabela96[[RESERVA]:[PROJETO]],2,FALSE),"")</f>
        <v>30</v>
      </c>
      <c r="C237" s="628">
        <f>IFERROR(VLOOKUP(Tabela3[[#This Row],[RESERVA]],Tabela96[[RESERVA]:[PROJETO]],3,FALSE),"")</f>
        <v>2253</v>
      </c>
      <c r="D237" s="627">
        <f>IFERROR(VLOOKUP(Tabela3[[#This Row],[RESERVA]],Tabela96[[RESERVA]:[PROJETO]],4,FALSE),"")</f>
        <v>2124</v>
      </c>
      <c r="E237" s="627">
        <f>IFERROR(VLOOKUP(Tabela3[[#This Row],[RESERVA]],Tabela96[[RESERVA]:[PROJETO]],5,FALSE),"")</f>
        <v>25</v>
      </c>
      <c r="F237" s="825">
        <v>2998</v>
      </c>
      <c r="G237" s="825">
        <v>112466</v>
      </c>
      <c r="H237" s="836" t="s">
        <v>377</v>
      </c>
      <c r="I237" s="155">
        <v>21942</v>
      </c>
      <c r="J237" s="826">
        <v>47209.599999999999</v>
      </c>
      <c r="K237" s="826"/>
      <c r="L237" s="428">
        <f>Tabela3[[#This Row],[VALOR
 EMPENHO]]-Tabela3[[#This Row],[ESTORNO]]</f>
        <v>47209.599999999999</v>
      </c>
      <c r="M237" s="304">
        <f>SUMIFS('LIQUIDAÇÃO 2025'!K:K,'LIQUIDAÇÃO 2025'!B:B,Tabela3[[#This Row],[CÓDIGO
 EMPRESA ]],'LIQUIDAÇÃO 2025'!C:C,Tabela3[[#This Row],[EMPRESA]],'LIQUIDAÇÃO 2025'!F:F,Tabela3[[#This Row],[EMPENHO]])</f>
        <v>40251.660000000003</v>
      </c>
      <c r="N237" s="69">
        <f t="shared" si="8"/>
        <v>6957.94</v>
      </c>
    </row>
    <row r="238" spans="1:14">
      <c r="A238" s="152">
        <v>45930</v>
      </c>
      <c r="B238" s="512">
        <f>IFERROR(VLOOKUP(Tabela3[[#This Row],[RESERVA]],Tabela96[[RESERVA]:[PROJETO]],2,FALSE),"")</f>
        <v>30</v>
      </c>
      <c r="C238" s="48">
        <f>IFERROR(VLOOKUP(Tabela3[[#This Row],[RESERVA]],Tabela96[[RESERVA]:[PROJETO]],3,FALSE),"")</f>
        <v>2253</v>
      </c>
      <c r="D238" s="512">
        <f>IFERROR(VLOOKUP(Tabela3[[#This Row],[RESERVA]],Tabela96[[RESERVA]:[PROJETO]],4,FALSE),"")</f>
        <v>2124</v>
      </c>
      <c r="E238" s="512">
        <f>IFERROR(VLOOKUP(Tabela3[[#This Row],[RESERVA]],Tabela96[[RESERVA]:[PROJETO]],5,FALSE),"")</f>
        <v>25</v>
      </c>
      <c r="F238" s="36">
        <v>3005</v>
      </c>
      <c r="G238" s="36">
        <v>118253</v>
      </c>
      <c r="H238" s="217" t="s">
        <v>378</v>
      </c>
      <c r="I238" s="155">
        <v>21959</v>
      </c>
      <c r="J238" s="64">
        <v>37630.800000000003</v>
      </c>
      <c r="K238" s="417"/>
      <c r="L238" s="428">
        <f>Tabela3[[#This Row],[VALOR
 EMPENHO]]-Tabela3[[#This Row],[ESTORNO]]</f>
        <v>37630.800000000003</v>
      </c>
      <c r="M238" s="304">
        <f>SUMIFS('LIQUIDAÇÃO 2025'!K:K,'LIQUIDAÇÃO 2025'!B:B,Tabela3[[#This Row],[CÓDIGO
 EMPRESA ]],'LIQUIDAÇÃO 2025'!C:C,Tabela3[[#This Row],[EMPRESA]],'LIQUIDAÇÃO 2025'!F:F,Tabela3[[#This Row],[EMPENHO]])</f>
        <v>0</v>
      </c>
      <c r="N238" s="69">
        <f t="shared" si="8"/>
        <v>37630.800000000003</v>
      </c>
    </row>
    <row r="239" spans="1:14">
      <c r="A239" s="860">
        <v>45930</v>
      </c>
      <c r="B239" s="861">
        <f>IFERROR(VLOOKUP(Tabela3[[#This Row],[RESERVA]],Tabela96[[RESERVA]:[PROJETO]],2,FALSE),"")</f>
        <v>32</v>
      </c>
      <c r="C239" s="862">
        <f>IFERROR(VLOOKUP(Tabela3[[#This Row],[RESERVA]],Tabela96[[RESERVA]:[PROJETO]],3,FALSE),"")</f>
        <v>2226</v>
      </c>
      <c r="D239" s="861">
        <f>IFERROR(VLOOKUP(Tabela3[[#This Row],[RESERVA]],Tabela96[[RESERVA]:[PROJETO]],4,FALSE),"")</f>
        <v>2128</v>
      </c>
      <c r="E239" s="861">
        <f>IFERROR(VLOOKUP(Tabela3[[#This Row],[RESERVA]],Tabela96[[RESERVA]:[PROJETO]],5,FALSE),"")</f>
        <v>84</v>
      </c>
      <c r="F239" s="863">
        <v>7054</v>
      </c>
      <c r="G239" s="863">
        <v>125799</v>
      </c>
      <c r="H239" s="864" t="s">
        <v>653</v>
      </c>
      <c r="I239" s="155">
        <v>22206</v>
      </c>
      <c r="J239" s="865">
        <v>27868.799999999999</v>
      </c>
      <c r="K239" s="865"/>
      <c r="L239" s="428">
        <f>Tabela3[[#This Row],[VALOR
 EMPENHO]]-Tabela3[[#This Row],[ESTORNO]]</f>
        <v>27868.799999999999</v>
      </c>
      <c r="M239" s="304">
        <f>SUMIFS('LIQUIDAÇÃO 2025'!K:K,'LIQUIDAÇÃO 2025'!B:B,Tabela3[[#This Row],[CÓDIGO
 EMPRESA ]],'LIQUIDAÇÃO 2025'!C:C,Tabela3[[#This Row],[EMPRESA]],'LIQUIDAÇÃO 2025'!F:F,Tabela3[[#This Row],[EMPENHO]])</f>
        <v>27868.799999999999</v>
      </c>
      <c r="N239" s="866">
        <f t="shared" si="8"/>
        <v>0</v>
      </c>
    </row>
    <row r="240" spans="1:14">
      <c r="A240" s="860">
        <v>45930</v>
      </c>
      <c r="B240" s="861">
        <f>IFERROR(VLOOKUP(Tabela3[[#This Row],[RESERVA]],Tabela96[[RESERVA]:[PROJETO]],2,FALSE),"")</f>
        <v>32</v>
      </c>
      <c r="C240" s="862">
        <f>IFERROR(VLOOKUP(Tabela3[[#This Row],[RESERVA]],Tabela96[[RESERVA]:[PROJETO]],3,FALSE),"")</f>
        <v>2226</v>
      </c>
      <c r="D240" s="861">
        <f>IFERROR(VLOOKUP(Tabela3[[#This Row],[RESERVA]],Tabela96[[RESERVA]:[PROJETO]],4,FALSE),"")</f>
        <v>2128</v>
      </c>
      <c r="E240" s="861">
        <f>IFERROR(VLOOKUP(Tabela3[[#This Row],[RESERVA]],Tabela96[[RESERVA]:[PROJETO]],5,FALSE),"")</f>
        <v>84</v>
      </c>
      <c r="F240" s="863">
        <v>12330</v>
      </c>
      <c r="G240" s="863">
        <v>51481</v>
      </c>
      <c r="H240" s="503" t="s">
        <v>611</v>
      </c>
      <c r="I240" s="155">
        <v>22203</v>
      </c>
      <c r="J240" s="865">
        <v>4455</v>
      </c>
      <c r="K240" s="865"/>
      <c r="L240" s="428">
        <f>Tabela3[[#This Row],[VALOR
 EMPENHO]]-Tabela3[[#This Row],[ESTORNO]]</f>
        <v>4455</v>
      </c>
      <c r="M240" s="304">
        <f>SUMIFS('LIQUIDAÇÃO 2025'!K:K,'LIQUIDAÇÃO 2025'!B:B,Tabela3[[#This Row],[CÓDIGO
 EMPRESA ]],'LIQUIDAÇÃO 2025'!C:C,Tabela3[[#This Row],[EMPRESA]],'LIQUIDAÇÃO 2025'!F:F,Tabela3[[#This Row],[EMPENHO]])</f>
        <v>0</v>
      </c>
      <c r="N240" s="866">
        <f t="shared" si="8"/>
        <v>4455</v>
      </c>
    </row>
    <row r="241" spans="1:14">
      <c r="A241" s="860">
        <v>45930</v>
      </c>
      <c r="B241" s="861">
        <f>IFERROR(VLOOKUP(Tabela3[[#This Row],[RESERVA]],Tabela96[[RESERVA]:[PROJETO]],2,FALSE),"")</f>
        <v>32</v>
      </c>
      <c r="C241" s="862">
        <f>IFERROR(VLOOKUP(Tabela3[[#This Row],[RESERVA]],Tabela96[[RESERVA]:[PROJETO]],3,FALSE),"")</f>
        <v>2226</v>
      </c>
      <c r="D241" s="861">
        <f>IFERROR(VLOOKUP(Tabela3[[#This Row],[RESERVA]],Tabela96[[RESERVA]:[PROJETO]],4,FALSE),"")</f>
        <v>2128</v>
      </c>
      <c r="E241" s="861">
        <f>IFERROR(VLOOKUP(Tabela3[[#This Row],[RESERVA]],Tabela96[[RESERVA]:[PROJETO]],5,FALSE),"")</f>
        <v>84</v>
      </c>
      <c r="F241" s="863">
        <v>7054</v>
      </c>
      <c r="G241" s="863">
        <v>120932</v>
      </c>
      <c r="H241" s="503" t="s">
        <v>471</v>
      </c>
      <c r="I241" s="155">
        <v>22208</v>
      </c>
      <c r="J241" s="865">
        <v>12232</v>
      </c>
      <c r="K241" s="865"/>
      <c r="L241" s="428">
        <f>Tabela3[[#This Row],[VALOR
 EMPENHO]]-Tabela3[[#This Row],[ESTORNO]]</f>
        <v>12232</v>
      </c>
      <c r="M241" s="304">
        <f>SUMIFS('LIQUIDAÇÃO 2025'!K:K,'LIQUIDAÇÃO 2025'!B:B,Tabela3[[#This Row],[CÓDIGO
 EMPRESA ]],'LIQUIDAÇÃO 2025'!C:C,Tabela3[[#This Row],[EMPRESA]],'LIQUIDAÇÃO 2025'!F:F,Tabela3[[#This Row],[EMPENHO]])</f>
        <v>12232</v>
      </c>
      <c r="N241" s="866">
        <f t="shared" si="8"/>
        <v>0</v>
      </c>
    </row>
    <row r="242" spans="1:14">
      <c r="A242" s="152"/>
      <c r="B242" s="512">
        <f>IFERROR(VLOOKUP(Tabela3[[#This Row],[RESERVA]],Tabela96[[RESERVA]:[PROJETO]],2,FALSE),"")</f>
        <v>79</v>
      </c>
      <c r="C242" s="48">
        <f>IFERROR(VLOOKUP(Tabela3[[#This Row],[RESERVA]],Tabela96[[RESERVA]:[PROJETO]],3,FALSE),"")</f>
        <v>3732</v>
      </c>
      <c r="D242" s="512">
        <f>IFERROR(VLOOKUP(Tabela3[[#This Row],[RESERVA]],Tabela96[[RESERVA]:[PROJETO]],4,FALSE),"")</f>
        <v>2225</v>
      </c>
      <c r="E242" s="512">
        <f>IFERROR(VLOOKUP(Tabela3[[#This Row],[RESERVA]],Tabela96[[RESERVA]:[PROJETO]],5,FALSE),"")</f>
        <v>681</v>
      </c>
      <c r="F242" s="36">
        <v>15288</v>
      </c>
      <c r="G242" s="36">
        <v>67547</v>
      </c>
      <c r="H242" s="104" t="s">
        <v>789</v>
      </c>
      <c r="I242" s="155">
        <v>27789</v>
      </c>
      <c r="J242" s="945">
        <v>400</v>
      </c>
      <c r="K242" s="64"/>
      <c r="L242" s="509">
        <f>Tabela3[[#This Row],[VALOR
 EMPENHO]]-Tabela3[[#This Row],[ESTORNO]]</f>
        <v>400</v>
      </c>
      <c r="M242" s="304">
        <f>SUMIFS('LIQUIDAÇÃO 2025'!K:K,'LIQUIDAÇÃO 2025'!B:B,Tabela3[[#This Row],[CÓDIGO
 EMPRESA ]],'LIQUIDAÇÃO 2025'!C:C,Tabela3[[#This Row],[EMPRESA]],'LIQUIDAÇÃO 2025'!F:F,Tabela3[[#This Row],[EMPENHO]])</f>
        <v>0</v>
      </c>
      <c r="N242" s="683">
        <f t="shared" ref="N242:N271" si="9">L242-M242</f>
        <v>400</v>
      </c>
    </row>
    <row r="243" spans="1:14">
      <c r="A243" s="152"/>
      <c r="B243" s="512">
        <f>IFERROR(VLOOKUP(Tabela3[[#This Row],[RESERVA]],Tabela96[[RESERVA]:[PROJETO]],2,FALSE),"")</f>
        <v>79</v>
      </c>
      <c r="C243" s="48">
        <f>IFERROR(VLOOKUP(Tabela3[[#This Row],[RESERVA]],Tabela96[[RESERVA]:[PROJETO]],3,FALSE),"")</f>
        <v>3731</v>
      </c>
      <c r="D243" s="512">
        <f>IFERROR(VLOOKUP(Tabela3[[#This Row],[RESERVA]],Tabela96[[RESERVA]:[PROJETO]],4,FALSE),"")</f>
        <v>2225</v>
      </c>
      <c r="E243" s="512">
        <f>IFERROR(VLOOKUP(Tabela3[[#This Row],[RESERVA]],Tabela96[[RESERVA]:[PROJETO]],5,FALSE),"")</f>
        <v>681</v>
      </c>
      <c r="F243" s="36">
        <v>15287</v>
      </c>
      <c r="G243" s="36">
        <v>67547</v>
      </c>
      <c r="H243" s="104" t="s">
        <v>789</v>
      </c>
      <c r="I243" s="155">
        <v>27744</v>
      </c>
      <c r="J243" s="64">
        <v>9450</v>
      </c>
      <c r="K243" s="64"/>
      <c r="L243" s="509">
        <f>Tabela3[[#This Row],[VALOR
 EMPENHO]]-Tabela3[[#This Row],[ESTORNO]]</f>
        <v>9450</v>
      </c>
      <c r="M243" s="304">
        <f>SUMIFS('LIQUIDAÇÃO 2025'!K:K,'LIQUIDAÇÃO 2025'!B:B,Tabela3[[#This Row],[CÓDIGO
 EMPRESA ]],'LIQUIDAÇÃO 2025'!C:C,Tabela3[[#This Row],[EMPRESA]],'LIQUIDAÇÃO 2025'!F:F,Tabela3[[#This Row],[EMPENHO]])</f>
        <v>0</v>
      </c>
      <c r="N243" s="683">
        <f t="shared" si="9"/>
        <v>9450</v>
      </c>
    </row>
    <row r="244" spans="1:14">
      <c r="A244" s="152"/>
      <c r="B244" s="512">
        <f>IFERROR(VLOOKUP(Tabela3[[#This Row],[RESERVA]],Tabela96[[RESERVA]:[PROJETO]],2,FALSE),"")</f>
        <v>79</v>
      </c>
      <c r="C244" s="48">
        <f>IFERROR(VLOOKUP(Tabela3[[#This Row],[RESERVA]],Tabela96[[RESERVA]:[PROJETO]],3,FALSE),"")</f>
        <v>3010</v>
      </c>
      <c r="D244" s="512">
        <f>IFERROR(VLOOKUP(Tabela3[[#This Row],[RESERVA]],Tabela96[[RESERVA]:[PROJETO]],4,FALSE),"")</f>
        <v>2225</v>
      </c>
      <c r="E244" s="512">
        <f>IFERROR(VLOOKUP(Tabela3[[#This Row],[RESERVA]],Tabela96[[RESERVA]:[PROJETO]],5,FALSE),"")</f>
        <v>681</v>
      </c>
      <c r="F244" s="36">
        <v>15121</v>
      </c>
      <c r="G244" s="36">
        <v>29316</v>
      </c>
      <c r="H244" s="104" t="s">
        <v>790</v>
      </c>
      <c r="I244" s="155">
        <v>27732</v>
      </c>
      <c r="J244" s="64">
        <v>12000</v>
      </c>
      <c r="K244" s="64"/>
      <c r="L244" s="509">
        <f>Tabela3[[#This Row],[VALOR
 EMPENHO]]-Tabela3[[#This Row],[ESTORNO]]</f>
        <v>12000</v>
      </c>
      <c r="M244" s="304">
        <f>SUMIFS('LIQUIDAÇÃO 2025'!K:K,'LIQUIDAÇÃO 2025'!B:B,Tabela3[[#This Row],[CÓDIGO
 EMPRESA ]],'LIQUIDAÇÃO 2025'!C:C,Tabela3[[#This Row],[EMPRESA]],'LIQUIDAÇÃO 2025'!F:F,Tabela3[[#This Row],[EMPENHO]])</f>
        <v>0</v>
      </c>
      <c r="N244" s="683">
        <f t="shared" si="9"/>
        <v>12000</v>
      </c>
    </row>
    <row r="245" spans="1:14">
      <c r="A245" s="152"/>
      <c r="B245" s="512" t="str">
        <f>IFERROR(VLOOKUP(Tabela3[[#This Row],[RESERVA]],Tabela96[[RESERVA]:[PROJETO]],2,FALSE),"")</f>
        <v/>
      </c>
      <c r="C245" s="48" t="str">
        <f>IFERROR(VLOOKUP(Tabela3[[#This Row],[RESERVA]],Tabela96[[RESERVA]:[PROJETO]],3,FALSE),"")</f>
        <v/>
      </c>
      <c r="D245" s="512" t="str">
        <f>IFERROR(VLOOKUP(Tabela3[[#This Row],[RESERVA]],Tabela96[[RESERVA]:[PROJETO]],4,FALSE),"")</f>
        <v/>
      </c>
      <c r="E245" s="512" t="str">
        <f>IFERROR(VLOOKUP(Tabela3[[#This Row],[RESERVA]],Tabela96[[RESERVA]:[PROJETO]],5,FALSE),"")</f>
        <v/>
      </c>
      <c r="F245" s="36"/>
      <c r="G245" s="36">
        <v>46901</v>
      </c>
      <c r="H245" s="104" t="s">
        <v>60</v>
      </c>
      <c r="I245" s="155">
        <v>27357</v>
      </c>
      <c r="J245" s="64">
        <v>73080</v>
      </c>
      <c r="K245" s="64"/>
      <c r="L245" s="509">
        <f>Tabela3[[#This Row],[VALOR
 EMPENHO]]-Tabela3[[#This Row],[ESTORNO]]</f>
        <v>73080</v>
      </c>
      <c r="M245" s="304">
        <f>SUMIFS('LIQUIDAÇÃO 2025'!K:K,'LIQUIDAÇÃO 2025'!B:B,Tabela3[[#This Row],[CÓDIGO
 EMPRESA ]],'LIQUIDAÇÃO 2025'!C:C,Tabela3[[#This Row],[EMPRESA]],'LIQUIDAÇÃO 2025'!F:F,Tabela3[[#This Row],[EMPENHO]])</f>
        <v>0</v>
      </c>
      <c r="N245" s="683">
        <f t="shared" si="9"/>
        <v>73080</v>
      </c>
    </row>
    <row r="246" spans="1:14">
      <c r="A246" s="152"/>
      <c r="B246" s="512" t="str">
        <f>IFERROR(VLOOKUP(Tabela3[[#This Row],[RESERVA]],Tabela96[[RESERVA]:[PROJETO]],2,FALSE),"")</f>
        <v/>
      </c>
      <c r="C246" s="48" t="str">
        <f>IFERROR(VLOOKUP(Tabela3[[#This Row],[RESERVA]],Tabela96[[RESERVA]:[PROJETO]],3,FALSE),"")</f>
        <v/>
      </c>
      <c r="D246" s="512" t="str">
        <f>IFERROR(VLOOKUP(Tabela3[[#This Row],[RESERVA]],Tabela96[[RESERVA]:[PROJETO]],4,FALSE),"")</f>
        <v/>
      </c>
      <c r="E246" s="512" t="str">
        <f>IFERROR(VLOOKUP(Tabela3[[#This Row],[RESERVA]],Tabela96[[RESERVA]:[PROJETO]],5,FALSE),"")</f>
        <v/>
      </c>
      <c r="F246" s="36"/>
      <c r="G246" s="36">
        <v>69169</v>
      </c>
      <c r="H246" s="104" t="s">
        <v>791</v>
      </c>
      <c r="I246" s="155">
        <v>26754</v>
      </c>
      <c r="J246" s="64">
        <v>4383.8999999999996</v>
      </c>
      <c r="K246" s="64"/>
      <c r="L246" s="509">
        <f>Tabela3[[#This Row],[VALOR
 EMPENHO]]-Tabela3[[#This Row],[ESTORNO]]</f>
        <v>4383.8999999999996</v>
      </c>
      <c r="M246" s="304">
        <f>SUMIFS('LIQUIDAÇÃO 2025'!K:K,'LIQUIDAÇÃO 2025'!B:B,Tabela3[[#This Row],[CÓDIGO
 EMPRESA ]],'LIQUIDAÇÃO 2025'!C:C,Tabela3[[#This Row],[EMPRESA]],'LIQUIDAÇÃO 2025'!F:F,Tabela3[[#This Row],[EMPENHO]])</f>
        <v>0</v>
      </c>
      <c r="N246" s="683">
        <f t="shared" si="9"/>
        <v>4383.8999999999996</v>
      </c>
    </row>
    <row r="247" spans="1:14">
      <c r="A247" s="152"/>
      <c r="B247" s="512" t="str">
        <f>IFERROR(VLOOKUP(Tabela3[[#This Row],[RESERVA]],Tabela96[[RESERVA]:[PROJETO]],2,FALSE),"")</f>
        <v/>
      </c>
      <c r="C247" s="48" t="str">
        <f>IFERROR(VLOOKUP(Tabela3[[#This Row],[RESERVA]],Tabela96[[RESERVA]:[PROJETO]],3,FALSE),"")</f>
        <v/>
      </c>
      <c r="D247" s="512" t="str">
        <f>IFERROR(VLOOKUP(Tabela3[[#This Row],[RESERVA]],Tabela96[[RESERVA]:[PROJETO]],4,FALSE),"")</f>
        <v/>
      </c>
      <c r="E247" s="512" t="str">
        <f>IFERROR(VLOOKUP(Tabela3[[#This Row],[RESERVA]],Tabela96[[RESERVA]:[PROJETO]],5,FALSE),"")</f>
        <v/>
      </c>
      <c r="F247" s="36"/>
      <c r="G247" s="36">
        <v>69181</v>
      </c>
      <c r="H247" s="104" t="s">
        <v>733</v>
      </c>
      <c r="I247" s="155">
        <v>26724</v>
      </c>
      <c r="J247" s="64">
        <v>15996</v>
      </c>
      <c r="K247" s="64"/>
      <c r="L247" s="509">
        <f>Tabela3[[#This Row],[VALOR
 EMPENHO]]-Tabela3[[#This Row],[ESTORNO]]</f>
        <v>15996</v>
      </c>
      <c r="M247" s="304">
        <f>SUMIFS('LIQUIDAÇÃO 2025'!K:K,'LIQUIDAÇÃO 2025'!B:B,Tabela3[[#This Row],[CÓDIGO
 EMPRESA ]],'LIQUIDAÇÃO 2025'!C:C,Tabela3[[#This Row],[EMPRESA]],'LIQUIDAÇÃO 2025'!F:F,Tabela3[[#This Row],[EMPENHO]])</f>
        <v>0</v>
      </c>
      <c r="N247" s="683">
        <f t="shared" si="9"/>
        <v>15996</v>
      </c>
    </row>
    <row r="248" spans="1:14">
      <c r="A248" s="152"/>
      <c r="B248" s="512" t="str">
        <f>IFERROR(VLOOKUP(Tabela3[[#This Row],[RESERVA]],Tabela96[[RESERVA]:[PROJETO]],2,FALSE),"")</f>
        <v/>
      </c>
      <c r="C248" s="48" t="str">
        <f>IFERROR(VLOOKUP(Tabela3[[#This Row],[RESERVA]],Tabela96[[RESERVA]:[PROJETO]],3,FALSE),"")</f>
        <v/>
      </c>
      <c r="D248" s="512" t="str">
        <f>IFERROR(VLOOKUP(Tabela3[[#This Row],[RESERVA]],Tabela96[[RESERVA]:[PROJETO]],4,FALSE),"")</f>
        <v/>
      </c>
      <c r="E248" s="512" t="str">
        <f>IFERROR(VLOOKUP(Tabela3[[#This Row],[RESERVA]],Tabela96[[RESERVA]:[PROJETO]],5,FALSE),"")</f>
        <v/>
      </c>
      <c r="F248" s="36"/>
      <c r="G248" s="36">
        <v>111528</v>
      </c>
      <c r="H248" s="104" t="s">
        <v>792</v>
      </c>
      <c r="I248" s="155">
        <v>26721</v>
      </c>
      <c r="J248" s="990">
        <v>23727.47</v>
      </c>
      <c r="K248" s="64"/>
      <c r="L248" s="509">
        <f>Tabela3[[#This Row],[VALOR
 EMPENHO]]-Tabela3[[#This Row],[ESTORNO]]</f>
        <v>23727.47</v>
      </c>
      <c r="M248" s="304">
        <f>SUMIFS('LIQUIDAÇÃO 2025'!K:K,'LIQUIDAÇÃO 2025'!B:B,Tabela3[[#This Row],[CÓDIGO
 EMPRESA ]],'LIQUIDAÇÃO 2025'!C:C,Tabela3[[#This Row],[EMPRESA]],'LIQUIDAÇÃO 2025'!F:F,Tabela3[[#This Row],[EMPENHO]])</f>
        <v>0</v>
      </c>
      <c r="N248" s="683">
        <f t="shared" si="9"/>
        <v>23727.47</v>
      </c>
    </row>
    <row r="249" spans="1:14">
      <c r="A249" s="152"/>
      <c r="B249" s="512" t="str">
        <f>IFERROR(VLOOKUP(Tabela3[[#This Row],[RESERVA]],Tabela96[[RESERVA]:[PROJETO]],2,FALSE),"")</f>
        <v/>
      </c>
      <c r="C249" s="48" t="str">
        <f>IFERROR(VLOOKUP(Tabela3[[#This Row],[RESERVA]],Tabela96[[RESERVA]:[PROJETO]],3,FALSE),"")</f>
        <v/>
      </c>
      <c r="D249" s="512" t="str">
        <f>IFERROR(VLOOKUP(Tabela3[[#This Row],[RESERVA]],Tabela96[[RESERVA]:[PROJETO]],4,FALSE),"")</f>
        <v/>
      </c>
      <c r="E249" s="512" t="str">
        <f>IFERROR(VLOOKUP(Tabela3[[#This Row],[RESERVA]],Tabela96[[RESERVA]:[PROJETO]],5,FALSE),"")</f>
        <v/>
      </c>
      <c r="F249" s="36"/>
      <c r="G249" s="36">
        <v>111528</v>
      </c>
      <c r="H249" s="104" t="s">
        <v>792</v>
      </c>
      <c r="I249" s="155">
        <v>26719</v>
      </c>
      <c r="J249" s="64">
        <v>19348.77</v>
      </c>
      <c r="K249" s="64"/>
      <c r="L249" s="509">
        <f>Tabela3[[#This Row],[VALOR
 EMPENHO]]-Tabela3[[#This Row],[ESTORNO]]</f>
        <v>19348.77</v>
      </c>
      <c r="M249" s="304">
        <f>SUMIFS('LIQUIDAÇÃO 2025'!K:K,'LIQUIDAÇÃO 2025'!B:B,Tabela3[[#This Row],[CÓDIGO
 EMPRESA ]],'LIQUIDAÇÃO 2025'!C:C,Tabela3[[#This Row],[EMPRESA]],'LIQUIDAÇÃO 2025'!F:F,Tabela3[[#This Row],[EMPENHO]])</f>
        <v>0</v>
      </c>
      <c r="N249" s="683">
        <f t="shared" si="9"/>
        <v>19348.77</v>
      </c>
    </row>
    <row r="250" spans="1:14">
      <c r="A250" s="152"/>
      <c r="B250" s="512" t="str">
        <f>IFERROR(VLOOKUP(Tabela3[[#This Row],[RESERVA]],Tabela96[[RESERVA]:[PROJETO]],2,FALSE),"")</f>
        <v/>
      </c>
      <c r="C250" s="48" t="str">
        <f>IFERROR(VLOOKUP(Tabela3[[#This Row],[RESERVA]],Tabela96[[RESERVA]:[PROJETO]],3,FALSE),"")</f>
        <v/>
      </c>
      <c r="D250" s="512" t="str">
        <f>IFERROR(VLOOKUP(Tabela3[[#This Row],[RESERVA]],Tabela96[[RESERVA]:[PROJETO]],4,FALSE),"")</f>
        <v/>
      </c>
      <c r="E250" s="512" t="str">
        <f>IFERROR(VLOOKUP(Tabela3[[#This Row],[RESERVA]],Tabela96[[RESERVA]:[PROJETO]],5,FALSE),"")</f>
        <v/>
      </c>
      <c r="F250" s="36"/>
      <c r="G250" s="36">
        <v>67547</v>
      </c>
      <c r="H250" s="104" t="s">
        <v>294</v>
      </c>
      <c r="I250" s="155">
        <v>25169</v>
      </c>
      <c r="J250" s="64">
        <v>31000</v>
      </c>
      <c r="K250" s="64"/>
      <c r="L250" s="509">
        <f>Tabela3[[#This Row],[VALOR
 EMPENHO]]-Tabela3[[#This Row],[ESTORNO]]</f>
        <v>31000</v>
      </c>
      <c r="M250" s="304">
        <f>SUMIFS('LIQUIDAÇÃO 2025'!K:K,'LIQUIDAÇÃO 2025'!B:B,Tabela3[[#This Row],[CÓDIGO
 EMPRESA ]],'LIQUIDAÇÃO 2025'!C:C,Tabela3[[#This Row],[EMPRESA]],'LIQUIDAÇÃO 2025'!F:F,Tabela3[[#This Row],[EMPENHO]])</f>
        <v>0</v>
      </c>
      <c r="N250" s="683">
        <f t="shared" si="9"/>
        <v>31000</v>
      </c>
    </row>
    <row r="251" spans="1:14">
      <c r="A251" s="152"/>
      <c r="B251" s="512" t="str">
        <f>IFERROR(VLOOKUP(Tabela3[[#This Row],[RESERVA]],Tabela96[[RESERVA]:[PROJETO]],2,FALSE),"")</f>
        <v/>
      </c>
      <c r="C251" s="48" t="str">
        <f>IFERROR(VLOOKUP(Tabela3[[#This Row],[RESERVA]],Tabela96[[RESERVA]:[PROJETO]],3,FALSE),"")</f>
        <v/>
      </c>
      <c r="D251" s="512" t="str">
        <f>IFERROR(VLOOKUP(Tabela3[[#This Row],[RESERVA]],Tabela96[[RESERVA]:[PROJETO]],4,FALSE),"")</f>
        <v/>
      </c>
      <c r="E251" s="512" t="str">
        <f>IFERROR(VLOOKUP(Tabela3[[#This Row],[RESERVA]],Tabela96[[RESERVA]:[PROJETO]],5,FALSE),"")</f>
        <v/>
      </c>
      <c r="F251" s="36"/>
      <c r="G251" s="36">
        <v>61861</v>
      </c>
      <c r="H251" s="104" t="s">
        <v>380</v>
      </c>
      <c r="I251" s="155">
        <v>25168</v>
      </c>
      <c r="J251" s="64">
        <v>293000</v>
      </c>
      <c r="K251" s="64"/>
      <c r="L251" s="509">
        <f>Tabela3[[#This Row],[VALOR
 EMPENHO]]-Tabela3[[#This Row],[ESTORNO]]</f>
        <v>293000</v>
      </c>
      <c r="M251" s="304">
        <f>SUMIFS('LIQUIDAÇÃO 2025'!K:K,'LIQUIDAÇÃO 2025'!B:B,Tabela3[[#This Row],[CÓDIGO
 EMPRESA ]],'LIQUIDAÇÃO 2025'!C:C,Tabela3[[#This Row],[EMPRESA]],'LIQUIDAÇÃO 2025'!F:F,Tabela3[[#This Row],[EMPENHO]])</f>
        <v>0</v>
      </c>
      <c r="N251" s="683">
        <f t="shared" si="9"/>
        <v>293000</v>
      </c>
    </row>
    <row r="252" spans="1:14">
      <c r="A252" s="152"/>
      <c r="B252" s="512" t="str">
        <f>IFERROR(VLOOKUP(Tabela3[[#This Row],[RESERVA]],Tabela96[[RESERVA]:[PROJETO]],2,FALSE),"")</f>
        <v/>
      </c>
      <c r="C252" s="48" t="str">
        <f>IFERROR(VLOOKUP(Tabela3[[#This Row],[RESERVA]],Tabela96[[RESERVA]:[PROJETO]],3,FALSE),"")</f>
        <v/>
      </c>
      <c r="D252" s="512" t="str">
        <f>IFERROR(VLOOKUP(Tabela3[[#This Row],[RESERVA]],Tabela96[[RESERVA]:[PROJETO]],4,FALSE),"")</f>
        <v/>
      </c>
      <c r="E252" s="512" t="str">
        <f>IFERROR(VLOOKUP(Tabela3[[#This Row],[RESERVA]],Tabela96[[RESERVA]:[PROJETO]],5,FALSE),"")</f>
        <v/>
      </c>
      <c r="F252" s="36"/>
      <c r="G252" s="36">
        <v>121217</v>
      </c>
      <c r="H252" s="104" t="s">
        <v>793</v>
      </c>
      <c r="I252" s="155">
        <v>24971</v>
      </c>
      <c r="J252" s="64">
        <v>64</v>
      </c>
      <c r="K252" s="64"/>
      <c r="L252" s="509">
        <f>Tabela3[[#This Row],[VALOR
 EMPENHO]]-Tabela3[[#This Row],[ESTORNO]]</f>
        <v>64</v>
      </c>
      <c r="M252" s="304">
        <f>SUMIFS('LIQUIDAÇÃO 2025'!K:K,'LIQUIDAÇÃO 2025'!B:B,Tabela3[[#This Row],[CÓDIGO
 EMPRESA ]],'LIQUIDAÇÃO 2025'!C:C,Tabela3[[#This Row],[EMPRESA]],'LIQUIDAÇÃO 2025'!F:F,Tabela3[[#This Row],[EMPENHO]])</f>
        <v>0</v>
      </c>
      <c r="N252" s="683">
        <f t="shared" si="9"/>
        <v>64</v>
      </c>
    </row>
    <row r="253" spans="1:14">
      <c r="A253" s="152"/>
      <c r="B253" s="512" t="str">
        <f>IFERROR(VLOOKUP(Tabela3[[#This Row],[RESERVA]],Tabela96[[RESERVA]:[PROJETO]],2,FALSE),"")</f>
        <v/>
      </c>
      <c r="C253" s="48" t="str">
        <f>IFERROR(VLOOKUP(Tabela3[[#This Row],[RESERVA]],Tabela96[[RESERVA]:[PROJETO]],3,FALSE),"")</f>
        <v/>
      </c>
      <c r="D253" s="512" t="str">
        <f>IFERROR(VLOOKUP(Tabela3[[#This Row],[RESERVA]],Tabela96[[RESERVA]:[PROJETO]],4,FALSE),"")</f>
        <v/>
      </c>
      <c r="E253" s="512" t="str">
        <f>IFERROR(VLOOKUP(Tabela3[[#This Row],[RESERVA]],Tabela96[[RESERVA]:[PROJETO]],5,FALSE),"")</f>
        <v/>
      </c>
      <c r="F253" s="36"/>
      <c r="G253" s="36">
        <v>121221</v>
      </c>
      <c r="H253" s="104" t="s">
        <v>794</v>
      </c>
      <c r="I253" s="155">
        <v>24970</v>
      </c>
      <c r="J253" s="64">
        <v>1442.9</v>
      </c>
      <c r="K253" s="64"/>
      <c r="L253" s="509">
        <f>Tabela3[[#This Row],[VALOR
 EMPENHO]]-Tabela3[[#This Row],[ESTORNO]]</f>
        <v>1442.9</v>
      </c>
      <c r="M253" s="304">
        <f>SUMIFS('LIQUIDAÇÃO 2025'!K:K,'LIQUIDAÇÃO 2025'!B:B,Tabela3[[#This Row],[CÓDIGO
 EMPRESA ]],'LIQUIDAÇÃO 2025'!C:C,Tabela3[[#This Row],[EMPRESA]],'LIQUIDAÇÃO 2025'!F:F,Tabela3[[#This Row],[EMPENHO]])</f>
        <v>0</v>
      </c>
      <c r="N253" s="683">
        <f t="shared" si="9"/>
        <v>1442.9</v>
      </c>
    </row>
    <row r="254" spans="1:14">
      <c r="A254" s="152"/>
      <c r="B254" s="512" t="str">
        <f>IFERROR(VLOOKUP(Tabela3[[#This Row],[RESERVA]],Tabela96[[RESERVA]:[PROJETO]],2,FALSE),"")</f>
        <v/>
      </c>
      <c r="C254" s="48" t="str">
        <f>IFERROR(VLOOKUP(Tabela3[[#This Row],[RESERVA]],Tabela96[[RESERVA]:[PROJETO]],3,FALSE),"")</f>
        <v/>
      </c>
      <c r="D254" s="512" t="str">
        <f>IFERROR(VLOOKUP(Tabela3[[#This Row],[RESERVA]],Tabela96[[RESERVA]:[PROJETO]],4,FALSE),"")</f>
        <v/>
      </c>
      <c r="E254" s="512" t="str">
        <f>IFERROR(VLOOKUP(Tabela3[[#This Row],[RESERVA]],Tabela96[[RESERVA]:[PROJETO]],5,FALSE),"")</f>
        <v/>
      </c>
      <c r="F254" s="36"/>
      <c r="G254" s="36">
        <v>123339</v>
      </c>
      <c r="H254" s="104" t="s">
        <v>795</v>
      </c>
      <c r="I254" s="155">
        <v>24968</v>
      </c>
      <c r="J254" s="64">
        <v>3076.3</v>
      </c>
      <c r="K254" s="64"/>
      <c r="L254" s="509">
        <f>Tabela3[[#This Row],[VALOR
 EMPENHO]]-Tabela3[[#This Row],[ESTORNO]]</f>
        <v>3076.3</v>
      </c>
      <c r="M254" s="304">
        <f>SUMIFS('LIQUIDAÇÃO 2025'!K:K,'LIQUIDAÇÃO 2025'!B:B,Tabela3[[#This Row],[CÓDIGO
 EMPRESA ]],'LIQUIDAÇÃO 2025'!C:C,Tabela3[[#This Row],[EMPRESA]],'LIQUIDAÇÃO 2025'!F:F,Tabela3[[#This Row],[EMPENHO]])</f>
        <v>0</v>
      </c>
      <c r="N254" s="683">
        <f t="shared" si="9"/>
        <v>3076.3</v>
      </c>
    </row>
    <row r="255" spans="1:14">
      <c r="A255" s="152"/>
      <c r="B255" s="512" t="str">
        <f>IFERROR(VLOOKUP(Tabela3[[#This Row],[RESERVA]],Tabela96[[RESERVA]:[PROJETO]],2,FALSE),"")</f>
        <v/>
      </c>
      <c r="C255" s="48" t="str">
        <f>IFERROR(VLOOKUP(Tabela3[[#This Row],[RESERVA]],Tabela96[[RESERVA]:[PROJETO]],3,FALSE),"")</f>
        <v/>
      </c>
      <c r="D255" s="512" t="str">
        <f>IFERROR(VLOOKUP(Tabela3[[#This Row],[RESERVA]],Tabela96[[RESERVA]:[PROJETO]],4,FALSE),"")</f>
        <v/>
      </c>
      <c r="E255" s="512" t="str">
        <f>IFERROR(VLOOKUP(Tabela3[[#This Row],[RESERVA]],Tabela96[[RESERVA]:[PROJETO]],5,FALSE),"")</f>
        <v/>
      </c>
      <c r="F255" s="36"/>
      <c r="G255" s="36">
        <v>118432</v>
      </c>
      <c r="H255" s="104" t="s">
        <v>617</v>
      </c>
      <c r="I255" s="155">
        <v>24964</v>
      </c>
      <c r="J255" s="64">
        <v>5500</v>
      </c>
      <c r="K255" s="64"/>
      <c r="L255" s="509">
        <f>Tabela3[[#This Row],[VALOR
 EMPENHO]]-Tabela3[[#This Row],[ESTORNO]]</f>
        <v>5500</v>
      </c>
      <c r="M255" s="304">
        <f>SUMIFS('LIQUIDAÇÃO 2025'!K:K,'LIQUIDAÇÃO 2025'!B:B,Tabela3[[#This Row],[CÓDIGO
 EMPRESA ]],'LIQUIDAÇÃO 2025'!C:C,Tabela3[[#This Row],[EMPRESA]],'LIQUIDAÇÃO 2025'!F:F,Tabela3[[#This Row],[EMPENHO]])</f>
        <v>0</v>
      </c>
      <c r="N255" s="683">
        <f t="shared" si="9"/>
        <v>5500</v>
      </c>
    </row>
    <row r="256" spans="1:14">
      <c r="A256" s="152"/>
      <c r="B256" s="512" t="str">
        <f>IFERROR(VLOOKUP(Tabela3[[#This Row],[RESERVA]],Tabela96[[RESERVA]:[PROJETO]],2,FALSE),"")</f>
        <v/>
      </c>
      <c r="C256" s="48" t="str">
        <f>IFERROR(VLOOKUP(Tabela3[[#This Row],[RESERVA]],Tabela96[[RESERVA]:[PROJETO]],3,FALSE),"")</f>
        <v/>
      </c>
      <c r="D256" s="512" t="str">
        <f>IFERROR(VLOOKUP(Tabela3[[#This Row],[RESERVA]],Tabela96[[RESERVA]:[PROJETO]],4,FALSE),"")</f>
        <v/>
      </c>
      <c r="E256" s="512" t="str">
        <f>IFERROR(VLOOKUP(Tabela3[[#This Row],[RESERVA]],Tabela96[[RESERVA]:[PROJETO]],5,FALSE),"")</f>
        <v/>
      </c>
      <c r="F256" s="36"/>
      <c r="G256" s="36">
        <v>124752</v>
      </c>
      <c r="H256" s="104" t="s">
        <v>796</v>
      </c>
      <c r="I256" s="155">
        <v>24962</v>
      </c>
      <c r="J256" s="64">
        <v>1970</v>
      </c>
      <c r="K256" s="64"/>
      <c r="L256" s="509">
        <f>Tabela3[[#This Row],[VALOR
 EMPENHO]]-Tabela3[[#This Row],[ESTORNO]]</f>
        <v>1970</v>
      </c>
      <c r="M256" s="304">
        <f>SUMIFS('LIQUIDAÇÃO 2025'!K:K,'LIQUIDAÇÃO 2025'!B:B,Tabela3[[#This Row],[CÓDIGO
 EMPRESA ]],'LIQUIDAÇÃO 2025'!C:C,Tabela3[[#This Row],[EMPRESA]],'LIQUIDAÇÃO 2025'!F:F,Tabela3[[#This Row],[EMPENHO]])</f>
        <v>0</v>
      </c>
      <c r="N256" s="683">
        <f t="shared" si="9"/>
        <v>1970</v>
      </c>
    </row>
    <row r="257" spans="1:14">
      <c r="A257" s="152"/>
      <c r="B257" s="512">
        <f>IFERROR(VLOOKUP(Tabela3[[#This Row],[RESERVA]],Tabela96[[RESERVA]:[PROJETO]],2,FALSE),"")</f>
        <v>79</v>
      </c>
      <c r="C257" s="48">
        <f>IFERROR(VLOOKUP(Tabela3[[#This Row],[RESERVA]],Tabela96[[RESERVA]:[PROJETO]],3,FALSE),"")</f>
        <v>3010</v>
      </c>
      <c r="D257" s="512">
        <f>IFERROR(VLOOKUP(Tabela3[[#This Row],[RESERVA]],Tabela96[[RESERVA]:[PROJETO]],4,FALSE),"")</f>
        <v>2225</v>
      </c>
      <c r="E257" s="512">
        <f>IFERROR(VLOOKUP(Tabela3[[#This Row],[RESERVA]],Tabela96[[RESERVA]:[PROJETO]],5,FALSE),"")</f>
        <v>681</v>
      </c>
      <c r="F257" s="36">
        <v>13562</v>
      </c>
      <c r="G257" s="36">
        <v>51481</v>
      </c>
      <c r="H257" s="104" t="s">
        <v>797</v>
      </c>
      <c r="I257" s="155">
        <v>24957</v>
      </c>
      <c r="J257" s="64">
        <v>12845</v>
      </c>
      <c r="K257" s="64"/>
      <c r="L257" s="509">
        <f>Tabela3[[#This Row],[VALOR
 EMPENHO]]-Tabela3[[#This Row],[ESTORNO]]</f>
        <v>12845</v>
      </c>
      <c r="M257" s="304">
        <f>SUMIFS('LIQUIDAÇÃO 2025'!K:K,'LIQUIDAÇÃO 2025'!B:B,Tabela3[[#This Row],[CÓDIGO
 EMPRESA ]],'LIQUIDAÇÃO 2025'!C:C,Tabela3[[#This Row],[EMPRESA]],'LIQUIDAÇÃO 2025'!F:F,Tabela3[[#This Row],[EMPENHO]])</f>
        <v>0</v>
      </c>
      <c r="N257" s="683">
        <f t="shared" si="9"/>
        <v>12845</v>
      </c>
    </row>
    <row r="258" spans="1:14">
      <c r="A258" s="152"/>
      <c r="B258" s="512">
        <f>IFERROR(VLOOKUP(Tabela3[[#This Row],[RESERVA]],Tabela96[[RESERVA]:[PROJETO]],2,FALSE),"")</f>
        <v>79</v>
      </c>
      <c r="C258" s="48">
        <f>IFERROR(VLOOKUP(Tabela3[[#This Row],[RESERVA]],Tabela96[[RESERVA]:[PROJETO]],3,FALSE),"")</f>
        <v>3731</v>
      </c>
      <c r="D258" s="512">
        <f>IFERROR(VLOOKUP(Tabela3[[#This Row],[RESERVA]],Tabela96[[RESERVA]:[PROJETO]],4,FALSE),"")</f>
        <v>2225</v>
      </c>
      <c r="E258" s="512">
        <f>IFERROR(VLOOKUP(Tabela3[[#This Row],[RESERVA]],Tabela96[[RESERVA]:[PROJETO]],5,FALSE),"")</f>
        <v>681</v>
      </c>
      <c r="F258" s="36">
        <v>13558</v>
      </c>
      <c r="G258" s="36">
        <v>123753</v>
      </c>
      <c r="H258" s="104" t="s">
        <v>798</v>
      </c>
      <c r="I258" s="155">
        <v>24944</v>
      </c>
      <c r="J258" s="64">
        <v>32790</v>
      </c>
      <c r="K258" s="64"/>
      <c r="L258" s="509">
        <f>Tabela3[[#This Row],[VALOR
 EMPENHO]]-Tabela3[[#This Row],[ESTORNO]]</f>
        <v>32790</v>
      </c>
      <c r="M258" s="304">
        <f>SUMIFS('LIQUIDAÇÃO 2025'!K:K,'LIQUIDAÇÃO 2025'!B:B,Tabela3[[#This Row],[CÓDIGO
 EMPRESA ]],'LIQUIDAÇÃO 2025'!C:C,Tabela3[[#This Row],[EMPRESA]],'LIQUIDAÇÃO 2025'!F:F,Tabela3[[#This Row],[EMPENHO]])</f>
        <v>0</v>
      </c>
      <c r="N258" s="683">
        <f t="shared" si="9"/>
        <v>32790</v>
      </c>
    </row>
    <row r="259" spans="1:14">
      <c r="A259" s="152"/>
      <c r="B259" s="512">
        <f>IFERROR(VLOOKUP(Tabela3[[#This Row],[RESERVA]],Tabela96[[RESERVA]:[PROJETO]],2,FALSE),"")</f>
        <v>79</v>
      </c>
      <c r="C259" s="48">
        <f>IFERROR(VLOOKUP(Tabela3[[#This Row],[RESERVA]],Tabela96[[RESERVA]:[PROJETO]],3,FALSE),"")</f>
        <v>3732</v>
      </c>
      <c r="D259" s="512">
        <f>IFERROR(VLOOKUP(Tabela3[[#This Row],[RESERVA]],Tabela96[[RESERVA]:[PROJETO]],4,FALSE),"")</f>
        <v>2225</v>
      </c>
      <c r="E259" s="512">
        <f>IFERROR(VLOOKUP(Tabela3[[#This Row],[RESERVA]],Tabela96[[RESERVA]:[PROJETO]],5,FALSE),"")</f>
        <v>681</v>
      </c>
      <c r="F259" s="36">
        <v>13559</v>
      </c>
      <c r="G259" s="36">
        <v>123753</v>
      </c>
      <c r="H259" s="104" t="s">
        <v>798</v>
      </c>
      <c r="I259" s="155">
        <v>24939</v>
      </c>
      <c r="J259" s="64">
        <v>3700</v>
      </c>
      <c r="K259" s="64"/>
      <c r="L259" s="509">
        <f>Tabela3[[#This Row],[VALOR
 EMPENHO]]-Tabela3[[#This Row],[ESTORNO]]</f>
        <v>3700</v>
      </c>
      <c r="M259" s="304">
        <f>SUMIFS('LIQUIDAÇÃO 2025'!K:K,'LIQUIDAÇÃO 2025'!B:B,Tabela3[[#This Row],[CÓDIGO
 EMPRESA ]],'LIQUIDAÇÃO 2025'!C:C,Tabela3[[#This Row],[EMPRESA]],'LIQUIDAÇÃO 2025'!F:F,Tabela3[[#This Row],[EMPENHO]])</f>
        <v>0</v>
      </c>
      <c r="N259" s="683">
        <f t="shared" si="9"/>
        <v>3700</v>
      </c>
    </row>
    <row r="260" spans="1:14">
      <c r="A260" s="152"/>
      <c r="B260" s="512">
        <f>IFERROR(VLOOKUP(Tabela3[[#This Row],[RESERVA]],Tabela96[[RESERVA]:[PROJETO]],2,FALSE),"")</f>
        <v>79</v>
      </c>
      <c r="C260" s="48">
        <f>IFERROR(VLOOKUP(Tabela3[[#This Row],[RESERVA]],Tabela96[[RESERVA]:[PROJETO]],3,FALSE),"")</f>
        <v>3757</v>
      </c>
      <c r="D260" s="512">
        <f>IFERROR(VLOOKUP(Tabela3[[#This Row],[RESERVA]],Tabela96[[RESERVA]:[PROJETO]],4,FALSE),"")</f>
        <v>1063</v>
      </c>
      <c r="E260" s="512">
        <f>IFERROR(VLOOKUP(Tabela3[[#This Row],[RESERVA]],Tabela96[[RESERVA]:[PROJETO]],5,FALSE),"")</f>
        <v>681</v>
      </c>
      <c r="F260" s="36">
        <v>13539</v>
      </c>
      <c r="G260" s="36">
        <v>111528</v>
      </c>
      <c r="H260" s="104" t="s">
        <v>799</v>
      </c>
      <c r="I260" s="155">
        <v>24915</v>
      </c>
      <c r="J260" s="64">
        <v>174138.89</v>
      </c>
      <c r="K260" s="64"/>
      <c r="L260" s="509">
        <f>Tabela3[[#This Row],[VALOR
 EMPENHO]]-Tabela3[[#This Row],[ESTORNO]]</f>
        <v>174138.89</v>
      </c>
      <c r="M260" s="304">
        <f>SUMIFS('LIQUIDAÇÃO 2025'!K:K,'LIQUIDAÇÃO 2025'!B:B,Tabela3[[#This Row],[CÓDIGO
 EMPRESA ]],'LIQUIDAÇÃO 2025'!C:C,Tabela3[[#This Row],[EMPRESA]],'LIQUIDAÇÃO 2025'!F:F,Tabela3[[#This Row],[EMPENHO]])</f>
        <v>0</v>
      </c>
      <c r="N260" s="683">
        <f t="shared" si="9"/>
        <v>174138.89</v>
      </c>
    </row>
    <row r="261" spans="1:14">
      <c r="A261" s="152"/>
      <c r="B261" s="512">
        <f>IFERROR(VLOOKUP(Tabela3[[#This Row],[RESERVA]],Tabela96[[RESERVA]:[PROJETO]],2,FALSE),"")</f>
        <v>79</v>
      </c>
      <c r="C261" s="48">
        <f>IFERROR(VLOOKUP(Tabela3[[#This Row],[RESERVA]],Tabela96[[RESERVA]:[PROJETO]],3,FALSE),"")</f>
        <v>3757</v>
      </c>
      <c r="D261" s="512">
        <f>IFERROR(VLOOKUP(Tabela3[[#This Row],[RESERVA]],Tabela96[[RESERVA]:[PROJETO]],4,FALSE),"")</f>
        <v>1063</v>
      </c>
      <c r="E261" s="512">
        <f>IFERROR(VLOOKUP(Tabela3[[#This Row],[RESERVA]],Tabela96[[RESERVA]:[PROJETO]],5,FALSE),"")</f>
        <v>681</v>
      </c>
      <c r="F261" s="36">
        <v>13538</v>
      </c>
      <c r="G261" s="36">
        <v>111528</v>
      </c>
      <c r="H261" s="104" t="s">
        <v>799</v>
      </c>
      <c r="I261" s="155">
        <v>24869</v>
      </c>
      <c r="J261" s="64">
        <v>213547.27</v>
      </c>
      <c r="K261" s="64"/>
      <c r="L261" s="509">
        <f>Tabela3[[#This Row],[VALOR
 EMPENHO]]-Tabela3[[#This Row],[ESTORNO]]</f>
        <v>213547.27</v>
      </c>
      <c r="M261" s="304">
        <f>SUMIFS('LIQUIDAÇÃO 2025'!K:K,'LIQUIDAÇÃO 2025'!B:B,Tabela3[[#This Row],[CÓDIGO
 EMPRESA ]],'LIQUIDAÇÃO 2025'!C:C,Tabela3[[#This Row],[EMPRESA]],'LIQUIDAÇÃO 2025'!F:F,Tabela3[[#This Row],[EMPENHO]])</f>
        <v>0</v>
      </c>
      <c r="N261" s="683">
        <f t="shared" si="9"/>
        <v>213547.27</v>
      </c>
    </row>
    <row r="262" spans="1:14">
      <c r="A262" s="152"/>
      <c r="B262" s="512">
        <f>IFERROR(VLOOKUP(Tabela3[[#This Row],[RESERVA]],Tabela96[[RESERVA]:[PROJETO]],2,FALSE),"")</f>
        <v>79</v>
      </c>
      <c r="C262" s="48">
        <f>IFERROR(VLOOKUP(Tabela3[[#This Row],[RESERVA]],Tabela96[[RESERVA]:[PROJETO]],3,FALSE),"")</f>
        <v>3731</v>
      </c>
      <c r="D262" s="512">
        <f>IFERROR(VLOOKUP(Tabela3[[#This Row],[RESERVA]],Tabela96[[RESERVA]:[PROJETO]],4,FALSE),"")</f>
        <v>2225</v>
      </c>
      <c r="E262" s="512">
        <f>IFERROR(VLOOKUP(Tabela3[[#This Row],[RESERVA]],Tabela96[[RESERVA]:[PROJETO]],5,FALSE),"")</f>
        <v>681</v>
      </c>
      <c r="F262" s="36">
        <v>13232</v>
      </c>
      <c r="G262" s="36">
        <v>73402</v>
      </c>
      <c r="H262" s="104" t="s">
        <v>295</v>
      </c>
      <c r="I262" s="155">
        <v>24851</v>
      </c>
      <c r="J262" s="64">
        <v>27000</v>
      </c>
      <c r="K262" s="64"/>
      <c r="L262" s="509">
        <f>Tabela3[[#This Row],[VALOR
 EMPENHO]]-Tabela3[[#This Row],[ESTORNO]]</f>
        <v>27000</v>
      </c>
      <c r="M262" s="304">
        <f>SUMIFS('LIQUIDAÇÃO 2025'!K:K,'LIQUIDAÇÃO 2025'!B:B,Tabela3[[#This Row],[CÓDIGO
 EMPRESA ]],'LIQUIDAÇÃO 2025'!C:C,Tabela3[[#This Row],[EMPRESA]],'LIQUIDAÇÃO 2025'!F:F,Tabela3[[#This Row],[EMPENHO]])</f>
        <v>0</v>
      </c>
      <c r="N262" s="683">
        <f t="shared" si="9"/>
        <v>27000</v>
      </c>
    </row>
    <row r="263" spans="1:14">
      <c r="A263" s="152"/>
      <c r="B263" s="512">
        <f>IFERROR(VLOOKUP(Tabela3[[#This Row],[RESERVA]],Tabela96[[RESERVA]:[PROJETO]],2,FALSE),"")</f>
        <v>79</v>
      </c>
      <c r="C263" s="48">
        <f>IFERROR(VLOOKUP(Tabela3[[#This Row],[RESERVA]],Tabela96[[RESERVA]:[PROJETO]],3,FALSE),"")</f>
        <v>3731</v>
      </c>
      <c r="D263" s="512">
        <f>IFERROR(VLOOKUP(Tabela3[[#This Row],[RESERVA]],Tabela96[[RESERVA]:[PROJETO]],4,FALSE),"")</f>
        <v>2225</v>
      </c>
      <c r="E263" s="512">
        <f>IFERROR(VLOOKUP(Tabela3[[#This Row],[RESERVA]],Tabela96[[RESERVA]:[PROJETO]],5,FALSE),"")</f>
        <v>681</v>
      </c>
      <c r="F263" s="36">
        <v>13232</v>
      </c>
      <c r="G263" s="36">
        <v>122083</v>
      </c>
      <c r="H263" s="104" t="s">
        <v>293</v>
      </c>
      <c r="I263" s="155">
        <v>24490</v>
      </c>
      <c r="J263" s="64">
        <v>41800</v>
      </c>
      <c r="K263" s="64"/>
      <c r="L263" s="509">
        <f>Tabela3[[#This Row],[VALOR
 EMPENHO]]-Tabela3[[#This Row],[ESTORNO]]</f>
        <v>41800</v>
      </c>
      <c r="M263" s="304">
        <f>SUMIFS('LIQUIDAÇÃO 2025'!K:K,'LIQUIDAÇÃO 2025'!B:B,Tabela3[[#This Row],[CÓDIGO
 EMPRESA ]],'LIQUIDAÇÃO 2025'!C:C,Tabela3[[#This Row],[EMPRESA]],'LIQUIDAÇÃO 2025'!F:F,Tabela3[[#This Row],[EMPENHO]])</f>
        <v>0</v>
      </c>
      <c r="N263" s="683">
        <f t="shared" si="9"/>
        <v>41800</v>
      </c>
    </row>
    <row r="264" spans="1:14">
      <c r="A264" s="152"/>
      <c r="B264" s="512">
        <f>IFERROR(VLOOKUP(Tabela3[[#This Row],[RESERVA]],Tabela96[[RESERVA]:[PROJETO]],2,FALSE),"")</f>
        <v>79</v>
      </c>
      <c r="C264" s="48">
        <f>IFERROR(VLOOKUP(Tabela3[[#This Row],[RESERVA]],Tabela96[[RESERVA]:[PROJETO]],3,FALSE),"")</f>
        <v>3731</v>
      </c>
      <c r="D264" s="512">
        <f>IFERROR(VLOOKUP(Tabela3[[#This Row],[RESERVA]],Tabela96[[RESERVA]:[PROJETO]],4,FALSE),"")</f>
        <v>2225</v>
      </c>
      <c r="E264" s="512">
        <f>IFERROR(VLOOKUP(Tabela3[[#This Row],[RESERVA]],Tabela96[[RESERVA]:[PROJETO]],5,FALSE),"")</f>
        <v>681</v>
      </c>
      <c r="F264" s="36">
        <v>13232</v>
      </c>
      <c r="G264" s="36">
        <v>122083</v>
      </c>
      <c r="H264" s="104" t="s">
        <v>293</v>
      </c>
      <c r="I264" s="155">
        <v>24439</v>
      </c>
      <c r="J264" s="64">
        <v>6000</v>
      </c>
      <c r="K264" s="64"/>
      <c r="L264" s="509">
        <f>Tabela3[[#This Row],[VALOR
 EMPENHO]]-Tabela3[[#This Row],[ESTORNO]]</f>
        <v>6000</v>
      </c>
      <c r="M264" s="304">
        <f>SUMIFS('LIQUIDAÇÃO 2025'!K:K,'LIQUIDAÇÃO 2025'!B:B,Tabela3[[#This Row],[CÓDIGO
 EMPRESA ]],'LIQUIDAÇÃO 2025'!C:C,Tabela3[[#This Row],[EMPRESA]],'LIQUIDAÇÃO 2025'!F:F,Tabela3[[#This Row],[EMPENHO]])</f>
        <v>0</v>
      </c>
      <c r="N264" s="683">
        <f t="shared" si="9"/>
        <v>6000</v>
      </c>
    </row>
    <row r="265" spans="1:14">
      <c r="A265" s="152"/>
      <c r="B265" s="512">
        <f>IFERROR(VLOOKUP(Tabela3[[#This Row],[RESERVA]],Tabela96[[RESERVA]:[PROJETO]],2,FALSE),"")</f>
        <v>79</v>
      </c>
      <c r="C265" s="48">
        <f>IFERROR(VLOOKUP(Tabela3[[#This Row],[RESERVA]],Tabela96[[RESERVA]:[PROJETO]],3,FALSE),"")</f>
        <v>3731</v>
      </c>
      <c r="D265" s="512">
        <f>IFERROR(VLOOKUP(Tabela3[[#This Row],[RESERVA]],Tabela96[[RESERVA]:[PROJETO]],4,FALSE),"")</f>
        <v>2225</v>
      </c>
      <c r="E265" s="512">
        <f>IFERROR(VLOOKUP(Tabela3[[#This Row],[RESERVA]],Tabela96[[RESERVA]:[PROJETO]],5,FALSE),"")</f>
        <v>681</v>
      </c>
      <c r="F265" s="36">
        <v>13232</v>
      </c>
      <c r="G265" s="36">
        <v>41807</v>
      </c>
      <c r="H265" s="104" t="s">
        <v>800</v>
      </c>
      <c r="I265" s="155">
        <v>24259</v>
      </c>
      <c r="J265" s="64">
        <v>93750</v>
      </c>
      <c r="K265" s="64"/>
      <c r="L265" s="509">
        <f>Tabela3[[#This Row],[VALOR
 EMPENHO]]-Tabela3[[#This Row],[ESTORNO]]</f>
        <v>93750</v>
      </c>
      <c r="M265" s="304">
        <f>SUMIFS('LIQUIDAÇÃO 2025'!K:K,'LIQUIDAÇÃO 2025'!B:B,Tabela3[[#This Row],[CÓDIGO
 EMPRESA ]],'LIQUIDAÇÃO 2025'!C:C,Tabela3[[#This Row],[EMPRESA]],'LIQUIDAÇÃO 2025'!F:F,Tabela3[[#This Row],[EMPENHO]])</f>
        <v>0</v>
      </c>
      <c r="N265" s="683">
        <f t="shared" si="9"/>
        <v>93750</v>
      </c>
    </row>
    <row r="266" spans="1:14" ht="14.25" customHeight="1">
      <c r="A266" s="152"/>
      <c r="B266" s="512">
        <f>IFERROR(VLOOKUP(Tabela3[[#This Row],[RESERVA]],Tabela96[[RESERVA]:[PROJETO]],2,FALSE),"")</f>
        <v>79</v>
      </c>
      <c r="C266" s="48">
        <f>IFERROR(VLOOKUP(Tabela3[[#This Row],[RESERVA]],Tabela96[[RESERVA]:[PROJETO]],3,FALSE),"")</f>
        <v>3731</v>
      </c>
      <c r="D266" s="512">
        <f>IFERROR(VLOOKUP(Tabela3[[#This Row],[RESERVA]],Tabela96[[RESERVA]:[PROJETO]],4,FALSE),"")</f>
        <v>2225</v>
      </c>
      <c r="E266" s="512">
        <f>IFERROR(VLOOKUP(Tabela3[[#This Row],[RESERVA]],Tabela96[[RESERVA]:[PROJETO]],5,FALSE),"")</f>
        <v>681</v>
      </c>
      <c r="F266" s="36">
        <v>13232</v>
      </c>
      <c r="G266" s="36">
        <v>67547</v>
      </c>
      <c r="H266" s="104" t="s">
        <v>294</v>
      </c>
      <c r="I266" s="155">
        <v>24252</v>
      </c>
      <c r="J266" s="64">
        <v>43600</v>
      </c>
      <c r="K266" s="64"/>
      <c r="L266" s="509">
        <f>Tabela3[[#This Row],[VALOR
 EMPENHO]]-Tabela3[[#This Row],[ESTORNO]]</f>
        <v>43600</v>
      </c>
      <c r="M266" s="304">
        <f>SUMIFS('LIQUIDAÇÃO 2025'!K:K,'LIQUIDAÇÃO 2025'!B:B,Tabela3[[#This Row],[CÓDIGO
 EMPRESA ]],'LIQUIDAÇÃO 2025'!C:C,Tabela3[[#This Row],[EMPRESA]],'LIQUIDAÇÃO 2025'!F:F,Tabela3[[#This Row],[EMPENHO]])</f>
        <v>0</v>
      </c>
      <c r="N266" s="683">
        <f t="shared" si="9"/>
        <v>43600</v>
      </c>
    </row>
    <row r="267" spans="1:14">
      <c r="A267" s="152"/>
      <c r="B267" s="512">
        <f>IFERROR(VLOOKUP(Tabela3[[#This Row],[RESERVA]],Tabela96[[RESERVA]:[PROJETO]],2,FALSE),"")</f>
        <v>79</v>
      </c>
      <c r="C267" s="48">
        <f>IFERROR(VLOOKUP(Tabela3[[#This Row],[RESERVA]],Tabela96[[RESERVA]:[PROJETO]],3,FALSE),"")</f>
        <v>3010</v>
      </c>
      <c r="D267" s="512">
        <f>IFERROR(VLOOKUP(Tabela3[[#This Row],[RESERVA]],Tabela96[[RESERVA]:[PROJETO]],4,FALSE),"")</f>
        <v>2225</v>
      </c>
      <c r="E267" s="512">
        <f>IFERROR(VLOOKUP(Tabela3[[#This Row],[RESERVA]],Tabela96[[RESERVA]:[PROJETO]],5,FALSE),"")</f>
        <v>681</v>
      </c>
      <c r="F267" s="36">
        <v>13258</v>
      </c>
      <c r="G267" s="36">
        <v>112919</v>
      </c>
      <c r="H267" s="104" t="s">
        <v>801</v>
      </c>
      <c r="I267" s="155">
        <v>24248</v>
      </c>
      <c r="J267" s="64">
        <v>4560</v>
      </c>
      <c r="K267" s="64">
        <v>4560</v>
      </c>
      <c r="L267" s="509">
        <f>Tabela3[[#This Row],[VALOR
 EMPENHO]]-Tabela3[[#This Row],[ESTORNO]]</f>
        <v>0</v>
      </c>
      <c r="M267" s="304">
        <f>SUMIFS('LIQUIDAÇÃO 2025'!K:K,'LIQUIDAÇÃO 2025'!B:B,Tabela3[[#This Row],[CÓDIGO
 EMPRESA ]],'LIQUIDAÇÃO 2025'!C:C,Tabela3[[#This Row],[EMPRESA]],'LIQUIDAÇÃO 2025'!F:F,Tabela3[[#This Row],[EMPENHO]])</f>
        <v>0</v>
      </c>
      <c r="N267" s="683">
        <f t="shared" si="9"/>
        <v>0</v>
      </c>
    </row>
    <row r="268" spans="1:14">
      <c r="A268" s="152"/>
      <c r="B268" s="512">
        <f>IFERROR(VLOOKUP(Tabela3[[#This Row],[RESERVA]],Tabela96[[RESERVA]:[PROJETO]],2,FALSE),"")</f>
        <v>79</v>
      </c>
      <c r="C268" s="48">
        <f>IFERROR(VLOOKUP(Tabela3[[#This Row],[RESERVA]],Tabela96[[RESERVA]:[PROJETO]],3,FALSE),"")</f>
        <v>3731</v>
      </c>
      <c r="D268" s="512">
        <f>IFERROR(VLOOKUP(Tabela3[[#This Row],[RESERVA]],Tabela96[[RESERVA]:[PROJETO]],4,FALSE),"")</f>
        <v>2225</v>
      </c>
      <c r="E268" s="512">
        <f>IFERROR(VLOOKUP(Tabela3[[#This Row],[RESERVA]],Tabela96[[RESERVA]:[PROJETO]],5,FALSE),"")</f>
        <v>681</v>
      </c>
      <c r="F268" s="36">
        <v>13232</v>
      </c>
      <c r="G268" s="36">
        <v>67457</v>
      </c>
      <c r="H268" s="104" t="s">
        <v>802</v>
      </c>
      <c r="I268" s="155">
        <v>24244</v>
      </c>
      <c r="J268" s="64">
        <v>43600</v>
      </c>
      <c r="K268" s="64">
        <v>43600</v>
      </c>
      <c r="L268" s="509">
        <f>Tabela3[[#This Row],[VALOR
 EMPENHO]]-Tabela3[[#This Row],[ESTORNO]]</f>
        <v>0</v>
      </c>
      <c r="M268" s="304">
        <f>SUMIFS('LIQUIDAÇÃO 2025'!K:K,'LIQUIDAÇÃO 2025'!B:B,Tabela3[[#This Row],[CÓDIGO
 EMPRESA ]],'LIQUIDAÇÃO 2025'!C:C,Tabela3[[#This Row],[EMPRESA]],'LIQUIDAÇÃO 2025'!F:F,Tabela3[[#This Row],[EMPENHO]])</f>
        <v>0</v>
      </c>
      <c r="N268" s="683">
        <f t="shared" si="9"/>
        <v>0</v>
      </c>
    </row>
    <row r="269" spans="1:14">
      <c r="A269" s="152"/>
      <c r="B269" s="512">
        <f>IFERROR(VLOOKUP(Tabela3[[#This Row],[RESERVA]],Tabela96[[RESERVA]:[PROJETO]],2,FALSE),"")</f>
        <v>79</v>
      </c>
      <c r="C269" s="48">
        <f>IFERROR(VLOOKUP(Tabela3[[#This Row],[RESERVA]],Tabela96[[RESERVA]:[PROJETO]],3,FALSE),"")</f>
        <v>3732</v>
      </c>
      <c r="D269" s="512">
        <f>IFERROR(VLOOKUP(Tabela3[[#This Row],[RESERVA]],Tabela96[[RESERVA]:[PROJETO]],4,FALSE),"")</f>
        <v>2225</v>
      </c>
      <c r="E269" s="512">
        <f>IFERROR(VLOOKUP(Tabela3[[#This Row],[RESERVA]],Tabela96[[RESERVA]:[PROJETO]],5,FALSE),"")</f>
        <v>681</v>
      </c>
      <c r="F269" s="36">
        <v>13086</v>
      </c>
      <c r="G269" s="36">
        <v>67547</v>
      </c>
      <c r="H269" s="104" t="s">
        <v>294</v>
      </c>
      <c r="I269" s="155">
        <v>23437</v>
      </c>
      <c r="J269" s="64">
        <v>29200</v>
      </c>
      <c r="K269" s="64"/>
      <c r="L269" s="509">
        <f>Tabela3[[#This Row],[VALOR
 EMPENHO]]-Tabela3[[#This Row],[ESTORNO]]</f>
        <v>29200</v>
      </c>
      <c r="M269" s="304">
        <f>SUMIFS('LIQUIDAÇÃO 2025'!K:K,'LIQUIDAÇÃO 2025'!B:B,Tabela3[[#This Row],[CÓDIGO
 EMPRESA ]],'LIQUIDAÇÃO 2025'!C:C,Tabela3[[#This Row],[EMPRESA]],'LIQUIDAÇÃO 2025'!F:F,Tabela3[[#This Row],[EMPENHO]])</f>
        <v>0</v>
      </c>
      <c r="N269" s="683">
        <f t="shared" si="9"/>
        <v>29200</v>
      </c>
    </row>
    <row r="270" spans="1:14">
      <c r="A270" s="152"/>
      <c r="B270" s="512">
        <f>IFERROR(VLOOKUP(Tabela3[[#This Row],[RESERVA]],Tabela96[[RESERVA]:[PROJETO]],2,FALSE),"")</f>
        <v>79</v>
      </c>
      <c r="C270" s="48">
        <f>IFERROR(VLOOKUP(Tabela3[[#This Row],[RESERVA]],Tabela96[[RESERVA]:[PROJETO]],3,FALSE),"")</f>
        <v>3014</v>
      </c>
      <c r="D270" s="512">
        <f>IFERROR(VLOOKUP(Tabela3[[#This Row],[RESERVA]],Tabela96[[RESERVA]:[PROJETO]],4,FALSE),"")</f>
        <v>1063</v>
      </c>
      <c r="E270" s="512">
        <f>IFERROR(VLOOKUP(Tabela3[[#This Row],[RESERVA]],Tabela96[[RESERVA]:[PROJETO]],5,FALSE),"")</f>
        <v>681</v>
      </c>
      <c r="F270" s="36">
        <v>13058</v>
      </c>
      <c r="G270" s="36">
        <v>111528</v>
      </c>
      <c r="H270" s="104" t="s">
        <v>792</v>
      </c>
      <c r="I270" s="155">
        <v>23407</v>
      </c>
      <c r="J270" s="64">
        <v>512044.35</v>
      </c>
      <c r="K270" s="64"/>
      <c r="L270" s="509">
        <f>Tabela3[[#This Row],[VALOR
 EMPENHO]]-Tabela3[[#This Row],[ESTORNO]]</f>
        <v>512044.35</v>
      </c>
      <c r="M270" s="304">
        <f>SUMIFS('LIQUIDAÇÃO 2025'!K:K,'LIQUIDAÇÃO 2025'!B:B,Tabela3[[#This Row],[CÓDIGO
 EMPRESA ]],'LIQUIDAÇÃO 2025'!C:C,Tabela3[[#This Row],[EMPRESA]],'LIQUIDAÇÃO 2025'!F:F,Tabela3[[#This Row],[EMPENHO]])</f>
        <v>0</v>
      </c>
      <c r="N270" s="683">
        <f t="shared" si="9"/>
        <v>512044.35</v>
      </c>
    </row>
    <row r="271" spans="1:14">
      <c r="A271" s="152"/>
      <c r="B271" s="512">
        <f>IFERROR(VLOOKUP(Tabela3[[#This Row],[RESERVA]],Tabela96[[RESERVA]:[PROJETO]],2,FALSE),"")</f>
        <v>79</v>
      </c>
      <c r="C271" s="48">
        <f>IFERROR(VLOOKUP(Tabela3[[#This Row],[RESERVA]],Tabela96[[RESERVA]:[PROJETO]],3,FALSE),"")</f>
        <v>3014</v>
      </c>
      <c r="D271" s="512">
        <f>IFERROR(VLOOKUP(Tabela3[[#This Row],[RESERVA]],Tabela96[[RESERVA]:[PROJETO]],4,FALSE),"")</f>
        <v>1063</v>
      </c>
      <c r="E271" s="512">
        <f>IFERROR(VLOOKUP(Tabela3[[#This Row],[RESERVA]],Tabela96[[RESERVA]:[PROJETO]],5,FALSE),"")</f>
        <v>681</v>
      </c>
      <c r="F271" s="36">
        <v>13057</v>
      </c>
      <c r="G271" s="36">
        <v>111528</v>
      </c>
      <c r="H271" s="104" t="s">
        <v>792</v>
      </c>
      <c r="I271" s="155">
        <v>23406</v>
      </c>
      <c r="J271" s="64">
        <v>393499.33</v>
      </c>
      <c r="K271" s="64"/>
      <c r="L271" s="509">
        <f>Tabela3[[#This Row],[VALOR
 EMPENHO]]-Tabela3[[#This Row],[ESTORNO]]</f>
        <v>393499.33</v>
      </c>
      <c r="M271" s="304">
        <f>SUMIFS('LIQUIDAÇÃO 2025'!K:K,'LIQUIDAÇÃO 2025'!B:B,Tabela3[[#This Row],[CÓDIGO
 EMPRESA ]],'LIQUIDAÇÃO 2025'!C:C,Tabela3[[#This Row],[EMPRESA]],'LIQUIDAÇÃO 2025'!F:F,Tabela3[[#This Row],[EMPENHO]])</f>
        <v>0</v>
      </c>
      <c r="N271" s="683">
        <f t="shared" si="9"/>
        <v>393499.33</v>
      </c>
    </row>
    <row r="272" spans="1:14">
      <c r="A272" s="152">
        <v>45930</v>
      </c>
      <c r="B272" s="512">
        <f>IFERROR(VLOOKUP(Tabela3[[#This Row],[RESERVA]],Tabela96[[RESERVA]:[PROJETO]],2,FALSE),"")</f>
        <v>79</v>
      </c>
      <c r="C272" s="48">
        <f>IFERROR(VLOOKUP(Tabela3[[#This Row],[RESERVA]],Tabela96[[RESERVA]:[PROJETO]],3,FALSE),"")</f>
        <v>3013</v>
      </c>
      <c r="D272" s="512">
        <f>IFERROR(VLOOKUP(Tabela3[[#This Row],[RESERVA]],Tabela96[[RESERVA]:[PROJETO]],4,FALSE),"")</f>
        <v>2225</v>
      </c>
      <c r="E272" s="512">
        <f>IFERROR(VLOOKUP(Tabela3[[#This Row],[RESERVA]],Tabela96[[RESERVA]:[PROJETO]],5,FALSE),"")</f>
        <v>681</v>
      </c>
      <c r="F272" s="36">
        <v>12346</v>
      </c>
      <c r="G272" s="36">
        <v>46901</v>
      </c>
      <c r="H272" s="104" t="s">
        <v>682</v>
      </c>
      <c r="I272" s="155">
        <v>22231</v>
      </c>
      <c r="J272" s="865">
        <v>61427.519999999997</v>
      </c>
      <c r="K272" s="64"/>
      <c r="L272" s="428">
        <f>Tabela3[[#This Row],[VALOR
 EMPENHO]]-Tabela3[[#This Row],[ESTORNO]]</f>
        <v>61427.519999999997</v>
      </c>
      <c r="M272" s="304">
        <f>SUMIFS('LIQUIDAÇÃO 2025'!K:K,'LIQUIDAÇÃO 2025'!B:B,Tabela3[[#This Row],[CÓDIGO
 EMPRESA ]],'LIQUIDAÇÃO 2025'!C:C,Tabela3[[#This Row],[EMPRESA]],'LIQUIDAÇÃO 2025'!F:F,Tabela3[[#This Row],[EMPENHO]])</f>
        <v>0</v>
      </c>
      <c r="N272" s="683">
        <f t="shared" si="8"/>
        <v>61427.519999999997</v>
      </c>
    </row>
    <row r="273" spans="1:14">
      <c r="A273" s="860">
        <v>45932</v>
      </c>
      <c r="B273" s="861">
        <f>IFERROR(VLOOKUP(Tabela3[[#This Row],[RESERVA]],Tabela96[[RESERVA]:[PROJETO]],2,FALSE),"")</f>
        <v>32</v>
      </c>
      <c r="C273" s="862">
        <f>IFERROR(VLOOKUP(Tabela3[[#This Row],[RESERVA]],Tabela96[[RESERVA]:[PROJETO]],3,FALSE),"")</f>
        <v>2226</v>
      </c>
      <c r="D273" s="861">
        <f>IFERROR(VLOOKUP(Tabela3[[#This Row],[RESERVA]],Tabela96[[RESERVA]:[PROJETO]],4,FALSE),"")</f>
        <v>2128</v>
      </c>
      <c r="E273" s="861">
        <f>IFERROR(VLOOKUP(Tabela3[[#This Row],[RESERVA]],Tabela96[[RESERVA]:[PROJETO]],5,FALSE),"")</f>
        <v>84</v>
      </c>
      <c r="F273" s="863">
        <v>7054</v>
      </c>
      <c r="G273" s="863">
        <v>53082312</v>
      </c>
      <c r="H273" s="503" t="s">
        <v>716</v>
      </c>
      <c r="I273" s="155">
        <v>22366</v>
      </c>
      <c r="J273" s="865">
        <v>11400</v>
      </c>
      <c r="K273" s="865"/>
      <c r="L273" s="428">
        <f>Tabela3[[#This Row],[VALOR
 EMPENHO]]-Tabela3[[#This Row],[ESTORNO]]</f>
        <v>11400</v>
      </c>
      <c r="M273" s="304">
        <f>SUMIFS('LIQUIDAÇÃO 2025'!K:K,'LIQUIDAÇÃO 2025'!B:B,Tabela3[[#This Row],[CÓDIGO
 EMPRESA ]],'LIQUIDAÇÃO 2025'!C:C,Tabela3[[#This Row],[EMPRESA]],'LIQUIDAÇÃO 2025'!F:F,Tabela3[[#This Row],[EMPENHO]])</f>
        <v>11400</v>
      </c>
      <c r="N273" s="866">
        <f t="shared" si="8"/>
        <v>0</v>
      </c>
    </row>
    <row r="274" spans="1:14">
      <c r="A274" s="860">
        <v>45936</v>
      </c>
      <c r="B274" s="861">
        <f>IFERROR(VLOOKUP(Tabela3[[#This Row],[RESERVA]],Tabela96[[RESERVA]:[PROJETO]],2,FALSE),"")</f>
        <v>32</v>
      </c>
      <c r="C274" s="862">
        <f>IFERROR(VLOOKUP(Tabela3[[#This Row],[RESERVA]],Tabela96[[RESERVA]:[PROJETO]],3,FALSE),"")</f>
        <v>2226</v>
      </c>
      <c r="D274" s="861">
        <f>IFERROR(VLOOKUP(Tabela3[[#This Row],[RESERVA]],Tabela96[[RESERVA]:[PROJETO]],4,FALSE),"")</f>
        <v>2128</v>
      </c>
      <c r="E274" s="861">
        <f>IFERROR(VLOOKUP(Tabela3[[#This Row],[RESERVA]],Tabela96[[RESERVA]:[PROJETO]],5,FALSE),"")</f>
        <v>84</v>
      </c>
      <c r="F274" s="863">
        <v>12542</v>
      </c>
      <c r="G274" s="863">
        <v>75036</v>
      </c>
      <c r="H274" s="503" t="s">
        <v>610</v>
      </c>
      <c r="I274" s="155">
        <v>22514</v>
      </c>
      <c r="J274" s="865">
        <v>4650</v>
      </c>
      <c r="K274" s="865"/>
      <c r="L274" s="428">
        <f>Tabela3[[#This Row],[VALOR
 EMPENHO]]-Tabela3[[#This Row],[ESTORNO]]</f>
        <v>4650</v>
      </c>
      <c r="M274" s="304">
        <f>SUMIFS('LIQUIDAÇÃO 2025'!K:K,'LIQUIDAÇÃO 2025'!B:B,Tabela3[[#This Row],[CÓDIGO
 EMPRESA ]],'LIQUIDAÇÃO 2025'!C:C,Tabela3[[#This Row],[EMPRESA]],'LIQUIDAÇÃO 2025'!F:F,Tabela3[[#This Row],[EMPENHO]])</f>
        <v>4650</v>
      </c>
      <c r="N274" s="866">
        <f t="shared" si="8"/>
        <v>0</v>
      </c>
    </row>
    <row r="275" spans="1:14">
      <c r="A275" s="152">
        <v>45944</v>
      </c>
      <c r="B275" s="512">
        <f>IFERROR(VLOOKUP(Tabela3[[#This Row],[RESERVA]],Tabela96[[RESERVA]:[PROJETO]],2,FALSE),"")</f>
        <v>32</v>
      </c>
      <c r="C275" s="48">
        <f>IFERROR(VLOOKUP(Tabela3[[#This Row],[RESERVA]],Tabela96[[RESERVA]:[PROJETO]],3,FALSE),"")</f>
        <v>2226</v>
      </c>
      <c r="D275" s="512">
        <f>IFERROR(VLOOKUP(Tabela3[[#This Row],[RESERVA]],Tabela96[[RESERVA]:[PROJETO]],4,FALSE),"")</f>
        <v>2128</v>
      </c>
      <c r="E275" s="512">
        <f>IFERROR(VLOOKUP(Tabela3[[#This Row],[RESERVA]],Tabela96[[RESERVA]:[PROJETO]],5,FALSE),"")</f>
        <v>88</v>
      </c>
      <c r="F275" s="36">
        <v>8740</v>
      </c>
      <c r="G275" s="863">
        <v>125999</v>
      </c>
      <c r="H275" s="503" t="s">
        <v>714</v>
      </c>
      <c r="I275" s="155">
        <v>23212</v>
      </c>
      <c r="J275" s="865">
        <v>1799.55</v>
      </c>
      <c r="K275" s="64"/>
      <c r="L275" s="428">
        <f>Tabela3[[#This Row],[VALOR
 EMPENHO]]-Tabela3[[#This Row],[ESTORNO]]</f>
        <v>1799.55</v>
      </c>
      <c r="M275" s="304">
        <f>SUMIFS('LIQUIDAÇÃO 2025'!K:K,'LIQUIDAÇÃO 2025'!B:B,Tabela3[[#This Row],[CÓDIGO
 EMPRESA ]],'LIQUIDAÇÃO 2025'!C:C,Tabela3[[#This Row],[EMPRESA]],'LIQUIDAÇÃO 2025'!F:F,Tabela3[[#This Row],[EMPENHO]])</f>
        <v>1799.55</v>
      </c>
      <c r="N275" s="683">
        <f t="shared" si="8"/>
        <v>0</v>
      </c>
    </row>
    <row r="276" spans="1:14">
      <c r="A276" s="901">
        <v>45950</v>
      </c>
      <c r="B276" s="902">
        <f>IFERROR(VLOOKUP(Tabela3[[#This Row],[RESERVA]],Tabela96[[RESERVA]:[PROJETO]],2,FALSE),"")</f>
        <v>30</v>
      </c>
      <c r="C276" s="903">
        <f>IFERROR(VLOOKUP(Tabela3[[#This Row],[RESERVA]],Tabela96[[RESERVA]:[PROJETO]],3,FALSE),"")</f>
        <v>2253</v>
      </c>
      <c r="D276" s="902">
        <f>IFERROR(VLOOKUP(Tabela3[[#This Row],[RESERVA]],Tabela96[[RESERVA]:[PROJETO]],4,FALSE),"")</f>
        <v>2124</v>
      </c>
      <c r="E276" s="902">
        <f>IFERROR(VLOOKUP(Tabela3[[#This Row],[RESERVA]],Tabela96[[RESERVA]:[PROJETO]],5,FALSE),"")</f>
        <v>25</v>
      </c>
      <c r="F276" s="904">
        <v>3008</v>
      </c>
      <c r="G276" s="904">
        <v>119162</v>
      </c>
      <c r="H276" s="503" t="s">
        <v>373</v>
      </c>
      <c r="I276" s="155">
        <v>23504</v>
      </c>
      <c r="J276" s="906">
        <v>23603.3</v>
      </c>
      <c r="K276" s="906"/>
      <c r="L276" s="428">
        <f>Tabela3[[#This Row],[VALOR
 EMPENHO]]-Tabela3[[#This Row],[ESTORNO]]</f>
        <v>23603.3</v>
      </c>
      <c r="M276" s="304">
        <f>SUMIFS('LIQUIDAÇÃO 2025'!K:K,'LIQUIDAÇÃO 2025'!B:B,Tabela3[[#This Row],[CÓDIGO
 EMPRESA ]],'LIQUIDAÇÃO 2025'!C:C,Tabela3[[#This Row],[EMPRESA]],'LIQUIDAÇÃO 2025'!F:F,Tabela3[[#This Row],[EMPENHO]])</f>
        <v>0</v>
      </c>
      <c r="N276" s="907">
        <f t="shared" si="8"/>
        <v>23603.3</v>
      </c>
    </row>
    <row r="277" spans="1:14">
      <c r="A277" s="901">
        <v>45950</v>
      </c>
      <c r="B277" s="902">
        <f>IFERROR(VLOOKUP(Tabela3[[#This Row],[RESERVA]],Tabela96[[RESERVA]:[PROJETO]],2,FALSE),"")</f>
        <v>30</v>
      </c>
      <c r="C277" s="903">
        <f>IFERROR(VLOOKUP(Tabela3[[#This Row],[RESERVA]],Tabela96[[RESERVA]:[PROJETO]],3,FALSE),"")</f>
        <v>2253</v>
      </c>
      <c r="D277" s="902">
        <f>IFERROR(VLOOKUP(Tabela3[[#This Row],[RESERVA]],Tabela96[[RESERVA]:[PROJETO]],4,FALSE),"")</f>
        <v>2124</v>
      </c>
      <c r="E277" s="902">
        <f>IFERROR(VLOOKUP(Tabela3[[#This Row],[RESERVA]],Tabela96[[RESERVA]:[PROJETO]],5,FALSE),"")</f>
        <v>25</v>
      </c>
      <c r="F277" s="904">
        <v>2995</v>
      </c>
      <c r="G277" s="904">
        <v>118247</v>
      </c>
      <c r="H277" s="217" t="s">
        <v>375</v>
      </c>
      <c r="I277" s="155">
        <v>23502</v>
      </c>
      <c r="J277" s="906">
        <v>39184.800000000003</v>
      </c>
      <c r="K277" s="906"/>
      <c r="L277" s="428">
        <f>Tabela3[[#This Row],[VALOR
 EMPENHO]]-Tabela3[[#This Row],[ESTORNO]]</f>
        <v>39184.800000000003</v>
      </c>
      <c r="M277" s="304">
        <f>SUMIFS('LIQUIDAÇÃO 2025'!K:K,'LIQUIDAÇÃO 2025'!B:B,Tabela3[[#This Row],[CÓDIGO
 EMPRESA ]],'LIQUIDAÇÃO 2025'!C:C,Tabela3[[#This Row],[EMPRESA]],'LIQUIDAÇÃO 2025'!F:F,Tabela3[[#This Row],[EMPENHO]])</f>
        <v>21526.68</v>
      </c>
      <c r="N277" s="907">
        <f t="shared" si="8"/>
        <v>17658.12</v>
      </c>
    </row>
    <row r="278" spans="1:14">
      <c r="A278" s="901">
        <v>45950</v>
      </c>
      <c r="B278" s="902">
        <f>IFERROR(VLOOKUP(Tabela3[[#This Row],[RESERVA]],Tabela96[[RESERVA]:[PROJETO]],2,FALSE),"")</f>
        <v>30</v>
      </c>
      <c r="C278" s="903">
        <f>IFERROR(VLOOKUP(Tabela3[[#This Row],[RESERVA]],Tabela96[[RESERVA]:[PROJETO]],3,FALSE),"")</f>
        <v>2253</v>
      </c>
      <c r="D278" s="902">
        <f>IFERROR(VLOOKUP(Tabela3[[#This Row],[RESERVA]],Tabela96[[RESERVA]:[PROJETO]],4,FALSE),"")</f>
        <v>2124</v>
      </c>
      <c r="E278" s="902">
        <f>IFERROR(VLOOKUP(Tabela3[[#This Row],[RESERVA]],Tabela96[[RESERVA]:[PROJETO]],5,FALSE),"")</f>
        <v>25</v>
      </c>
      <c r="F278" s="904">
        <v>3000</v>
      </c>
      <c r="G278" s="904">
        <v>119152</v>
      </c>
      <c r="H278" s="503" t="s">
        <v>376</v>
      </c>
      <c r="I278" s="155">
        <v>23505</v>
      </c>
      <c r="J278" s="906">
        <v>23603.3</v>
      </c>
      <c r="K278" s="906"/>
      <c r="L278" s="428">
        <f>Tabela3[[#This Row],[VALOR
 EMPENHO]]-Tabela3[[#This Row],[ESTORNO]]</f>
        <v>23603.3</v>
      </c>
      <c r="M278" s="304">
        <f>SUMIFS('LIQUIDAÇÃO 2025'!K:K,'LIQUIDAÇÃO 2025'!B:B,Tabela3[[#This Row],[CÓDIGO
 EMPRESA ]],'LIQUIDAÇÃO 2025'!C:C,Tabela3[[#This Row],[EMPRESA]],'LIQUIDAÇÃO 2025'!F:F,Tabela3[[#This Row],[EMPENHO]])</f>
        <v>458.47</v>
      </c>
      <c r="N278" s="907">
        <f t="shared" si="8"/>
        <v>23144.83</v>
      </c>
    </row>
    <row r="279" spans="1:14">
      <c r="A279" s="901">
        <v>45950</v>
      </c>
      <c r="B279" s="902">
        <f>IFERROR(VLOOKUP(Tabela3[[#This Row],[RESERVA]],Tabela96[[RESERVA]:[PROJETO]],2,FALSE),"")</f>
        <v>30</v>
      </c>
      <c r="C279" s="903">
        <f>IFERROR(VLOOKUP(Tabela3[[#This Row],[RESERVA]],Tabela96[[RESERVA]:[PROJETO]],3,FALSE),"")</f>
        <v>2253</v>
      </c>
      <c r="D279" s="902">
        <f>IFERROR(VLOOKUP(Tabela3[[#This Row],[RESERVA]],Tabela96[[RESERVA]:[PROJETO]],4,FALSE),"")</f>
        <v>2124</v>
      </c>
      <c r="E279" s="902">
        <f>IFERROR(VLOOKUP(Tabela3[[#This Row],[RESERVA]],Tabela96[[RESERVA]:[PROJETO]],5,FALSE),"")</f>
        <v>25</v>
      </c>
      <c r="F279" s="904">
        <v>2998</v>
      </c>
      <c r="G279" s="904">
        <v>112466</v>
      </c>
      <c r="H279" s="905" t="s">
        <v>377</v>
      </c>
      <c r="I279" s="155">
        <v>23503</v>
      </c>
      <c r="J279" s="906">
        <v>23603.3</v>
      </c>
      <c r="K279" s="906"/>
      <c r="L279" s="428">
        <f>Tabela3[[#This Row],[VALOR
 EMPENHO]]-Tabela3[[#This Row],[ESTORNO]]</f>
        <v>23603.3</v>
      </c>
      <c r="M279" s="304">
        <f>SUMIFS('LIQUIDAÇÃO 2025'!K:K,'LIQUIDAÇÃO 2025'!B:B,Tabela3[[#This Row],[CÓDIGO
 EMPRESA ]],'LIQUIDAÇÃO 2025'!C:C,Tabela3[[#This Row],[EMPRESA]],'LIQUIDAÇÃO 2025'!F:F,Tabela3[[#This Row],[EMPENHO]])</f>
        <v>0</v>
      </c>
      <c r="N279" s="907">
        <f t="shared" si="8"/>
        <v>23603.3</v>
      </c>
    </row>
    <row r="280" spans="1:14">
      <c r="A280" s="901">
        <v>45950</v>
      </c>
      <c r="B280" s="902">
        <f>IFERROR(VLOOKUP(Tabela3[[#This Row],[RESERVA]],Tabela96[[RESERVA]:[PROJETO]],2,FALSE),"")</f>
        <v>30</v>
      </c>
      <c r="C280" s="903">
        <f>IFERROR(VLOOKUP(Tabela3[[#This Row],[RESERVA]],Tabela96[[RESERVA]:[PROJETO]],3,FALSE),"")</f>
        <v>2253</v>
      </c>
      <c r="D280" s="902">
        <f>IFERROR(VLOOKUP(Tabela3[[#This Row],[RESERVA]],Tabela96[[RESERVA]:[PROJETO]],4,FALSE),"")</f>
        <v>2124</v>
      </c>
      <c r="E280" s="902">
        <f>IFERROR(VLOOKUP(Tabela3[[#This Row],[RESERVA]],Tabela96[[RESERVA]:[PROJETO]],5,FALSE),"")</f>
        <v>25</v>
      </c>
      <c r="F280" s="904">
        <v>2996</v>
      </c>
      <c r="G280" s="904">
        <v>119149</v>
      </c>
      <c r="H280" s="905" t="s">
        <v>314</v>
      </c>
      <c r="I280" s="155">
        <v>23501</v>
      </c>
      <c r="J280" s="906">
        <v>47206.6</v>
      </c>
      <c r="K280" s="906"/>
      <c r="L280" s="428">
        <f>Tabela3[[#This Row],[VALOR
 EMPENHO]]-Tabela3[[#This Row],[ESTORNO]]</f>
        <v>47206.6</v>
      </c>
      <c r="M280" s="304">
        <f>SUMIFS('LIQUIDAÇÃO 2025'!K:K,'LIQUIDAÇÃO 2025'!B:B,Tabela3[[#This Row],[CÓDIGO
 EMPRESA ]],'LIQUIDAÇÃO 2025'!C:C,Tabela3[[#This Row],[EMPRESA]],'LIQUIDAÇÃO 2025'!F:F,Tabela3[[#This Row],[EMPENHO]])</f>
        <v>1080.95</v>
      </c>
      <c r="N280" s="907">
        <f t="shared" si="8"/>
        <v>46125.65</v>
      </c>
    </row>
    <row r="281" spans="1:14">
      <c r="A281" s="901">
        <v>45950</v>
      </c>
      <c r="B281" s="902">
        <f>IFERROR(VLOOKUP(Tabela3[[#This Row],[RESERVA]],Tabela96[[RESERVA]:[PROJETO]],2,FALSE),"")</f>
        <v>30</v>
      </c>
      <c r="C281" s="903">
        <f>IFERROR(VLOOKUP(Tabela3[[#This Row],[RESERVA]],Tabela96[[RESERVA]:[PROJETO]],3,FALSE),"")</f>
        <v>2253</v>
      </c>
      <c r="D281" s="902">
        <f>IFERROR(VLOOKUP(Tabela3[[#This Row],[RESERVA]],Tabela96[[RESERVA]:[PROJETO]],4,FALSE),"")</f>
        <v>2124</v>
      </c>
      <c r="E281" s="902">
        <f>IFERROR(VLOOKUP(Tabela3[[#This Row],[RESERVA]],Tabela96[[RESERVA]:[PROJETO]],5,FALSE),"")</f>
        <v>25</v>
      </c>
      <c r="F281" s="904">
        <v>5786</v>
      </c>
      <c r="G281" s="904">
        <v>117936</v>
      </c>
      <c r="H281" s="905" t="s">
        <v>154</v>
      </c>
      <c r="I281" s="155">
        <v>23500</v>
      </c>
      <c r="J281" s="906">
        <v>18500</v>
      </c>
      <c r="K281" s="906"/>
      <c r="L281" s="428">
        <f>Tabela3[[#This Row],[VALOR
 EMPENHO]]-Tabela3[[#This Row],[ESTORNO]]</f>
        <v>18500</v>
      </c>
      <c r="M281" s="304">
        <f>SUMIFS('LIQUIDAÇÃO 2025'!K:K,'LIQUIDAÇÃO 2025'!B:B,Tabela3[[#This Row],[CÓDIGO
 EMPRESA ]],'LIQUIDAÇÃO 2025'!C:C,Tabela3[[#This Row],[EMPRESA]],'LIQUIDAÇÃO 2025'!F:F,Tabela3[[#This Row],[EMPENHO]])</f>
        <v>18500</v>
      </c>
      <c r="N281" s="69">
        <f t="shared" si="8"/>
        <v>0</v>
      </c>
    </row>
    <row r="282" spans="1:14">
      <c r="A282" s="901">
        <v>45950</v>
      </c>
      <c r="B282" s="902">
        <f>IFERROR(VLOOKUP(Tabela3[[#This Row],[RESERVA]],Tabela96[[RESERVA]:[PROJETO]],2,FALSE),"")</f>
        <v>32</v>
      </c>
      <c r="C282" s="903">
        <f>IFERROR(VLOOKUP(Tabela3[[#This Row],[RESERVA]],Tabela96[[RESERVA]:[PROJETO]],3,FALSE),"")</f>
        <v>2229</v>
      </c>
      <c r="D282" s="902">
        <f>IFERROR(VLOOKUP(Tabela3[[#This Row],[RESERVA]],Tabela96[[RESERVA]:[PROJETO]],4,FALSE),"")</f>
        <v>2128</v>
      </c>
      <c r="E282" s="902">
        <f>IFERROR(VLOOKUP(Tabela3[[#This Row],[RESERVA]],Tabela96[[RESERVA]:[PROJETO]],5,FALSE),"")</f>
        <v>245</v>
      </c>
      <c r="F282" s="904">
        <v>8742</v>
      </c>
      <c r="G282" s="904">
        <v>54615</v>
      </c>
      <c r="H282" s="905" t="s">
        <v>158</v>
      </c>
      <c r="I282" s="155">
        <v>23488</v>
      </c>
      <c r="J282" s="906">
        <v>5976</v>
      </c>
      <c r="K282" s="906"/>
      <c r="L282" s="428">
        <f>Tabela3[[#This Row],[VALOR
 EMPENHO]]-Tabela3[[#This Row],[ESTORNO]]</f>
        <v>5976</v>
      </c>
      <c r="M282" s="304">
        <f>SUMIFS('LIQUIDAÇÃO 2025'!K:K,'LIQUIDAÇÃO 2025'!B:B,Tabela3[[#This Row],[CÓDIGO
 EMPRESA ]],'LIQUIDAÇÃO 2025'!C:C,Tabela3[[#This Row],[EMPRESA]],'LIQUIDAÇÃO 2025'!F:F,Tabela3[[#This Row],[EMPENHO]])</f>
        <v>5976</v>
      </c>
      <c r="N282" s="69">
        <f t="shared" si="8"/>
        <v>0</v>
      </c>
    </row>
    <row r="283" spans="1:14">
      <c r="A283" s="901">
        <v>45950</v>
      </c>
      <c r="B283" s="902">
        <f>IFERROR(VLOOKUP(Tabela3[[#This Row],[RESERVA]],Tabela96[[RESERVA]:[PROJETO]],2,FALSE),"")</f>
        <v>30</v>
      </c>
      <c r="C283" s="903">
        <f>IFERROR(VLOOKUP(Tabela3[[#This Row],[RESERVA]],Tabela96[[RESERVA]:[PROJETO]],3,FALSE),"")</f>
        <v>2253</v>
      </c>
      <c r="D283" s="902">
        <f>IFERROR(VLOOKUP(Tabela3[[#This Row],[RESERVA]],Tabela96[[RESERVA]:[PROJETO]],4,FALSE),"")</f>
        <v>2124</v>
      </c>
      <c r="E283" s="902">
        <f>IFERROR(VLOOKUP(Tabela3[[#This Row],[RESERVA]],Tabela96[[RESERVA]:[PROJETO]],5,FALSE),"")</f>
        <v>25</v>
      </c>
      <c r="F283" s="904">
        <v>6049</v>
      </c>
      <c r="G283" s="904">
        <v>68004</v>
      </c>
      <c r="H283" s="503" t="s">
        <v>382</v>
      </c>
      <c r="I283" s="155">
        <v>23489</v>
      </c>
      <c r="J283" s="906">
        <v>5430.18</v>
      </c>
      <c r="K283" s="906"/>
      <c r="L283" s="428">
        <f>Tabela3[[#This Row],[VALOR
 EMPENHO]]-Tabela3[[#This Row],[ESTORNO]]</f>
        <v>5430.18</v>
      </c>
      <c r="M283" s="304">
        <f>SUMIFS('LIQUIDAÇÃO 2025'!K:K,'LIQUIDAÇÃO 2025'!B:B,Tabela3[[#This Row],[CÓDIGO
 EMPRESA ]],'LIQUIDAÇÃO 2025'!C:C,Tabela3[[#This Row],[EMPRESA]],'LIQUIDAÇÃO 2025'!F:F,Tabela3[[#This Row],[EMPENHO]])</f>
        <v>5430.18</v>
      </c>
      <c r="N283" s="69">
        <f t="shared" si="8"/>
        <v>0</v>
      </c>
    </row>
    <row r="284" spans="1:14">
      <c r="A284" s="901">
        <v>45951</v>
      </c>
      <c r="B284" s="902">
        <f>IFERROR(VLOOKUP(Tabela3[[#This Row],[RESERVA]],Tabela96[[RESERVA]:[PROJETO]],2,FALSE),"")</f>
        <v>32</v>
      </c>
      <c r="C284" s="903">
        <f>IFERROR(VLOOKUP(Tabela3[[#This Row],[RESERVA]],Tabela96[[RESERVA]:[PROJETO]],3,FALSE),"")</f>
        <v>2229</v>
      </c>
      <c r="D284" s="902">
        <f>IFERROR(VLOOKUP(Tabela3[[#This Row],[RESERVA]],Tabela96[[RESERVA]:[PROJETO]],4,FALSE),"")</f>
        <v>2128</v>
      </c>
      <c r="E284" s="902">
        <f>IFERROR(VLOOKUP(Tabela3[[#This Row],[RESERVA]],Tabela96[[RESERVA]:[PROJETO]],5,FALSE),"")</f>
        <v>237</v>
      </c>
      <c r="F284" s="904">
        <v>4191</v>
      </c>
      <c r="G284" s="904">
        <v>42326</v>
      </c>
      <c r="H284" s="503" t="s">
        <v>407</v>
      </c>
      <c r="I284" s="155">
        <v>23574</v>
      </c>
      <c r="J284" s="906">
        <v>800000</v>
      </c>
      <c r="K284" s="906"/>
      <c r="L284" s="428">
        <f>Tabela3[[#This Row],[VALOR
 EMPENHO]]-Tabela3[[#This Row],[ESTORNO]]</f>
        <v>800000</v>
      </c>
      <c r="M284" s="304">
        <f>SUMIFS('LIQUIDAÇÃO 2025'!K:K,'LIQUIDAÇÃO 2025'!B:B,Tabela3[[#This Row],[CÓDIGO
 EMPRESA ]],'LIQUIDAÇÃO 2025'!C:C,Tabela3[[#This Row],[EMPRESA]],'LIQUIDAÇÃO 2025'!F:F,Tabela3[[#This Row],[EMPENHO]])</f>
        <v>800000</v>
      </c>
      <c r="N284" s="69">
        <f t="shared" ref="N284:N316" si="10">L284-M284</f>
        <v>0</v>
      </c>
    </row>
    <row r="285" spans="1:14">
      <c r="A285" s="901">
        <v>45951</v>
      </c>
      <c r="B285" s="902">
        <f>IFERROR(VLOOKUP(Tabela3[[#This Row],[RESERVA]],Tabela96[[RESERVA]:[PROJETO]],2,FALSE),"")</f>
        <v>30</v>
      </c>
      <c r="C285" s="903">
        <f>IFERROR(VLOOKUP(Tabela3[[#This Row],[RESERVA]],Tabela96[[RESERVA]:[PROJETO]],3,FALSE),"")</f>
        <v>2253</v>
      </c>
      <c r="D285" s="902">
        <f>IFERROR(VLOOKUP(Tabela3[[#This Row],[RESERVA]],Tabela96[[RESERVA]:[PROJETO]],4,FALSE),"")</f>
        <v>2124</v>
      </c>
      <c r="E285" s="902">
        <f>IFERROR(VLOOKUP(Tabela3[[#This Row],[RESERVA]],Tabela96[[RESERVA]:[PROJETO]],5,FALSE),"")</f>
        <v>25</v>
      </c>
      <c r="F285" s="904">
        <v>2645</v>
      </c>
      <c r="G285" s="904">
        <v>23576</v>
      </c>
      <c r="H285" s="905" t="s">
        <v>371</v>
      </c>
      <c r="I285" s="155">
        <v>23576</v>
      </c>
      <c r="J285" s="906">
        <v>3600000</v>
      </c>
      <c r="K285" s="906"/>
      <c r="L285" s="428">
        <f>Tabela3[[#This Row],[VALOR
 EMPENHO]]-Tabela3[[#This Row],[ESTORNO]]</f>
        <v>3600000</v>
      </c>
      <c r="M285" s="304">
        <f>SUMIFS('LIQUIDAÇÃO 2025'!K:K,'LIQUIDAÇÃO 2025'!B:B,Tabela3[[#This Row],[CÓDIGO
 EMPRESA ]],'LIQUIDAÇÃO 2025'!C:C,Tabela3[[#This Row],[EMPRESA]],'LIQUIDAÇÃO 2025'!F:F,Tabela3[[#This Row],[EMPENHO]])</f>
        <v>0</v>
      </c>
      <c r="N285" s="907">
        <f t="shared" si="10"/>
        <v>3600000</v>
      </c>
    </row>
    <row r="286" spans="1:14">
      <c r="A286" s="901">
        <v>45951</v>
      </c>
      <c r="B286" s="902">
        <f>IFERROR(VLOOKUP(Tabela3[[#This Row],[RESERVA]],Tabela96[[RESERVA]:[PROJETO]],2,FALSE),"")</f>
        <v>30</v>
      </c>
      <c r="C286" s="903">
        <f>IFERROR(VLOOKUP(Tabela3[[#This Row],[RESERVA]],Tabela96[[RESERVA]:[PROJETO]],3,FALSE),"")</f>
        <v>2253</v>
      </c>
      <c r="D286" s="902">
        <f>IFERROR(VLOOKUP(Tabela3[[#This Row],[RESERVA]],Tabela96[[RESERVA]:[PROJETO]],4,FALSE),"")</f>
        <v>2124</v>
      </c>
      <c r="E286" s="902">
        <f>IFERROR(VLOOKUP(Tabela3[[#This Row],[RESERVA]],Tabela96[[RESERVA]:[PROJETO]],5,FALSE),"")</f>
        <v>25</v>
      </c>
      <c r="F286" s="904">
        <v>3002</v>
      </c>
      <c r="G286" s="904">
        <v>23577</v>
      </c>
      <c r="H286" s="503" t="s">
        <v>122</v>
      </c>
      <c r="I286" s="155">
        <v>23577</v>
      </c>
      <c r="J286" s="906">
        <v>700000</v>
      </c>
      <c r="K286" s="906"/>
      <c r="L286" s="428">
        <f>Tabela3[[#This Row],[VALOR
 EMPENHO]]-Tabela3[[#This Row],[ESTORNO]]</f>
        <v>700000</v>
      </c>
      <c r="M286" s="304">
        <f>SUMIFS('LIQUIDAÇÃO 2025'!K:K,'LIQUIDAÇÃO 2025'!B:B,Tabela3[[#This Row],[CÓDIGO
 EMPRESA ]],'LIQUIDAÇÃO 2025'!C:C,Tabela3[[#This Row],[EMPRESA]],'LIQUIDAÇÃO 2025'!F:F,Tabela3[[#This Row],[EMPENHO]])</f>
        <v>0</v>
      </c>
      <c r="N286" s="907">
        <f t="shared" si="10"/>
        <v>700000</v>
      </c>
    </row>
    <row r="287" spans="1:14">
      <c r="A287" s="901">
        <v>45951</v>
      </c>
      <c r="B287" s="902">
        <f>IFERROR(VLOOKUP(Tabela3[[#This Row],[RESERVA]],Tabela96[[RESERVA]:[PROJETO]],2,FALSE),"")</f>
        <v>32</v>
      </c>
      <c r="C287" s="903">
        <f>IFERROR(VLOOKUP(Tabela3[[#This Row],[RESERVA]],Tabela96[[RESERVA]:[PROJETO]],3,FALSE),"")</f>
        <v>2226</v>
      </c>
      <c r="D287" s="902">
        <f>IFERROR(VLOOKUP(Tabela3[[#This Row],[RESERVA]],Tabela96[[RESERVA]:[PROJETO]],4,FALSE),"")</f>
        <v>2128</v>
      </c>
      <c r="E287" s="902">
        <f>IFERROR(VLOOKUP(Tabela3[[#This Row],[RESERVA]],Tabela96[[RESERVA]:[PROJETO]],5,FALSE),"")</f>
        <v>84</v>
      </c>
      <c r="F287" s="904">
        <v>7389</v>
      </c>
      <c r="G287" s="904">
        <v>120765</v>
      </c>
      <c r="H287" s="503" t="s">
        <v>725</v>
      </c>
      <c r="I287" s="155">
        <v>24376</v>
      </c>
      <c r="J287" s="906">
        <v>9412.1</v>
      </c>
      <c r="K287" s="906"/>
      <c r="L287" s="428">
        <f>Tabela3[[#This Row],[VALOR
 EMPENHO]]-Tabela3[[#This Row],[ESTORNO]]</f>
        <v>9412.1</v>
      </c>
      <c r="M287" s="304">
        <f>SUMIFS('LIQUIDAÇÃO 2025'!K:K,'LIQUIDAÇÃO 2025'!B:B,Tabela3[[#This Row],[CÓDIGO
 EMPRESA ]],'LIQUIDAÇÃO 2025'!C:C,Tabela3[[#This Row],[EMPRESA]],'LIQUIDAÇÃO 2025'!F:F,Tabela3[[#This Row],[EMPENHO]])</f>
        <v>0</v>
      </c>
      <c r="N287" s="907">
        <f t="shared" si="10"/>
        <v>9412.1</v>
      </c>
    </row>
    <row r="288" spans="1:14">
      <c r="A288" s="152">
        <v>45953</v>
      </c>
      <c r="B288" s="512">
        <f>IFERROR(VLOOKUP(Tabela3[[#This Row],[RESERVA]],Tabela96[[RESERVA]:[PROJETO]],2,FALSE),"")</f>
        <v>32</v>
      </c>
      <c r="C288" s="48">
        <f>IFERROR(VLOOKUP(Tabela3[[#This Row],[RESERVA]],Tabela96[[RESERVA]:[PROJETO]],3,FALSE),"")</f>
        <v>2226</v>
      </c>
      <c r="D288" s="512">
        <f>IFERROR(VLOOKUP(Tabela3[[#This Row],[RESERVA]],Tabela96[[RESERVA]:[PROJETO]],4,FALSE),"")</f>
        <v>2128</v>
      </c>
      <c r="E288" s="512">
        <f>IFERROR(VLOOKUP(Tabela3[[#This Row],[RESERVA]],Tabela96[[RESERVA]:[PROJETO]],5,FALSE),"")</f>
        <v>84</v>
      </c>
      <c r="F288" s="36">
        <v>13195</v>
      </c>
      <c r="G288" s="36">
        <v>32404</v>
      </c>
      <c r="H288" s="503" t="s">
        <v>696</v>
      </c>
      <c r="I288" s="155">
        <v>24079</v>
      </c>
      <c r="J288" s="64">
        <v>42500</v>
      </c>
      <c r="K288" s="64"/>
      <c r="L288" s="428">
        <f>Tabela3[[#This Row],[VALOR
 EMPENHO]]-Tabela3[[#This Row],[ESTORNO]]</f>
        <v>42500</v>
      </c>
      <c r="M288" s="304">
        <f>SUMIFS('LIQUIDAÇÃO 2025'!K:K,'LIQUIDAÇÃO 2025'!B:B,Tabela3[[#This Row],[CÓDIGO
 EMPRESA ]],'LIQUIDAÇÃO 2025'!C:C,Tabela3[[#This Row],[EMPRESA]],'LIQUIDAÇÃO 2025'!F:F,Tabela3[[#This Row],[EMPENHO]])</f>
        <v>25500</v>
      </c>
      <c r="N288" s="683">
        <f t="shared" si="10"/>
        <v>17000</v>
      </c>
    </row>
    <row r="289" spans="1:14">
      <c r="A289" s="901">
        <v>45953</v>
      </c>
      <c r="B289" s="902">
        <f>IFERROR(VLOOKUP(Tabela3[[#This Row],[RESERVA]],Tabela96[[RESERVA]:[PROJETO]],2,FALSE),"")</f>
        <v>32</v>
      </c>
      <c r="C289" s="903">
        <f>IFERROR(VLOOKUP(Tabela3[[#This Row],[RESERVA]],Tabela96[[RESERVA]:[PROJETO]],3,FALSE),"")</f>
        <v>2226</v>
      </c>
      <c r="D289" s="902">
        <f>IFERROR(VLOOKUP(Tabela3[[#This Row],[RESERVA]],Tabela96[[RESERVA]:[PROJETO]],4,FALSE),"")</f>
        <v>2128</v>
      </c>
      <c r="E289" s="902">
        <f>IFERROR(VLOOKUP(Tabela3[[#This Row],[RESERVA]],Tabela96[[RESERVA]:[PROJETO]],5,FALSE),"")</f>
        <v>84</v>
      </c>
      <c r="F289" s="904">
        <v>13197</v>
      </c>
      <c r="G289" s="904">
        <v>51481</v>
      </c>
      <c r="H289" s="503" t="s">
        <v>611</v>
      </c>
      <c r="I289" s="155">
        <v>24088</v>
      </c>
      <c r="J289" s="906">
        <v>44500</v>
      </c>
      <c r="K289" s="906"/>
      <c r="L289" s="428">
        <f>Tabela3[[#This Row],[VALOR
 EMPENHO]]-Tabela3[[#This Row],[ESTORNO]]</f>
        <v>44500</v>
      </c>
      <c r="M289" s="304">
        <f>SUMIFS('LIQUIDAÇÃO 2025'!K:K,'LIQUIDAÇÃO 2025'!B:B,Tabela3[[#This Row],[CÓDIGO
 EMPRESA ]],'LIQUIDAÇÃO 2025'!C:C,Tabela3[[#This Row],[EMPRESA]],'LIQUIDAÇÃO 2025'!F:F,Tabela3[[#This Row],[EMPENHO]])</f>
        <v>0</v>
      </c>
      <c r="N289" s="907">
        <f t="shared" si="10"/>
        <v>44500</v>
      </c>
    </row>
    <row r="290" spans="1:14">
      <c r="A290" s="901">
        <v>45953</v>
      </c>
      <c r="B290" s="902">
        <f>IFERROR(VLOOKUP(Tabela3[[#This Row],[RESERVA]],Tabela96[[RESERVA]:[PROJETO]],2,FALSE),"")</f>
        <v>32</v>
      </c>
      <c r="C290" s="903">
        <f>IFERROR(VLOOKUP(Tabela3[[#This Row],[RESERVA]],Tabela96[[RESERVA]:[PROJETO]],3,FALSE),"")</f>
        <v>2226</v>
      </c>
      <c r="D290" s="902">
        <f>IFERROR(VLOOKUP(Tabela3[[#This Row],[RESERVA]],Tabela96[[RESERVA]:[PROJETO]],4,FALSE),"")</f>
        <v>2128</v>
      </c>
      <c r="E290" s="902">
        <f>IFERROR(VLOOKUP(Tabela3[[#This Row],[RESERVA]],Tabela96[[RESERVA]:[PROJETO]],5,FALSE),"")</f>
        <v>84</v>
      </c>
      <c r="F290" s="904">
        <v>13194</v>
      </c>
      <c r="G290" s="904">
        <v>51481</v>
      </c>
      <c r="H290" s="905" t="s">
        <v>611</v>
      </c>
      <c r="I290" s="155">
        <v>24095</v>
      </c>
      <c r="J290" s="906">
        <v>492100</v>
      </c>
      <c r="K290" s="906"/>
      <c r="L290" s="428">
        <f>Tabela3[[#This Row],[VALOR
 EMPENHO]]-Tabela3[[#This Row],[ESTORNO]]</f>
        <v>492100</v>
      </c>
      <c r="M290" s="304">
        <f>SUMIFS('LIQUIDAÇÃO 2025'!K:K,'LIQUIDAÇÃO 2025'!B:B,Tabela3[[#This Row],[CÓDIGO
 EMPRESA ]],'LIQUIDAÇÃO 2025'!C:C,Tabela3[[#This Row],[EMPRESA]],'LIQUIDAÇÃO 2025'!F:F,Tabela3[[#This Row],[EMPENHO]])</f>
        <v>0</v>
      </c>
      <c r="N290" s="907">
        <f t="shared" si="10"/>
        <v>492100</v>
      </c>
    </row>
    <row r="291" spans="1:14">
      <c r="A291" s="901">
        <v>45953</v>
      </c>
      <c r="B291" s="902">
        <f>IFERROR(VLOOKUP(Tabela3[[#This Row],[RESERVA]],Tabela96[[RESERVA]:[PROJETO]],2,FALSE),"")</f>
        <v>32</v>
      </c>
      <c r="C291" s="903">
        <f>IFERROR(VLOOKUP(Tabela3[[#This Row],[RESERVA]],Tabela96[[RESERVA]:[PROJETO]],3,FALSE),"")</f>
        <v>2226</v>
      </c>
      <c r="D291" s="902">
        <f>IFERROR(VLOOKUP(Tabela3[[#This Row],[RESERVA]],Tabela96[[RESERVA]:[PROJETO]],4,FALSE),"")</f>
        <v>2128</v>
      </c>
      <c r="E291" s="902">
        <f>IFERROR(VLOOKUP(Tabela3[[#This Row],[RESERVA]],Tabela96[[RESERVA]:[PROJETO]],5,FALSE),"")</f>
        <v>84</v>
      </c>
      <c r="F291" s="904">
        <v>13198</v>
      </c>
      <c r="G291" s="904">
        <v>51481</v>
      </c>
      <c r="H291" s="503" t="s">
        <v>611</v>
      </c>
      <c r="I291" s="155">
        <v>24097</v>
      </c>
      <c r="J291" s="906">
        <v>396500</v>
      </c>
      <c r="K291" s="906"/>
      <c r="L291" s="428">
        <f>Tabela3[[#This Row],[VALOR
 EMPENHO]]-Tabela3[[#This Row],[ESTORNO]]</f>
        <v>396500</v>
      </c>
      <c r="M291" s="304">
        <f>SUMIFS('LIQUIDAÇÃO 2025'!K:K,'LIQUIDAÇÃO 2025'!B:B,Tabela3[[#This Row],[CÓDIGO
 EMPRESA ]],'LIQUIDAÇÃO 2025'!C:C,Tabela3[[#This Row],[EMPRESA]],'LIQUIDAÇÃO 2025'!F:F,Tabela3[[#This Row],[EMPENHO]])</f>
        <v>0</v>
      </c>
      <c r="N291" s="907">
        <f t="shared" si="10"/>
        <v>396500</v>
      </c>
    </row>
    <row r="292" spans="1:14">
      <c r="A292" s="901">
        <v>45953</v>
      </c>
      <c r="B292" s="902">
        <f>IFERROR(VLOOKUP(Tabela3[[#This Row],[RESERVA]],Tabela96[[RESERVA]:[PROJETO]],2,FALSE),"")</f>
        <v>30</v>
      </c>
      <c r="C292" s="903">
        <f>IFERROR(VLOOKUP(Tabela3[[#This Row],[RESERVA]],Tabela96[[RESERVA]:[PROJETO]],3,FALSE),"")</f>
        <v>2253</v>
      </c>
      <c r="D292" s="902">
        <f>IFERROR(VLOOKUP(Tabela3[[#This Row],[RESERVA]],Tabela96[[RESERVA]:[PROJETO]],4,FALSE),"")</f>
        <v>2124</v>
      </c>
      <c r="E292" s="902">
        <f>IFERROR(VLOOKUP(Tabela3[[#This Row],[RESERVA]],Tabela96[[RESERVA]:[PROJETO]],5,FALSE),"")</f>
        <v>25</v>
      </c>
      <c r="F292" s="904">
        <v>8516</v>
      </c>
      <c r="G292" s="904">
        <v>73112</v>
      </c>
      <c r="H292" s="905" t="s">
        <v>685</v>
      </c>
      <c r="I292" s="155">
        <v>24102</v>
      </c>
      <c r="J292" s="906">
        <v>8500000</v>
      </c>
      <c r="K292" s="906"/>
      <c r="L292" s="428">
        <f>Tabela3[[#This Row],[VALOR
 EMPENHO]]-Tabela3[[#This Row],[ESTORNO]]</f>
        <v>8500000</v>
      </c>
      <c r="M292" s="304">
        <f>SUMIFS('LIQUIDAÇÃO 2025'!K:K,'LIQUIDAÇÃO 2025'!B:B,Tabela3[[#This Row],[CÓDIGO
 EMPRESA ]],'LIQUIDAÇÃO 2025'!C:C,Tabela3[[#This Row],[EMPRESA]],'LIQUIDAÇÃO 2025'!F:F,Tabela3[[#This Row],[EMPENHO]])</f>
        <v>8500000</v>
      </c>
      <c r="N292" s="69">
        <f t="shared" si="10"/>
        <v>0</v>
      </c>
    </row>
    <row r="293" spans="1:14">
      <c r="A293" s="152">
        <v>45953</v>
      </c>
      <c r="B293" s="512">
        <f>IFERROR(VLOOKUP(Tabela3[[#This Row],[RESERVA]],Tabela96[[RESERVA]:[PROJETO]],2,FALSE),"")</f>
        <v>32</v>
      </c>
      <c r="C293" s="48">
        <f>IFERROR(VLOOKUP(Tabela3[[#This Row],[RESERVA]],Tabela96[[RESERVA]:[PROJETO]],3,FALSE),"")</f>
        <v>2226</v>
      </c>
      <c r="D293" s="512">
        <f>IFERROR(VLOOKUP(Tabela3[[#This Row],[RESERVA]],Tabela96[[RESERVA]:[PROJETO]],4,FALSE),"")</f>
        <v>2128</v>
      </c>
      <c r="E293" s="512">
        <f>IFERROR(VLOOKUP(Tabela3[[#This Row],[RESERVA]],Tabela96[[RESERVA]:[PROJETO]],5,FALSE),"")</f>
        <v>84</v>
      </c>
      <c r="F293" s="36">
        <v>13196</v>
      </c>
      <c r="G293" s="36">
        <v>739</v>
      </c>
      <c r="H293" s="503" t="s">
        <v>516</v>
      </c>
      <c r="I293" s="155">
        <v>24081</v>
      </c>
      <c r="J293" s="64">
        <v>39550</v>
      </c>
      <c r="K293" s="64"/>
      <c r="L293" s="428">
        <f>Tabela3[[#This Row],[VALOR
 EMPENHO]]-Tabela3[[#This Row],[ESTORNO]]</f>
        <v>39550</v>
      </c>
      <c r="M293" s="304">
        <f>SUMIFS('LIQUIDAÇÃO 2025'!K:K,'LIQUIDAÇÃO 2025'!B:B,Tabela3[[#This Row],[CÓDIGO
 EMPRESA ]],'LIQUIDAÇÃO 2025'!C:C,Tabela3[[#This Row],[EMPRESA]],'LIQUIDAÇÃO 2025'!F:F,Tabela3[[#This Row],[EMPENHO]])</f>
        <v>23730</v>
      </c>
      <c r="N293" s="683">
        <f t="shared" si="10"/>
        <v>15820</v>
      </c>
    </row>
    <row r="294" spans="1:14">
      <c r="A294" s="152">
        <v>45954</v>
      </c>
      <c r="B294" s="902">
        <f>IFERROR(VLOOKUP(Tabela3[[#This Row],[RESERVA]],Tabela96[[RESERVA]:[PROJETO]],2,FALSE),"")</f>
        <v>32</v>
      </c>
      <c r="C294" s="48">
        <f>IFERROR(VLOOKUP(Tabela3[[#This Row],[RESERVA]],Tabela96[[RESERVA]:[PROJETO]],3,FALSE),"")</f>
        <v>2226</v>
      </c>
      <c r="D294" s="512">
        <f>IFERROR(VLOOKUP(Tabela3[[#This Row],[RESERVA]],Tabela96[[RESERVA]:[PROJETO]],4,FALSE),"")</f>
        <v>2128</v>
      </c>
      <c r="E294" s="512">
        <f>IFERROR(VLOOKUP(Tabela3[[#This Row],[RESERVA]],Tabela96[[RESERVA]:[PROJETO]],5,FALSE),"")</f>
        <v>86</v>
      </c>
      <c r="F294" s="36">
        <v>13231</v>
      </c>
      <c r="G294" s="904">
        <v>67294</v>
      </c>
      <c r="H294" s="503" t="s">
        <v>701</v>
      </c>
      <c r="I294" s="155">
        <v>24251</v>
      </c>
      <c r="J294" s="64">
        <v>7250</v>
      </c>
      <c r="K294" s="64"/>
      <c r="L294" s="428">
        <f>Tabela3[[#This Row],[VALOR
 EMPENHO]]-Tabela3[[#This Row],[ESTORNO]]</f>
        <v>7250</v>
      </c>
      <c r="M294" s="304">
        <f>SUMIFS('LIQUIDAÇÃO 2025'!K:K,'LIQUIDAÇÃO 2025'!B:B,Tabela3[[#This Row],[CÓDIGO
 EMPRESA ]],'LIQUIDAÇÃO 2025'!C:C,Tabela3[[#This Row],[EMPRESA]],'LIQUIDAÇÃO 2025'!F:F,Tabela3[[#This Row],[EMPENHO]])</f>
        <v>0</v>
      </c>
      <c r="N294" s="683">
        <f t="shared" si="10"/>
        <v>7250</v>
      </c>
    </row>
    <row r="295" spans="1:14">
      <c r="A295" s="951">
        <v>45959</v>
      </c>
      <c r="B295" s="952">
        <f>IFERROR(VLOOKUP(Tabela3[[#This Row],[RESERVA]],Tabela96[[RESERVA]:[PROJETO]],2,FALSE),"")</f>
        <v>32</v>
      </c>
      <c r="C295" s="953">
        <f>IFERROR(VLOOKUP(Tabela3[[#This Row],[RESERVA]],Tabela96[[RESERVA]:[PROJETO]],3,FALSE),"")</f>
        <v>2226</v>
      </c>
      <c r="D295" s="952">
        <f>IFERROR(VLOOKUP(Tabela3[[#This Row],[RESERVA]],Tabela96[[RESERVA]:[PROJETO]],4,FALSE),"")</f>
        <v>2128</v>
      </c>
      <c r="E295" s="952">
        <f>IFERROR(VLOOKUP(Tabela3[[#This Row],[RESERVA]],Tabela96[[RESERVA]:[PROJETO]],5,FALSE),"")</f>
        <v>138</v>
      </c>
      <c r="F295" s="954">
        <v>13229</v>
      </c>
      <c r="G295" s="954">
        <v>69181</v>
      </c>
      <c r="H295" s="217" t="s">
        <v>733</v>
      </c>
      <c r="I295" s="155">
        <v>24299</v>
      </c>
      <c r="J295" s="957">
        <v>102300</v>
      </c>
      <c r="K295" s="957"/>
      <c r="L295" s="428">
        <f>Tabela3[[#This Row],[VALOR
 EMPENHO]]-Tabela3[[#This Row],[ESTORNO]]</f>
        <v>102300</v>
      </c>
      <c r="M295" s="304">
        <f>SUMIFS('LIQUIDAÇÃO 2025'!K:K,'LIQUIDAÇÃO 2025'!B:B,Tabela3[[#This Row],[CÓDIGO
 EMPRESA ]],'LIQUIDAÇÃO 2025'!C:C,Tabela3[[#This Row],[EMPRESA]],'LIQUIDAÇÃO 2025'!F:F,Tabela3[[#This Row],[EMPENHO]])</f>
        <v>102300</v>
      </c>
      <c r="N295" s="958">
        <f t="shared" si="10"/>
        <v>0</v>
      </c>
    </row>
    <row r="296" spans="1:14">
      <c r="A296" s="152">
        <v>45959</v>
      </c>
      <c r="B296" s="512">
        <f>IFERROR(VLOOKUP(Tabela3[[#This Row],[RESERVA]],Tabela96[[RESERVA]:[PROJETO]],2,FALSE),"")</f>
        <v>32</v>
      </c>
      <c r="C296" s="48">
        <f>IFERROR(VLOOKUP(Tabela3[[#This Row],[RESERVA]],Tabela96[[RESERVA]:[PROJETO]],3,FALSE),"")</f>
        <v>2226</v>
      </c>
      <c r="D296" s="512">
        <f>IFERROR(VLOOKUP(Tabela3[[#This Row],[RESERVA]],Tabela96[[RESERVA]:[PROJETO]],4,FALSE),"")</f>
        <v>2128</v>
      </c>
      <c r="E296" s="512">
        <f>IFERROR(VLOOKUP(Tabela3[[#This Row],[RESERVA]],Tabela96[[RESERVA]:[PROJETO]],5,FALSE),"")</f>
        <v>88</v>
      </c>
      <c r="F296" s="36">
        <v>13230</v>
      </c>
      <c r="G296" s="36">
        <v>123524</v>
      </c>
      <c r="H296" s="217" t="s">
        <v>736</v>
      </c>
      <c r="I296" s="155">
        <v>242258</v>
      </c>
      <c r="J296" s="64">
        <v>5184</v>
      </c>
      <c r="K296" s="64"/>
      <c r="L296" s="428">
        <f>Tabela3[[#This Row],[VALOR
 EMPENHO]]-Tabela3[[#This Row],[ESTORNO]]</f>
        <v>5184</v>
      </c>
      <c r="M296" s="304">
        <f>SUMIFS('LIQUIDAÇÃO 2025'!K:K,'LIQUIDAÇÃO 2025'!B:B,Tabela3[[#This Row],[CÓDIGO
 EMPRESA ]],'LIQUIDAÇÃO 2025'!C:C,Tabela3[[#This Row],[EMPRESA]],'LIQUIDAÇÃO 2025'!F:F,Tabela3[[#This Row],[EMPENHO]])</f>
        <v>0</v>
      </c>
      <c r="N296" s="683">
        <f t="shared" si="10"/>
        <v>5184</v>
      </c>
    </row>
    <row r="297" spans="1:14">
      <c r="A297" s="901">
        <v>45961</v>
      </c>
      <c r="B297" s="902">
        <f>IFERROR(VLOOKUP(Tabela3[[#This Row],[RESERVA]],Tabela96[[RESERVA]:[PROJETO]],2,FALSE),"")</f>
        <v>32</v>
      </c>
      <c r="C297" s="903">
        <f>IFERROR(VLOOKUP(Tabela3[[#This Row],[RESERVA]],Tabela96[[RESERVA]:[PROJETO]],3,FALSE),"")</f>
        <v>2226</v>
      </c>
      <c r="D297" s="902">
        <f>IFERROR(VLOOKUP(Tabela3[[#This Row],[RESERVA]],Tabela96[[RESERVA]:[PROJETO]],4,FALSE),"")</f>
        <v>2128</v>
      </c>
      <c r="E297" s="902">
        <f>IFERROR(VLOOKUP(Tabela3[[#This Row],[RESERVA]],Tabela96[[RESERVA]:[PROJETO]],5,FALSE),"")</f>
        <v>84</v>
      </c>
      <c r="F297" s="904">
        <v>7389</v>
      </c>
      <c r="G297" s="904">
        <v>126099</v>
      </c>
      <c r="H297" s="950" t="s">
        <v>726</v>
      </c>
      <c r="I297" s="155">
        <v>24378</v>
      </c>
      <c r="J297" s="906">
        <v>18865.98</v>
      </c>
      <c r="K297" s="906"/>
      <c r="L297" s="428">
        <f>Tabela3[[#This Row],[VALOR
 EMPENHO]]-Tabela3[[#This Row],[ESTORNO]]</f>
        <v>18865.98</v>
      </c>
      <c r="M297" s="304">
        <f>SUMIFS('LIQUIDAÇÃO 2025'!K:K,'LIQUIDAÇÃO 2025'!B:B,Tabela3[[#This Row],[CÓDIGO
 EMPRESA ]],'LIQUIDAÇÃO 2025'!C:C,Tabela3[[#This Row],[EMPRESA]],'LIQUIDAÇÃO 2025'!F:F,Tabela3[[#This Row],[EMPENHO]])</f>
        <v>0</v>
      </c>
      <c r="N297" s="907">
        <f t="shared" si="10"/>
        <v>18865.98</v>
      </c>
    </row>
    <row r="298" spans="1:14">
      <c r="A298" s="901">
        <v>45961</v>
      </c>
      <c r="B298" s="902">
        <f>IFERROR(VLOOKUP(Tabela3[[#This Row],[RESERVA]],Tabela96[[RESERVA]:[PROJETO]],2,FALSE),"")</f>
        <v>32</v>
      </c>
      <c r="C298" s="903">
        <f>IFERROR(VLOOKUP(Tabela3[[#This Row],[RESERVA]],Tabela96[[RESERVA]:[PROJETO]],3,FALSE),"")</f>
        <v>2226</v>
      </c>
      <c r="D298" s="902">
        <f>IFERROR(VLOOKUP(Tabela3[[#This Row],[RESERVA]],Tabela96[[RESERVA]:[PROJETO]],4,FALSE),"")</f>
        <v>2128</v>
      </c>
      <c r="E298" s="902">
        <f>IFERROR(VLOOKUP(Tabela3[[#This Row],[RESERVA]],Tabela96[[RESERVA]:[PROJETO]],5,FALSE),"")</f>
        <v>84</v>
      </c>
      <c r="F298" s="904">
        <v>7389</v>
      </c>
      <c r="G298" s="904">
        <v>120671</v>
      </c>
      <c r="H298" s="503" t="s">
        <v>727</v>
      </c>
      <c r="I298" s="155">
        <v>24383</v>
      </c>
      <c r="J298" s="906">
        <v>5872.3</v>
      </c>
      <c r="K298" s="906"/>
      <c r="L298" s="428">
        <f>Tabela3[[#This Row],[VALOR
 EMPENHO]]-Tabela3[[#This Row],[ESTORNO]]</f>
        <v>5872.3</v>
      </c>
      <c r="M298" s="304">
        <f>SUMIFS('LIQUIDAÇÃO 2025'!K:K,'LIQUIDAÇÃO 2025'!B:B,Tabela3[[#This Row],[CÓDIGO
 EMPRESA ]],'LIQUIDAÇÃO 2025'!C:C,Tabela3[[#This Row],[EMPRESA]],'LIQUIDAÇÃO 2025'!F:F,Tabela3[[#This Row],[EMPENHO]])</f>
        <v>5872.3</v>
      </c>
      <c r="N298" s="907">
        <f t="shared" si="10"/>
        <v>0</v>
      </c>
    </row>
    <row r="299" spans="1:14">
      <c r="A299" s="152">
        <v>45971</v>
      </c>
      <c r="B299" s="512">
        <f>IFERROR(VLOOKUP(Tabela3[[#This Row],[RESERVA]],Tabela96[[RESERVA]:[PROJETO]],2,FALSE),"")</f>
        <v>32</v>
      </c>
      <c r="C299" s="48">
        <f>IFERROR(VLOOKUP(Tabela3[[#This Row],[RESERVA]],Tabela96[[RESERVA]:[PROJETO]],3,FALSE),"")</f>
        <v>3484</v>
      </c>
      <c r="D299" s="512">
        <f>IFERROR(VLOOKUP(Tabela3[[#This Row],[RESERVA]],Tabela96[[RESERVA]:[PROJETO]],4,FALSE),"")</f>
        <v>2128</v>
      </c>
      <c r="E299" s="512">
        <f>IFERROR(VLOOKUP(Tabela3[[#This Row],[RESERVA]],Tabela96[[RESERVA]:[PROJETO]],5,FALSE),"")</f>
        <v>242</v>
      </c>
      <c r="F299" s="36">
        <v>13563</v>
      </c>
      <c r="G299" s="36">
        <v>46674</v>
      </c>
      <c r="H299" s="950" t="s">
        <v>338</v>
      </c>
      <c r="I299" s="155">
        <v>24951</v>
      </c>
      <c r="J299" s="64">
        <v>270305.64</v>
      </c>
      <c r="K299" s="64"/>
      <c r="L299" s="428">
        <f>Tabela3[[#This Row],[VALOR
 EMPENHO]]-Tabela3[[#This Row],[ESTORNO]]</f>
        <v>270305.64</v>
      </c>
      <c r="M299" s="304">
        <f>SUMIFS('LIQUIDAÇÃO 2025'!K:K,'LIQUIDAÇÃO 2025'!B:B,Tabela3[[#This Row],[CÓDIGO
 EMPRESA ]],'LIQUIDAÇÃO 2025'!C:C,Tabela3[[#This Row],[EMPRESA]],'LIQUIDAÇÃO 2025'!F:F,Tabela3[[#This Row],[EMPENHO]])</f>
        <v>270305.64</v>
      </c>
      <c r="N299" s="683">
        <f t="shared" si="10"/>
        <v>0</v>
      </c>
    </row>
    <row r="300" spans="1:14">
      <c r="A300" s="152">
        <v>45954</v>
      </c>
      <c r="B300" s="512">
        <f>IFERROR(VLOOKUP(Tabela3[[#This Row],[RESERVA]],Tabela96[[RESERVA]:[PROJETO]],2,FALSE),"")</f>
        <v>32</v>
      </c>
      <c r="C300" s="48">
        <f>IFERROR(VLOOKUP(Tabela3[[#This Row],[RESERVA]],Tabela96[[RESERVA]:[PROJETO]],3,FALSE),"")</f>
        <v>2226</v>
      </c>
      <c r="D300" s="512">
        <f>IFERROR(VLOOKUP(Tabela3[[#This Row],[RESERVA]],Tabela96[[RESERVA]:[PROJETO]],4,FALSE),"")</f>
        <v>2128</v>
      </c>
      <c r="E300" s="512">
        <f>IFERROR(VLOOKUP(Tabela3[[#This Row],[RESERVA]],Tabela96[[RESERVA]:[PROJETO]],5,FALSE),"")</f>
        <v>88</v>
      </c>
      <c r="F300" s="36">
        <v>13228</v>
      </c>
      <c r="G300" s="36">
        <v>121162</v>
      </c>
      <c r="H300" s="503" t="s">
        <v>748</v>
      </c>
      <c r="I300" s="156">
        <v>24247</v>
      </c>
      <c r="J300" s="64">
        <v>4914</v>
      </c>
      <c r="K300" s="64"/>
      <c r="L300" s="428">
        <f>Tabela3[[#This Row],[VALOR
 EMPENHO]]-Tabela3[[#This Row],[ESTORNO]]</f>
        <v>4914</v>
      </c>
      <c r="M300" s="304">
        <f>SUMIFS('LIQUIDAÇÃO 2025'!K:K,'LIQUIDAÇÃO 2025'!B:B,Tabela3[[#This Row],[CÓDIGO
 EMPRESA ]],'LIQUIDAÇÃO 2025'!C:C,Tabela3[[#This Row],[EMPRESA]],'LIQUIDAÇÃO 2025'!F:F,Tabela3[[#This Row],[EMPENHO]])</f>
        <v>4914</v>
      </c>
      <c r="N300" s="69">
        <f t="shared" si="10"/>
        <v>0</v>
      </c>
    </row>
    <row r="301" spans="1:14">
      <c r="A301" s="951">
        <v>45985</v>
      </c>
      <c r="B301" s="952">
        <f>IFERROR(VLOOKUP(Tabela3[[#This Row],[RESERVA]],Tabela96[[RESERVA]:[PROJETO]],2,FALSE),"")</f>
        <v>30</v>
      </c>
      <c r="C301" s="953">
        <f>IFERROR(VLOOKUP(Tabela3[[#This Row],[RESERVA]],Tabela96[[RESERVA]:[PROJETO]],3,FALSE),"")</f>
        <v>2253</v>
      </c>
      <c r="D301" s="952">
        <f>IFERROR(VLOOKUP(Tabela3[[#This Row],[RESERVA]],Tabela96[[RESERVA]:[PROJETO]],4,FALSE),"")</f>
        <v>2124</v>
      </c>
      <c r="E301" s="952">
        <f>IFERROR(VLOOKUP(Tabela3[[#This Row],[RESERVA]],Tabela96[[RESERVA]:[PROJETO]],5,FALSE),"")</f>
        <v>25</v>
      </c>
      <c r="F301" s="954">
        <v>6049</v>
      </c>
      <c r="G301" s="954">
        <v>68004</v>
      </c>
      <c r="H301" s="955" t="s">
        <v>382</v>
      </c>
      <c r="I301" s="155">
        <v>26316</v>
      </c>
      <c r="J301" s="957">
        <v>21720.61</v>
      </c>
      <c r="K301" s="957"/>
      <c r="L301" s="428">
        <f>Tabela3[[#This Row],[VALOR
 EMPENHO]]-Tabela3[[#This Row],[ESTORNO]]</f>
        <v>21720.61</v>
      </c>
      <c r="M301" s="304">
        <f>SUMIFS('LIQUIDAÇÃO 2025'!K:K,'LIQUIDAÇÃO 2025'!B:B,Tabela3[[#This Row],[CÓDIGO
 EMPRESA ]],'LIQUIDAÇÃO 2025'!C:C,Tabela3[[#This Row],[EMPRESA]],'LIQUIDAÇÃO 2025'!F:F,Tabela3[[#This Row],[EMPENHO]])</f>
        <v>15777.28</v>
      </c>
      <c r="N301" s="958">
        <f t="shared" si="10"/>
        <v>5943.33</v>
      </c>
    </row>
    <row r="302" spans="1:14">
      <c r="A302" s="951">
        <v>45985</v>
      </c>
      <c r="B302" s="952">
        <f>IFERROR(VLOOKUP(Tabela3[[#This Row],[RESERVA]],Tabela96[[RESERVA]:[PROJETO]],2,FALSE),"")</f>
        <v>32</v>
      </c>
      <c r="C302" s="953">
        <f>IFERROR(VLOOKUP(Tabela3[[#This Row],[RESERVA]],Tabela96[[RESERVA]:[PROJETO]],3,FALSE),"")</f>
        <v>2229</v>
      </c>
      <c r="D302" s="952">
        <f>IFERROR(VLOOKUP(Tabela3[[#This Row],[RESERVA]],Tabela96[[RESERVA]:[PROJETO]],4,FALSE),"")</f>
        <v>2128</v>
      </c>
      <c r="E302" s="952">
        <f>IFERROR(VLOOKUP(Tabela3[[#This Row],[RESERVA]],Tabela96[[RESERVA]:[PROJETO]],5,FALSE),"")</f>
        <v>245</v>
      </c>
      <c r="F302" s="954">
        <v>8742</v>
      </c>
      <c r="G302" s="954">
        <v>54615</v>
      </c>
      <c r="H302" s="955" t="s">
        <v>158</v>
      </c>
      <c r="I302" s="155">
        <v>26356</v>
      </c>
      <c r="J302" s="957">
        <v>747</v>
      </c>
      <c r="K302" s="957"/>
      <c r="L302" s="428">
        <f>Tabela3[[#This Row],[VALOR
 EMPENHO]]-Tabela3[[#This Row],[ESTORNO]]</f>
        <v>747</v>
      </c>
      <c r="M302" s="304">
        <f>SUMIFS('LIQUIDAÇÃO 2025'!K:K,'LIQUIDAÇÃO 2025'!B:B,Tabela3[[#This Row],[CÓDIGO
 EMPRESA ]],'LIQUIDAÇÃO 2025'!C:C,Tabela3[[#This Row],[EMPRESA]],'LIQUIDAÇÃO 2025'!F:F,Tabela3[[#This Row],[EMPENHO]])</f>
        <v>747</v>
      </c>
      <c r="N302" s="958">
        <f t="shared" si="10"/>
        <v>0</v>
      </c>
    </row>
    <row r="303" spans="1:14">
      <c r="A303" s="951">
        <v>45985</v>
      </c>
      <c r="B303" s="952">
        <f>IFERROR(VLOOKUP(Tabela3[[#This Row],[RESERVA]],Tabela96[[RESERVA]:[PROJETO]],2,FALSE),"")</f>
        <v>32</v>
      </c>
      <c r="C303" s="953">
        <f>IFERROR(VLOOKUP(Tabela3[[#This Row],[RESERVA]],Tabela96[[RESERVA]:[PROJETO]],3,FALSE),"")</f>
        <v>2229</v>
      </c>
      <c r="D303" s="952">
        <f>IFERROR(VLOOKUP(Tabela3[[#This Row],[RESERVA]],Tabela96[[RESERVA]:[PROJETO]],4,FALSE),"")</f>
        <v>2128</v>
      </c>
      <c r="E303" s="952">
        <f>IFERROR(VLOOKUP(Tabela3[[#This Row],[RESERVA]],Tabela96[[RESERVA]:[PROJETO]],5,FALSE),"")</f>
        <v>122</v>
      </c>
      <c r="F303" s="954">
        <v>5025</v>
      </c>
      <c r="G303" s="954">
        <v>2808</v>
      </c>
      <c r="H303" s="503" t="s">
        <v>59</v>
      </c>
      <c r="I303" s="155">
        <v>26346</v>
      </c>
      <c r="J303" s="957">
        <v>1500</v>
      </c>
      <c r="K303" s="957"/>
      <c r="L303" s="428">
        <f>Tabela3[[#This Row],[VALOR
 EMPENHO]]-Tabela3[[#This Row],[ESTORNO]]</f>
        <v>1500</v>
      </c>
      <c r="M303" s="304">
        <f>SUMIFS('LIQUIDAÇÃO 2025'!K:K,'LIQUIDAÇÃO 2025'!B:B,Tabela3[[#This Row],[CÓDIGO
 EMPRESA ]],'LIQUIDAÇÃO 2025'!C:C,Tabela3[[#This Row],[EMPRESA]],'LIQUIDAÇÃO 2025'!F:F,Tabela3[[#This Row],[EMPENHO]])</f>
        <v>0</v>
      </c>
      <c r="N303" s="958">
        <f t="shared" si="10"/>
        <v>1500</v>
      </c>
    </row>
    <row r="304" spans="1:14">
      <c r="A304" s="152">
        <v>45985</v>
      </c>
      <c r="B304" s="512">
        <f>IFERROR(VLOOKUP(Tabela3[[#This Row],[RESERVA]],Tabela96[[RESERVA]:[PROJETO]],2,FALSE),"")</f>
        <v>30</v>
      </c>
      <c r="C304" s="48">
        <f>IFERROR(VLOOKUP(Tabela3[[#This Row],[RESERVA]],Tabela96[[RESERVA]:[PROJETO]],3,FALSE),"")</f>
        <v>2253</v>
      </c>
      <c r="D304" s="512">
        <f>IFERROR(VLOOKUP(Tabela3[[#This Row],[RESERVA]],Tabela96[[RESERVA]:[PROJETO]],4,FALSE),"")</f>
        <v>2124</v>
      </c>
      <c r="E304" s="512">
        <f>IFERROR(VLOOKUP(Tabela3[[#This Row],[RESERVA]],Tabela96[[RESERVA]:[PROJETO]],5,FALSE),"")</f>
        <v>25</v>
      </c>
      <c r="F304" s="36">
        <v>5786</v>
      </c>
      <c r="G304" s="36">
        <v>117936</v>
      </c>
      <c r="H304" s="503" t="s">
        <v>154</v>
      </c>
      <c r="I304" s="155">
        <v>26317</v>
      </c>
      <c r="J304" s="64">
        <v>120500</v>
      </c>
      <c r="K304" s="64"/>
      <c r="L304" s="428">
        <f>Tabela3[[#This Row],[VALOR
 EMPENHO]]-Tabela3[[#This Row],[ESTORNO]]</f>
        <v>120500</v>
      </c>
      <c r="M304" s="304">
        <f>SUMIFS('LIQUIDAÇÃO 2025'!K:K,'LIQUIDAÇÃO 2025'!B:B,Tabela3[[#This Row],[CÓDIGO
 EMPRESA ]],'LIQUIDAÇÃO 2025'!C:C,Tabela3[[#This Row],[EMPRESA]],'LIQUIDAÇÃO 2025'!F:F,Tabela3[[#This Row],[EMPENHO]])</f>
        <v>65000</v>
      </c>
      <c r="N304" s="683">
        <f t="shared" si="10"/>
        <v>55500</v>
      </c>
    </row>
    <row r="305" spans="1:14">
      <c r="A305" s="152">
        <v>45688</v>
      </c>
      <c r="B305" s="512">
        <f>IFERROR(VLOOKUP(Tabela3[[#This Row],[RESERVA]],Tabela96[[RESERVA]:[PROJETO]],2,FALSE),"")</f>
        <v>30</v>
      </c>
      <c r="C305" s="48">
        <f>IFERROR(VLOOKUP(Tabela3[[#This Row],[RESERVA]],Tabela96[[RESERVA]:[PROJETO]],3,FALSE),"")</f>
        <v>2253</v>
      </c>
      <c r="D305" s="512">
        <f>IFERROR(VLOOKUP(Tabela3[[#This Row],[RESERVA]],Tabela96[[RESERVA]:[PROJETO]],4,FALSE),"")</f>
        <v>2124</v>
      </c>
      <c r="E305" s="512">
        <f>IFERROR(VLOOKUP(Tabela3[[#This Row],[RESERVA]],Tabela96[[RESERVA]:[PROJETO]],5,FALSE),"")</f>
        <v>25</v>
      </c>
      <c r="F305" s="36">
        <v>2995</v>
      </c>
      <c r="G305" s="36">
        <v>119166</v>
      </c>
      <c r="H305" s="217" t="s">
        <v>363</v>
      </c>
      <c r="I305" s="155">
        <v>3694</v>
      </c>
      <c r="J305" s="990">
        <v>78369.600000000006</v>
      </c>
      <c r="K305" s="990">
        <v>78369.600000000006</v>
      </c>
      <c r="L305" s="428">
        <f>Tabela3[[#This Row],[VALOR
 EMPENHO]]-Tabela3[[#This Row],[ESTORNO]]</f>
        <v>0</v>
      </c>
      <c r="M305" s="304">
        <f>SUMIFS('LIQUIDAÇÃO 2025'!K:K,'LIQUIDAÇÃO 2025'!B:B,Tabela3[[#This Row],[CÓDIGO
 EMPRESA ]],'LIQUIDAÇÃO 2025'!C:C,Tabela3[[#This Row],[EMPRESA]],'LIQUIDAÇÃO 2025'!F:F,Tabela3[[#This Row],[EMPENHO]])</f>
        <v>0</v>
      </c>
      <c r="N305" s="683">
        <f>L305-M305</f>
        <v>0</v>
      </c>
    </row>
    <row r="306" spans="1:14">
      <c r="A306" s="677">
        <v>45986</v>
      </c>
      <c r="B306" s="678">
        <f>IFERROR(VLOOKUP(Tabela3[[#This Row],[RESERVA]],Tabela96[[RESERVA]:[PROJETO]],2,FALSE),"")</f>
        <v>30</v>
      </c>
      <c r="C306" s="679">
        <f>IFERROR(VLOOKUP(Tabela3[[#This Row],[RESERVA]],Tabela96[[RESERVA]:[PROJETO]],3,FALSE),"")</f>
        <v>2253</v>
      </c>
      <c r="D306" s="678">
        <f>IFERROR(VLOOKUP(Tabela3[[#This Row],[RESERVA]],Tabela96[[RESERVA]:[PROJETO]],4,FALSE),"")</f>
        <v>2124</v>
      </c>
      <c r="E306" s="678">
        <f>IFERROR(VLOOKUP(Tabela3[[#This Row],[RESERVA]],Tabela96[[RESERVA]:[PROJETO]],5,FALSE),"")</f>
        <v>25</v>
      </c>
      <c r="F306" s="680">
        <v>2995</v>
      </c>
      <c r="G306" s="680">
        <v>118247</v>
      </c>
      <c r="H306" s="217" t="s">
        <v>375</v>
      </c>
      <c r="I306" s="155">
        <v>26420</v>
      </c>
      <c r="J306" s="681">
        <v>62000</v>
      </c>
      <c r="K306" s="681"/>
      <c r="L306" s="428">
        <f>Tabela3[[#This Row],[VALOR
 EMPENHO]]-Tabela3[[#This Row],[ESTORNO]]</f>
        <v>62000</v>
      </c>
      <c r="M306" s="304">
        <f>SUMIFS('LIQUIDAÇÃO 2025'!K:K,'LIQUIDAÇÃO 2025'!B:B,Tabela3[[#This Row],[CÓDIGO
 EMPRESA ]],'LIQUIDAÇÃO 2025'!C:C,Tabela3[[#This Row],[EMPRESA]],'LIQUIDAÇÃO 2025'!F:F,Tabela3[[#This Row],[EMPENHO]])</f>
        <v>0</v>
      </c>
      <c r="N306" s="683">
        <f t="shared" si="10"/>
        <v>62000</v>
      </c>
    </row>
    <row r="307" spans="1:14">
      <c r="A307" s="901">
        <v>45986</v>
      </c>
      <c r="B307" s="902">
        <f>IFERROR(VLOOKUP(Tabela3[[#This Row],[RESERVA]],Tabela96[[RESERVA]:[PROJETO]],2,FALSE),"")</f>
        <v>30</v>
      </c>
      <c r="C307" s="903">
        <f>IFERROR(VLOOKUP(Tabela3[[#This Row],[RESERVA]],Tabela96[[RESERVA]:[PROJETO]],3,FALSE),"")</f>
        <v>2253</v>
      </c>
      <c r="D307" s="902">
        <f>IFERROR(VLOOKUP(Tabela3[[#This Row],[RESERVA]],Tabela96[[RESERVA]:[PROJETO]],4,FALSE),"")</f>
        <v>2124</v>
      </c>
      <c r="E307" s="902">
        <f>IFERROR(VLOOKUP(Tabela3[[#This Row],[RESERVA]],Tabela96[[RESERVA]:[PROJETO]],5,FALSE),"")</f>
        <v>25</v>
      </c>
      <c r="F307" s="904">
        <v>3008</v>
      </c>
      <c r="G307" s="904">
        <v>119162</v>
      </c>
      <c r="H307" s="801" t="s">
        <v>373</v>
      </c>
      <c r="I307" s="155">
        <v>26435</v>
      </c>
      <c r="J307" s="906">
        <v>16500</v>
      </c>
      <c r="K307" s="906"/>
      <c r="L307" s="428">
        <f>Tabela3[[#This Row],[VALOR
 EMPENHO]]-Tabela3[[#This Row],[ESTORNO]]</f>
        <v>16500</v>
      </c>
      <c r="M307" s="304">
        <f>SUMIFS('LIQUIDAÇÃO 2025'!K:K,'LIQUIDAÇÃO 2025'!B:B,Tabela3[[#This Row],[CÓDIGO
 EMPRESA ]],'LIQUIDAÇÃO 2025'!C:C,Tabela3[[#This Row],[EMPRESA]],'LIQUIDAÇÃO 2025'!F:F,Tabela3[[#This Row],[EMPENHO]])</f>
        <v>0</v>
      </c>
      <c r="N307" s="907">
        <f t="shared" si="10"/>
        <v>16500</v>
      </c>
    </row>
    <row r="308" spans="1:14">
      <c r="A308" s="901">
        <v>45986</v>
      </c>
      <c r="B308" s="902">
        <f>IFERROR(VLOOKUP(Tabela3[[#This Row],[RESERVA]],Tabela96[[RESERVA]:[PROJETO]],2,FALSE),"")</f>
        <v>30</v>
      </c>
      <c r="C308" s="903">
        <f>IFERROR(VLOOKUP(Tabela3[[#This Row],[RESERVA]],Tabela96[[RESERVA]:[PROJETO]],3,FALSE),"")</f>
        <v>2253</v>
      </c>
      <c r="D308" s="902">
        <f>IFERROR(VLOOKUP(Tabela3[[#This Row],[RESERVA]],Tabela96[[RESERVA]:[PROJETO]],4,FALSE),"")</f>
        <v>2124</v>
      </c>
      <c r="E308" s="902">
        <f>IFERROR(VLOOKUP(Tabela3[[#This Row],[RESERVA]],Tabela96[[RESERVA]:[PROJETO]],5,FALSE),"")</f>
        <v>25</v>
      </c>
      <c r="F308" s="904">
        <v>3001</v>
      </c>
      <c r="G308" s="904">
        <v>118229</v>
      </c>
      <c r="H308" s="503" t="s">
        <v>374</v>
      </c>
      <c r="I308" s="155">
        <v>26422</v>
      </c>
      <c r="J308" s="64">
        <v>80000</v>
      </c>
      <c r="K308" s="906"/>
      <c r="L308" s="428">
        <f>Tabela3[[#This Row],[VALOR
 EMPENHO]]-Tabela3[[#This Row],[ESTORNO]]</f>
        <v>80000</v>
      </c>
      <c r="M308" s="304">
        <f>SUMIFS('LIQUIDAÇÃO 2025'!K:K,'LIQUIDAÇÃO 2025'!B:B,Tabela3[[#This Row],[CÓDIGO
 EMPRESA ]],'LIQUIDAÇÃO 2025'!C:C,Tabela3[[#This Row],[EMPRESA]],'LIQUIDAÇÃO 2025'!F:F,Tabela3[[#This Row],[EMPENHO]])</f>
        <v>8748</v>
      </c>
      <c r="N308" s="907">
        <f t="shared" si="10"/>
        <v>71252</v>
      </c>
    </row>
    <row r="309" spans="1:14">
      <c r="A309" s="901">
        <v>45986</v>
      </c>
      <c r="B309" s="902">
        <f>IFERROR(VLOOKUP(Tabela3[[#This Row],[RESERVA]],Tabela96[[RESERVA]:[PROJETO]],2,FALSE),"")</f>
        <v>30</v>
      </c>
      <c r="C309" s="903">
        <f>IFERROR(VLOOKUP(Tabela3[[#This Row],[RESERVA]],Tabela96[[RESERVA]:[PROJETO]],3,FALSE),"")</f>
        <v>2253</v>
      </c>
      <c r="D309" s="902">
        <f>IFERROR(VLOOKUP(Tabela3[[#This Row],[RESERVA]],Tabela96[[RESERVA]:[PROJETO]],4,FALSE),"")</f>
        <v>2124</v>
      </c>
      <c r="E309" s="902">
        <f>IFERROR(VLOOKUP(Tabela3[[#This Row],[RESERVA]],Tabela96[[RESERVA]:[PROJETO]],5,FALSE),"")</f>
        <v>25</v>
      </c>
      <c r="F309" s="904">
        <v>3007</v>
      </c>
      <c r="G309" s="904">
        <v>119151</v>
      </c>
      <c r="H309" s="801" t="s">
        <v>366</v>
      </c>
      <c r="I309" s="155">
        <v>26430</v>
      </c>
      <c r="J309" s="906">
        <v>46000</v>
      </c>
      <c r="K309" s="906"/>
      <c r="L309" s="428">
        <f>Tabela3[[#This Row],[VALOR
 EMPENHO]]-Tabela3[[#This Row],[ESTORNO]]</f>
        <v>46000</v>
      </c>
      <c r="M309" s="304">
        <f>SUMIFS('LIQUIDAÇÃO 2025'!K:K,'LIQUIDAÇÃO 2025'!B:B,Tabela3[[#This Row],[CÓDIGO
 EMPRESA ]],'LIQUIDAÇÃO 2025'!C:C,Tabela3[[#This Row],[EMPRESA]],'LIQUIDAÇÃO 2025'!F:F,Tabela3[[#This Row],[EMPENHO]])</f>
        <v>0</v>
      </c>
      <c r="N309" s="907">
        <f t="shared" si="10"/>
        <v>46000</v>
      </c>
    </row>
    <row r="310" spans="1:14">
      <c r="A310" s="951">
        <v>45986</v>
      </c>
      <c r="B310" s="952">
        <f>IFERROR(VLOOKUP(Tabela3[[#This Row],[RESERVA]],Tabela96[[RESERVA]:[PROJETO]],2,FALSE),"")</f>
        <v>30</v>
      </c>
      <c r="C310" s="953">
        <f>IFERROR(VLOOKUP(Tabela3[[#This Row],[RESERVA]],Tabela96[[RESERVA]:[PROJETO]],3,FALSE),"")</f>
        <v>2253</v>
      </c>
      <c r="D310" s="952">
        <f>IFERROR(VLOOKUP(Tabela3[[#This Row],[RESERVA]],Tabela96[[RESERVA]:[PROJETO]],4,FALSE),"")</f>
        <v>2124</v>
      </c>
      <c r="E310" s="952">
        <f>IFERROR(VLOOKUP(Tabela3[[#This Row],[RESERVA]],Tabela96[[RESERVA]:[PROJETO]],5,FALSE),"")</f>
        <v>25</v>
      </c>
      <c r="F310" s="954">
        <v>2996</v>
      </c>
      <c r="G310" s="954">
        <v>119149</v>
      </c>
      <c r="H310" s="905" t="s">
        <v>314</v>
      </c>
      <c r="I310" s="155">
        <v>26455</v>
      </c>
      <c r="J310" s="957">
        <v>7500</v>
      </c>
      <c r="K310" s="957"/>
      <c r="L310" s="428">
        <f>Tabela3[[#This Row],[VALOR
 EMPENHO]]-Tabela3[[#This Row],[ESTORNO]]</f>
        <v>7500</v>
      </c>
      <c r="M310" s="304">
        <f>SUMIFS('LIQUIDAÇÃO 2025'!K:K,'LIQUIDAÇÃO 2025'!B:B,Tabela3[[#This Row],[CÓDIGO
 EMPRESA ]],'LIQUIDAÇÃO 2025'!C:C,Tabela3[[#This Row],[EMPRESA]],'LIQUIDAÇÃO 2025'!F:F,Tabela3[[#This Row],[EMPENHO]])</f>
        <v>0</v>
      </c>
      <c r="N310" s="958">
        <f t="shared" si="10"/>
        <v>7500</v>
      </c>
    </row>
    <row r="311" spans="1:14">
      <c r="A311" s="901">
        <v>45989</v>
      </c>
      <c r="B311" s="902">
        <f>IFERROR(VLOOKUP(Tabela3[[#This Row],[RESERVA]],Tabela96[[RESERVA]:[PROJETO]],2,FALSE),"")</f>
        <v>32</v>
      </c>
      <c r="C311" s="903">
        <f>IFERROR(VLOOKUP(Tabela3[[#This Row],[RESERVA]],Tabela96[[RESERVA]:[PROJETO]],3,FALSE),"")</f>
        <v>2229</v>
      </c>
      <c r="D311" s="902">
        <f>IFERROR(VLOOKUP(Tabela3[[#This Row],[RESERVA]],Tabela96[[RESERVA]:[PROJETO]],4,FALSE),"")</f>
        <v>2128</v>
      </c>
      <c r="E311" s="902">
        <f>IFERROR(VLOOKUP(Tabela3[[#This Row],[RESERVA]],Tabela96[[RESERVA]:[PROJETO]],5,FALSE),"")</f>
        <v>117</v>
      </c>
      <c r="F311" s="904">
        <v>14462</v>
      </c>
      <c r="G311" s="904">
        <v>34074</v>
      </c>
      <c r="H311" s="503" t="s">
        <v>360</v>
      </c>
      <c r="I311" s="915">
        <v>26736</v>
      </c>
      <c r="J311" s="906">
        <v>5798</v>
      </c>
      <c r="K311" s="906"/>
      <c r="L311" s="428">
        <f>Tabela3[[#This Row],[VALOR
 EMPENHO]]-Tabela3[[#This Row],[ESTORNO]]</f>
        <v>5798</v>
      </c>
      <c r="M311" s="304">
        <f>SUMIFS('LIQUIDAÇÃO 2025'!K:K,'LIQUIDAÇÃO 2025'!B:B,Tabela3[[#This Row],[CÓDIGO
 EMPRESA ]],'LIQUIDAÇÃO 2025'!C:C,Tabela3[[#This Row],[EMPRESA]],'LIQUIDAÇÃO 2025'!F:F,Tabela3[[#This Row],[EMPENHO]])</f>
        <v>0</v>
      </c>
      <c r="N311" s="907">
        <f t="shared" si="10"/>
        <v>5798</v>
      </c>
    </row>
    <row r="312" spans="1:14">
      <c r="A312" s="901">
        <v>45989</v>
      </c>
      <c r="B312" s="902">
        <f>IFERROR(VLOOKUP(Tabela3[[#This Row],[RESERVA]],Tabela96[[RESERVA]:[PROJETO]],2,FALSE),"")</f>
        <v>32</v>
      </c>
      <c r="C312" s="903">
        <f>IFERROR(VLOOKUP(Tabela3[[#This Row],[RESERVA]],Tabela96[[RESERVA]:[PROJETO]],3,FALSE),"")</f>
        <v>3484</v>
      </c>
      <c r="D312" s="902">
        <f>IFERROR(VLOOKUP(Tabela3[[#This Row],[RESERVA]],Tabela96[[RESERVA]:[PROJETO]],4,FALSE),"")</f>
        <v>2128</v>
      </c>
      <c r="E312" s="902">
        <f>IFERROR(VLOOKUP(Tabela3[[#This Row],[RESERVA]],Tabela96[[RESERVA]:[PROJETO]],5,FALSE),"")</f>
        <v>117</v>
      </c>
      <c r="F312" s="904">
        <v>4244</v>
      </c>
      <c r="G312" s="904">
        <v>63516</v>
      </c>
      <c r="H312" s="503" t="s">
        <v>404</v>
      </c>
      <c r="I312" s="915">
        <v>26756</v>
      </c>
      <c r="J312" s="906">
        <v>8881.33</v>
      </c>
      <c r="K312" s="906"/>
      <c r="L312" s="428">
        <f>Tabela3[[#This Row],[VALOR
 EMPENHO]]-Tabela3[[#This Row],[ESTORNO]]</f>
        <v>8881.33</v>
      </c>
      <c r="M312" s="304">
        <f>SUMIFS('LIQUIDAÇÃO 2025'!K:K,'LIQUIDAÇÃO 2025'!B:B,Tabela3[[#This Row],[CÓDIGO
 EMPRESA ]],'LIQUIDAÇÃO 2025'!C:C,Tabela3[[#This Row],[EMPRESA]],'LIQUIDAÇÃO 2025'!F:F,Tabela3[[#This Row],[EMPENHO]])</f>
        <v>8881.33</v>
      </c>
      <c r="N312" s="907">
        <f t="shared" si="10"/>
        <v>0</v>
      </c>
    </row>
    <row r="313" spans="1:14">
      <c r="A313" s="951">
        <v>45986</v>
      </c>
      <c r="B313" s="952">
        <f>IFERROR(VLOOKUP(Tabela3[[#This Row],[RESERVA]],Tabela96[[RESERVA]:[PROJETO]],2,FALSE),"")</f>
        <v>30</v>
      </c>
      <c r="C313" s="953">
        <f>IFERROR(VLOOKUP(Tabela3[[#This Row],[RESERVA]],Tabela96[[RESERVA]:[PROJETO]],3,FALSE),"")</f>
        <v>2253</v>
      </c>
      <c r="D313" s="952">
        <f>IFERROR(VLOOKUP(Tabela3[[#This Row],[RESERVA]],Tabela96[[RESERVA]:[PROJETO]],4,FALSE),"")</f>
        <v>2124</v>
      </c>
      <c r="E313" s="952">
        <f>IFERROR(VLOOKUP(Tabela3[[#This Row],[RESERVA]],Tabela96[[RESERVA]:[PROJETO]],5,FALSE),"")</f>
        <v>25</v>
      </c>
      <c r="F313" s="954">
        <v>3003</v>
      </c>
      <c r="G313" s="954">
        <v>119166</v>
      </c>
      <c r="H313" s="217" t="s">
        <v>363</v>
      </c>
      <c r="I313" s="956">
        <v>26445</v>
      </c>
      <c r="J313" s="957">
        <v>52000</v>
      </c>
      <c r="K313" s="957"/>
      <c r="L313" s="428">
        <f>Tabela3[[#This Row],[VALOR
 EMPENHO]]-Tabela3[[#This Row],[ESTORNO]]</f>
        <v>52000</v>
      </c>
      <c r="M313" s="304">
        <f>SUMIFS('LIQUIDAÇÃO 2025'!K:K,'LIQUIDAÇÃO 2025'!B:B,Tabela3[[#This Row],[CÓDIGO
 EMPRESA ]],'LIQUIDAÇÃO 2025'!C:C,Tabela3[[#This Row],[EMPRESA]],'LIQUIDAÇÃO 2025'!F:F,Tabela3[[#This Row],[EMPENHO]])</f>
        <v>23191.25</v>
      </c>
      <c r="N313" s="958">
        <f t="shared" si="10"/>
        <v>28808.75</v>
      </c>
    </row>
    <row r="314" spans="1:14">
      <c r="A314" s="951">
        <v>45989</v>
      </c>
      <c r="B314" s="952">
        <f>IFERROR(VLOOKUP(Tabela3[[#This Row],[RESERVA]],Tabela96[[RESERVA]:[PROJETO]],2,FALSE),"")</f>
        <v>30</v>
      </c>
      <c r="C314" s="953">
        <f>IFERROR(VLOOKUP(Tabela3[[#This Row],[RESERVA]],Tabela96[[RESERVA]:[PROJETO]],3,FALSE),"")</f>
        <v>2253</v>
      </c>
      <c r="D314" s="952">
        <f>IFERROR(VLOOKUP(Tabela3[[#This Row],[RESERVA]],Tabela96[[RESERVA]:[PROJETO]],4,FALSE),"")</f>
        <v>2124</v>
      </c>
      <c r="E314" s="952">
        <f>IFERROR(VLOOKUP(Tabela3[[#This Row],[RESERVA]],Tabela96[[RESERVA]:[PROJETO]],5,FALSE),"")</f>
        <v>25</v>
      </c>
      <c r="F314" s="954">
        <v>2998</v>
      </c>
      <c r="G314" s="954">
        <v>112466</v>
      </c>
      <c r="H314" s="955" t="s">
        <v>377</v>
      </c>
      <c r="I314" s="915">
        <v>26771</v>
      </c>
      <c r="J314" s="957">
        <v>10000</v>
      </c>
      <c r="K314" s="957"/>
      <c r="L314" s="428">
        <f>Tabela3[[#This Row],[VALOR
 EMPENHO]]-Tabela3[[#This Row],[ESTORNO]]</f>
        <v>10000</v>
      </c>
      <c r="M314" s="304">
        <f>SUMIFS('LIQUIDAÇÃO 2025'!K:K,'LIQUIDAÇÃO 2025'!B:B,Tabela3[[#This Row],[CÓDIGO
 EMPRESA ]],'LIQUIDAÇÃO 2025'!C:C,Tabela3[[#This Row],[EMPRESA]],'LIQUIDAÇÃO 2025'!F:F,Tabela3[[#This Row],[EMPENHO]])</f>
        <v>0</v>
      </c>
      <c r="N314" s="958">
        <f t="shared" si="10"/>
        <v>10000</v>
      </c>
    </row>
    <row r="315" spans="1:14">
      <c r="A315" s="152">
        <v>45989</v>
      </c>
      <c r="B315" s="512">
        <f>IFERROR(VLOOKUP(Tabela3[[#This Row],[RESERVA]],Tabela96[[RESERVA]:[PROJETO]],2,FALSE),"")</f>
        <v>32</v>
      </c>
      <c r="C315" s="48">
        <f>IFERROR(VLOOKUP(Tabela3[[#This Row],[RESERVA]],Tabela96[[RESERVA]:[PROJETO]],3,FALSE),"")</f>
        <v>2229</v>
      </c>
      <c r="D315" s="512">
        <f>IFERROR(VLOOKUP(Tabela3[[#This Row],[RESERVA]],Tabela96[[RESERVA]:[PROJETO]],4,FALSE),"")</f>
        <v>2128</v>
      </c>
      <c r="E315" s="512">
        <f>IFERROR(VLOOKUP(Tabela3[[#This Row],[RESERVA]],Tabela96[[RESERVA]:[PROJETO]],5,FALSE),"")</f>
        <v>242</v>
      </c>
      <c r="F315" s="36">
        <v>8965</v>
      </c>
      <c r="G315" s="36">
        <v>46674</v>
      </c>
      <c r="H315" s="503" t="s">
        <v>338</v>
      </c>
      <c r="I315" s="156">
        <v>26782</v>
      </c>
      <c r="J315" s="64">
        <v>300000</v>
      </c>
      <c r="K315" s="64"/>
      <c r="L315" s="428">
        <f>Tabela3[[#This Row],[VALOR
 EMPENHO]]-Tabela3[[#This Row],[ESTORNO]]</f>
        <v>300000</v>
      </c>
      <c r="M315" s="304">
        <f>SUMIFS('LIQUIDAÇÃO 2025'!K:K,'LIQUIDAÇÃO 2025'!B:B,Tabela3[[#This Row],[CÓDIGO
 EMPRESA ]],'LIQUIDAÇÃO 2025'!C:C,Tabela3[[#This Row],[EMPRESA]],'LIQUIDAÇÃO 2025'!F:F,Tabela3[[#This Row],[EMPENHO]])</f>
        <v>299997.05</v>
      </c>
      <c r="N315" s="683">
        <f t="shared" si="10"/>
        <v>2.95</v>
      </c>
    </row>
    <row r="316" spans="1:14">
      <c r="A316" s="951">
        <v>45989</v>
      </c>
      <c r="B316" s="952">
        <f>IFERROR(VLOOKUP(Tabela3[[#This Row],[RESERVA]],Tabela96[[RESERVA]:[PROJETO]],2,FALSE),"")</f>
        <v>30</v>
      </c>
      <c r="C316" s="953">
        <f>IFERROR(VLOOKUP(Tabela3[[#This Row],[RESERVA]],Tabela96[[RESERVA]:[PROJETO]],3,FALSE),"")</f>
        <v>2253</v>
      </c>
      <c r="D316" s="952">
        <f>IFERROR(VLOOKUP(Tabela3[[#This Row],[RESERVA]],Tabela96[[RESERVA]:[PROJETO]],4,FALSE),"")</f>
        <v>2124</v>
      </c>
      <c r="E316" s="952">
        <f>IFERROR(VLOOKUP(Tabela3[[#This Row],[RESERVA]],Tabela96[[RESERVA]:[PROJETO]],5,FALSE),"")</f>
        <v>25</v>
      </c>
      <c r="F316" s="954">
        <v>2998</v>
      </c>
      <c r="G316" s="954">
        <v>112466</v>
      </c>
      <c r="H316" s="955" t="s">
        <v>377</v>
      </c>
      <c r="I316" s="956">
        <v>26452</v>
      </c>
      <c r="J316" s="957">
        <v>3000</v>
      </c>
      <c r="K316" s="957"/>
      <c r="L316" s="428">
        <f>Tabela3[[#This Row],[VALOR
 EMPENHO]]-Tabela3[[#This Row],[ESTORNO]]</f>
        <v>3000</v>
      </c>
      <c r="M316" s="304">
        <f>SUMIFS('LIQUIDAÇÃO 2025'!K:K,'LIQUIDAÇÃO 2025'!B:B,Tabela3[[#This Row],[CÓDIGO
 EMPRESA ]],'LIQUIDAÇÃO 2025'!C:C,Tabela3[[#This Row],[EMPRESA]],'LIQUIDAÇÃO 2025'!F:F,Tabela3[[#This Row],[EMPENHO]])</f>
        <v>0</v>
      </c>
      <c r="N316" s="958">
        <f t="shared" si="10"/>
        <v>3000</v>
      </c>
    </row>
    <row r="317" spans="1:14">
      <c r="A317" s="951">
        <v>45989</v>
      </c>
      <c r="B317" s="952">
        <f>IFERROR(VLOOKUP(Tabela3[[#This Row],[RESERVA]],Tabela96[[RESERVA]:[PROJETO]],2,FALSE),"")</f>
        <v>32</v>
      </c>
      <c r="C317" s="953">
        <f>IFERROR(VLOOKUP(Tabela3[[#This Row],[RESERVA]],Tabela96[[RESERVA]:[PROJETO]],3,FALSE),"")</f>
        <v>2229</v>
      </c>
      <c r="D317" s="952">
        <f>IFERROR(VLOOKUP(Tabela3[[#This Row],[RESERVA]],Tabela96[[RESERVA]:[PROJETO]],4,FALSE),"")</f>
        <v>2128</v>
      </c>
      <c r="E317" s="952">
        <f>IFERROR(VLOOKUP(Tabela3[[#This Row],[RESERVA]],Tabela96[[RESERVA]:[PROJETO]],5,FALSE),"")</f>
        <v>237</v>
      </c>
      <c r="F317" s="954">
        <v>4191</v>
      </c>
      <c r="G317" s="954">
        <v>42326</v>
      </c>
      <c r="H317" s="955" t="s">
        <v>407</v>
      </c>
      <c r="I317" s="956">
        <v>26784</v>
      </c>
      <c r="J317" s="957">
        <v>350000</v>
      </c>
      <c r="K317" s="957"/>
      <c r="L317" s="428">
        <f>Tabela3[[#This Row],[VALOR
 EMPENHO]]-Tabela3[[#This Row],[ESTORNO]]</f>
        <v>350000</v>
      </c>
      <c r="M317" s="304">
        <f>SUMIFS('LIQUIDAÇÃO 2025'!K:K,'LIQUIDAÇÃO 2025'!B:B,Tabela3[[#This Row],[CÓDIGO
 EMPRESA ]],'LIQUIDAÇÃO 2025'!C:C,Tabela3[[#This Row],[EMPRESA]],'LIQUIDAÇÃO 2025'!F:F,Tabela3[[#This Row],[EMPENHO]])</f>
        <v>280702.40999999997</v>
      </c>
      <c r="N317" s="958">
        <f t="shared" ref="N317:N322" si="11">L317-M317</f>
        <v>69297.59</v>
      </c>
    </row>
    <row r="318" spans="1:14">
      <c r="A318" s="951">
        <v>45989</v>
      </c>
      <c r="B318" s="952">
        <f>IFERROR(VLOOKUP(Tabela3[[#This Row],[RESERVA]],Tabela96[[RESERVA]:[PROJETO]],2,FALSE),"")</f>
        <v>30</v>
      </c>
      <c r="C318" s="953">
        <f>IFERROR(VLOOKUP(Tabela3[[#This Row],[RESERVA]],Tabela96[[RESERVA]:[PROJETO]],3,FALSE),"")</f>
        <v>2253</v>
      </c>
      <c r="D318" s="952">
        <f>IFERROR(VLOOKUP(Tabela3[[#This Row],[RESERVA]],Tabela96[[RESERVA]:[PROJETO]],4,FALSE),"")</f>
        <v>2124</v>
      </c>
      <c r="E318" s="952">
        <f>IFERROR(VLOOKUP(Tabela3[[#This Row],[RESERVA]],Tabela96[[RESERVA]:[PROJETO]],5,FALSE),"")</f>
        <v>25</v>
      </c>
      <c r="F318" s="954">
        <v>3009</v>
      </c>
      <c r="G318" s="954">
        <v>121793</v>
      </c>
      <c r="H318" s="217" t="s">
        <v>341</v>
      </c>
      <c r="I318" s="956">
        <v>26780</v>
      </c>
      <c r="J318" s="957">
        <v>1050022.6299999999</v>
      </c>
      <c r="K318" s="957"/>
      <c r="L318" s="428">
        <f>Tabela3[[#This Row],[VALOR
 EMPENHO]]-Tabela3[[#This Row],[ESTORNO]]</f>
        <v>1050022.6299999999</v>
      </c>
      <c r="M318" s="304">
        <f>SUMIFS('LIQUIDAÇÃO 2025'!K:K,'LIQUIDAÇÃO 2025'!B:B,Tabela3[[#This Row],[CÓDIGO
 EMPRESA ]],'LIQUIDAÇÃO 2025'!C:C,Tabela3[[#This Row],[EMPRESA]],'LIQUIDAÇÃO 2025'!F:F,Tabela3[[#This Row],[EMPENHO]])</f>
        <v>0</v>
      </c>
      <c r="N318" s="958">
        <f t="shared" si="11"/>
        <v>1050022.6299999999</v>
      </c>
    </row>
    <row r="319" spans="1:14">
      <c r="A319" s="951">
        <v>45989</v>
      </c>
      <c r="B319" s="952">
        <f>IFERROR(VLOOKUP(Tabela3[[#This Row],[RESERVA]],Tabela96[[RESERVA]:[PROJETO]],2,FALSE),"")</f>
        <v>30</v>
      </c>
      <c r="C319" s="953">
        <f>IFERROR(VLOOKUP(Tabela3[[#This Row],[RESERVA]],Tabela96[[RESERVA]:[PROJETO]],3,FALSE),"")</f>
        <v>2253</v>
      </c>
      <c r="D319" s="952">
        <f>IFERROR(VLOOKUP(Tabela3[[#This Row],[RESERVA]],Tabela96[[RESERVA]:[PROJETO]],4,FALSE),"")</f>
        <v>2124</v>
      </c>
      <c r="E319" s="952">
        <f>IFERROR(VLOOKUP(Tabela3[[#This Row],[RESERVA]],Tabela96[[RESERVA]:[PROJETO]],5,FALSE),"")</f>
        <v>25</v>
      </c>
      <c r="F319" s="954">
        <v>3002</v>
      </c>
      <c r="G319" s="954">
        <v>60979</v>
      </c>
      <c r="H319" s="503" t="s">
        <v>122</v>
      </c>
      <c r="I319" s="956">
        <v>26775</v>
      </c>
      <c r="J319" s="957">
        <v>500000</v>
      </c>
      <c r="K319" s="957"/>
      <c r="L319" s="428">
        <f>Tabela3[[#This Row],[VALOR
 EMPENHO]]-Tabela3[[#This Row],[ESTORNO]]</f>
        <v>500000</v>
      </c>
      <c r="M319" s="304">
        <f>SUMIFS('LIQUIDAÇÃO 2025'!K:K,'LIQUIDAÇÃO 2025'!B:B,Tabela3[[#This Row],[CÓDIGO
 EMPRESA ]],'LIQUIDAÇÃO 2025'!C:C,Tabela3[[#This Row],[EMPRESA]],'LIQUIDAÇÃO 2025'!F:F,Tabela3[[#This Row],[EMPENHO]])</f>
        <v>372851</v>
      </c>
      <c r="N319" s="958">
        <f t="shared" si="11"/>
        <v>127149</v>
      </c>
    </row>
    <row r="320" spans="1:14">
      <c r="A320" s="951">
        <v>45989</v>
      </c>
      <c r="B320" s="952">
        <f>IFERROR(VLOOKUP(Tabela3[[#This Row],[RESERVA]],Tabela96[[RESERVA]:[PROJETO]],2,FALSE),"")</f>
        <v>30</v>
      </c>
      <c r="C320" s="953">
        <f>IFERROR(VLOOKUP(Tabela3[[#This Row],[RESERVA]],Tabela96[[RESERVA]:[PROJETO]],3,FALSE),"")</f>
        <v>2253</v>
      </c>
      <c r="D320" s="952">
        <f>IFERROR(VLOOKUP(Tabela3[[#This Row],[RESERVA]],Tabela96[[RESERVA]:[PROJETO]],4,FALSE),"")</f>
        <v>2124</v>
      </c>
      <c r="E320" s="952">
        <f>IFERROR(VLOOKUP(Tabela3[[#This Row],[RESERVA]],Tabela96[[RESERVA]:[PROJETO]],5,FALSE),"")</f>
        <v>25</v>
      </c>
      <c r="F320" s="954">
        <v>3000</v>
      </c>
      <c r="G320" s="954">
        <v>119152</v>
      </c>
      <c r="H320" s="503" t="s">
        <v>376</v>
      </c>
      <c r="I320" s="956">
        <v>26772</v>
      </c>
      <c r="J320" s="957">
        <v>94806.9</v>
      </c>
      <c r="K320" s="957"/>
      <c r="L320" s="428">
        <f>Tabela3[[#This Row],[VALOR
 EMPENHO]]-Tabela3[[#This Row],[ESTORNO]]</f>
        <v>94806.9</v>
      </c>
      <c r="M320" s="304">
        <f>SUMIFS('LIQUIDAÇÃO 2025'!K:K,'LIQUIDAÇÃO 2025'!B:B,Tabela3[[#This Row],[CÓDIGO
 EMPRESA ]],'LIQUIDAÇÃO 2025'!C:C,Tabela3[[#This Row],[EMPRESA]],'LIQUIDAÇÃO 2025'!F:F,Tabela3[[#This Row],[EMPENHO]])</f>
        <v>25650.04</v>
      </c>
      <c r="N320" s="958">
        <f t="shared" si="11"/>
        <v>69156.86</v>
      </c>
    </row>
    <row r="321" spans="1:14">
      <c r="A321" s="951">
        <v>45994</v>
      </c>
      <c r="B321" s="952">
        <f>IFERROR(VLOOKUP(Tabela3[[#This Row],[RESERVA]],Tabela96[[RESERVA]:[PROJETO]],2,FALSE),"")</f>
        <v>30</v>
      </c>
      <c r="C321" s="953">
        <f>IFERROR(VLOOKUP(Tabela3[[#This Row],[RESERVA]],Tabela96[[RESERVA]:[PROJETO]],3,FALSE),"")</f>
        <v>2253</v>
      </c>
      <c r="D321" s="952">
        <f>IFERROR(VLOOKUP(Tabela3[[#This Row],[RESERVA]],Tabela96[[RESERVA]:[PROJETO]],4,FALSE),"")</f>
        <v>2124</v>
      </c>
      <c r="E321" s="952">
        <f>IFERROR(VLOOKUP(Tabela3[[#This Row],[RESERVA]],Tabela96[[RESERVA]:[PROJETO]],5,FALSE),"")</f>
        <v>25</v>
      </c>
      <c r="F321" s="954">
        <v>14868</v>
      </c>
      <c r="G321" s="954">
        <v>73112</v>
      </c>
      <c r="H321" s="503" t="s">
        <v>685</v>
      </c>
      <c r="I321" s="956">
        <v>27146</v>
      </c>
      <c r="J321" s="957">
        <v>1737843.25</v>
      </c>
      <c r="K321" s="957">
        <v>50000</v>
      </c>
      <c r="L321" s="428">
        <f>Tabela3[[#This Row],[VALOR
 EMPENHO]]-Tabela3[[#This Row],[ESTORNO]]</f>
        <v>1687843.25</v>
      </c>
      <c r="M321" s="304">
        <f>SUMIFS('LIQUIDAÇÃO 2025'!K:K,'LIQUIDAÇÃO 2025'!B:B,Tabela3[[#This Row],[CÓDIGO
 EMPRESA ]],'LIQUIDAÇÃO 2025'!C:C,Tabela3[[#This Row],[EMPRESA]],'LIQUIDAÇÃO 2025'!F:F,Tabela3[[#This Row],[EMPENHO]])</f>
        <v>835321.1</v>
      </c>
      <c r="N321" s="958">
        <f t="shared" si="11"/>
        <v>852522.15</v>
      </c>
    </row>
    <row r="322" spans="1:14">
      <c r="A322" s="152">
        <v>45994</v>
      </c>
      <c r="B322" s="512">
        <f>IFERROR(VLOOKUP(Tabela3[[#This Row],[RESERVA]],Tabela96[[RESERVA]:[PROJETO]],2,FALSE),"")</f>
        <v>30</v>
      </c>
      <c r="C322" s="48">
        <f>IFERROR(VLOOKUP(Tabela3[[#This Row],[RESERVA]],Tabela96[[RESERVA]:[PROJETO]],3,FALSE),"")</f>
        <v>2253</v>
      </c>
      <c r="D322" s="512">
        <f>IFERROR(VLOOKUP(Tabela3[[#This Row],[RESERVA]],Tabela96[[RESERVA]:[PROJETO]],4,FALSE),"")</f>
        <v>2124</v>
      </c>
      <c r="E322" s="512">
        <f>IFERROR(VLOOKUP(Tabela3[[#This Row],[RESERVA]],Tabela96[[RESERVA]:[PROJETO]],5,FALSE),"")</f>
        <v>25</v>
      </c>
      <c r="F322" s="36">
        <v>8516</v>
      </c>
      <c r="G322" s="36">
        <v>73112</v>
      </c>
      <c r="H322" s="503" t="s">
        <v>685</v>
      </c>
      <c r="I322" s="156">
        <v>27143</v>
      </c>
      <c r="J322" s="64">
        <v>7900000</v>
      </c>
      <c r="K322" s="64"/>
      <c r="L322" s="428">
        <f>Tabela3[[#This Row],[VALOR
 EMPENHO]]-Tabela3[[#This Row],[ESTORNO]]</f>
        <v>7900000</v>
      </c>
      <c r="M322" s="304">
        <f>SUMIFS('LIQUIDAÇÃO 2025'!K:K,'LIQUIDAÇÃO 2025'!B:B,Tabela3[[#This Row],[CÓDIGO
 EMPRESA ]],'LIQUIDAÇÃO 2025'!C:C,Tabela3[[#This Row],[EMPRESA]],'LIQUIDAÇÃO 2025'!F:F,Tabela3[[#This Row],[EMPENHO]])</f>
        <v>7900000</v>
      </c>
      <c r="N322" s="69">
        <f t="shared" si="11"/>
        <v>0</v>
      </c>
    </row>
    <row r="323" spans="1:14">
      <c r="A323" s="951">
        <v>46014</v>
      </c>
      <c r="B323" s="952">
        <f>IFERROR(VLOOKUP(Tabela3[[#This Row],[RESERVA]],Tabela96[[RESERVA]:[PROJETO]],2,FALSE),"")</f>
        <v>30</v>
      </c>
      <c r="C323" s="953">
        <f>IFERROR(VLOOKUP(Tabela3[[#This Row],[RESERVA]],Tabela96[[RESERVA]:[PROJETO]],3,FALSE),"")</f>
        <v>2253</v>
      </c>
      <c r="D323" s="952">
        <f>IFERROR(VLOOKUP(Tabela3[[#This Row],[RESERVA]],Tabela96[[RESERVA]:[PROJETO]],4,FALSE),"")</f>
        <v>2124</v>
      </c>
      <c r="E323" s="952">
        <f>IFERROR(VLOOKUP(Tabela3[[#This Row],[RESERVA]],Tabela96[[RESERVA]:[PROJETO]],5,FALSE),"")</f>
        <v>25</v>
      </c>
      <c r="F323" s="954">
        <v>3002</v>
      </c>
      <c r="G323" s="954">
        <v>60979</v>
      </c>
      <c r="H323" s="503" t="s">
        <v>122</v>
      </c>
      <c r="I323" s="956">
        <v>28468</v>
      </c>
      <c r="J323" s="957">
        <v>480000</v>
      </c>
      <c r="K323" s="957"/>
      <c r="L323" s="428">
        <f>Tabela3[[#This Row],[VALOR
 EMPENHO]]-Tabela3[[#This Row],[ESTORNO]]</f>
        <v>480000</v>
      </c>
      <c r="M323" s="304">
        <f>SUMIFS('LIQUIDAÇÃO 2025'!K:K,'LIQUIDAÇÃO 2025'!B:B,Tabela3[[#This Row],[CÓDIGO
 EMPRESA ]],'LIQUIDAÇÃO 2025'!C:C,Tabela3[[#This Row],[EMPRESA]],'LIQUIDAÇÃO 2025'!F:F,Tabela3[[#This Row],[EMPENHO]])</f>
        <v>0</v>
      </c>
      <c r="N323" s="958">
        <f t="shared" ref="N323:N328" si="12">L323-M323</f>
        <v>480000</v>
      </c>
    </row>
    <row r="324" spans="1:14">
      <c r="A324" s="951">
        <v>46020</v>
      </c>
      <c r="B324" s="952">
        <f>IFERROR(VLOOKUP(Tabela3[[#This Row],[RESERVA]],Tabela96[[RESERVA]:[PROJETO]],2,FALSE),"")</f>
        <v>30</v>
      </c>
      <c r="C324" s="953">
        <f>IFERROR(VLOOKUP(Tabela3[[#This Row],[RESERVA]],Tabela96[[RESERVA]:[PROJETO]],3,FALSE),"")</f>
        <v>2253</v>
      </c>
      <c r="D324" s="952">
        <f>IFERROR(VLOOKUP(Tabela3[[#This Row],[RESERVA]],Tabela96[[RESERVA]:[PROJETO]],4,FALSE),"")</f>
        <v>2124</v>
      </c>
      <c r="E324" s="952">
        <f>IFERROR(VLOOKUP(Tabela3[[#This Row],[RESERVA]],Tabela96[[RESERVA]:[PROJETO]],5,FALSE),"")</f>
        <v>25</v>
      </c>
      <c r="F324" s="954">
        <v>2645</v>
      </c>
      <c r="G324" s="954">
        <v>103747</v>
      </c>
      <c r="H324" s="955" t="s">
        <v>371</v>
      </c>
      <c r="I324" s="956">
        <v>28596</v>
      </c>
      <c r="J324" s="957">
        <v>3597688.6</v>
      </c>
      <c r="K324" s="957"/>
      <c r="L324" s="428">
        <f>Tabela3[[#This Row],[VALOR
 EMPENHO]]-Tabela3[[#This Row],[ESTORNO]]</f>
        <v>3597688.6</v>
      </c>
      <c r="M324" s="304">
        <f>SUMIFS('LIQUIDAÇÃO 2025'!K:K,'LIQUIDAÇÃO 2025'!B:B,Tabela3[[#This Row],[CÓDIGO
 EMPRESA ]],'LIQUIDAÇÃO 2025'!C:C,Tabela3[[#This Row],[EMPRESA]],'LIQUIDAÇÃO 2025'!F:F,Tabela3[[#This Row],[EMPENHO]])</f>
        <v>3597688.6</v>
      </c>
      <c r="N324" s="69">
        <f t="shared" si="12"/>
        <v>0</v>
      </c>
    </row>
    <row r="325" spans="1:14">
      <c r="A325" s="951">
        <v>45959</v>
      </c>
      <c r="B325" s="952">
        <f>IFERROR(VLOOKUP(Tabela3[[#This Row],[RESERVA]],Tabela96[[RESERVA]:[PROJETO]],2,FALSE),"")</f>
        <v>32</v>
      </c>
      <c r="C325" s="953">
        <f>IFERROR(VLOOKUP(Tabela3[[#This Row],[RESERVA]],Tabela96[[RESERVA]:[PROJETO]],3,FALSE),"")</f>
        <v>2226</v>
      </c>
      <c r="D325" s="952">
        <f>IFERROR(VLOOKUP(Tabela3[[#This Row],[RESERVA]],Tabela96[[RESERVA]:[PROJETO]],4,FALSE),"")</f>
        <v>2128</v>
      </c>
      <c r="E325" s="952">
        <f>IFERROR(VLOOKUP(Tabela3[[#This Row],[RESERVA]],Tabela96[[RESERVA]:[PROJETO]],5,FALSE),"")</f>
        <v>88</v>
      </c>
      <c r="F325" s="954">
        <v>13230</v>
      </c>
      <c r="G325" s="954">
        <v>123524</v>
      </c>
      <c r="H325" s="955" t="s">
        <v>736</v>
      </c>
      <c r="I325" s="956">
        <v>24258</v>
      </c>
      <c r="J325" s="957">
        <v>5184</v>
      </c>
      <c r="K325" s="957"/>
      <c r="L325" s="428">
        <f>Tabela3[[#This Row],[VALOR
 EMPENHO]]-Tabela3[[#This Row],[ESTORNO]]</f>
        <v>5184</v>
      </c>
      <c r="M325" s="304">
        <f>SUMIFS('LIQUIDAÇÃO 2025'!K:K,'LIQUIDAÇÃO 2025'!B:B,Tabela3[[#This Row],[CÓDIGO
 EMPRESA ]],'LIQUIDAÇÃO 2025'!C:C,Tabela3[[#This Row],[EMPRESA]],'LIQUIDAÇÃO 2025'!F:F,Tabela3[[#This Row],[EMPENHO]])</f>
        <v>5184</v>
      </c>
      <c r="N325" s="69">
        <f t="shared" si="12"/>
        <v>0</v>
      </c>
    </row>
    <row r="326" spans="1:14">
      <c r="A326" s="951">
        <v>46021</v>
      </c>
      <c r="B326" s="952">
        <f>IFERROR(VLOOKUP(Tabela3[[#This Row],[RESERVA]],Tabela96[[RESERVA]:[PROJETO]],2,FALSE),"")</f>
        <v>30</v>
      </c>
      <c r="C326" s="953">
        <f>IFERROR(VLOOKUP(Tabela3[[#This Row],[RESERVA]],Tabela96[[RESERVA]:[PROJETO]],3,FALSE),"")</f>
        <v>2253</v>
      </c>
      <c r="D326" s="952">
        <f>IFERROR(VLOOKUP(Tabela3[[#This Row],[RESERVA]],Tabela96[[RESERVA]:[PROJETO]],4,FALSE),"")</f>
        <v>2124</v>
      </c>
      <c r="E326" s="952">
        <f>IFERROR(VLOOKUP(Tabela3[[#This Row],[RESERVA]],Tabela96[[RESERVA]:[PROJETO]],5,FALSE),"")</f>
        <v>25</v>
      </c>
      <c r="F326" s="954">
        <v>8516</v>
      </c>
      <c r="G326" s="954">
        <v>73112</v>
      </c>
      <c r="H326" s="955" t="s">
        <v>685</v>
      </c>
      <c r="I326" s="956">
        <v>28742</v>
      </c>
      <c r="J326" s="957">
        <v>7850000</v>
      </c>
      <c r="K326" s="957"/>
      <c r="L326" s="428">
        <f>Tabela3[[#This Row],[VALOR
 EMPENHO]]-Tabela3[[#This Row],[ESTORNO]]</f>
        <v>7850000</v>
      </c>
      <c r="M326" s="304">
        <f>SUMIFS('LIQUIDAÇÃO 2025'!K:K,'LIQUIDAÇÃO 2025'!B:B,Tabela3[[#This Row],[CÓDIGO
 EMPRESA ]],'LIQUIDAÇÃO 2025'!C:C,Tabela3[[#This Row],[EMPRESA]],'LIQUIDAÇÃO 2025'!F:F,Tabela3[[#This Row],[EMPENHO]])</f>
        <v>7850000</v>
      </c>
      <c r="N326" s="958">
        <f t="shared" si="12"/>
        <v>0</v>
      </c>
    </row>
    <row r="327" spans="1:14">
      <c r="A327" s="951">
        <v>46021</v>
      </c>
      <c r="B327" s="952">
        <f>IFERROR(VLOOKUP(Tabela3[[#This Row],[RESERVA]],Tabela96[[RESERVA]:[PROJETO]],2,FALSE),"")</f>
        <v>30</v>
      </c>
      <c r="C327" s="953">
        <f>IFERROR(VLOOKUP(Tabela3[[#This Row],[RESERVA]],Tabela96[[RESERVA]:[PROJETO]],3,FALSE),"")</f>
        <v>2253</v>
      </c>
      <c r="D327" s="952">
        <f>IFERROR(VLOOKUP(Tabela3[[#This Row],[RESERVA]],Tabela96[[RESERVA]:[PROJETO]],4,FALSE),"")</f>
        <v>2124</v>
      </c>
      <c r="E327" s="952">
        <f>IFERROR(VLOOKUP(Tabela3[[#This Row],[RESERVA]],Tabela96[[RESERVA]:[PROJETO]],5,FALSE),"")</f>
        <v>25</v>
      </c>
      <c r="F327" s="954">
        <v>2645</v>
      </c>
      <c r="G327" s="954">
        <v>103747</v>
      </c>
      <c r="H327" s="503" t="s">
        <v>371</v>
      </c>
      <c r="I327" s="956">
        <v>28743</v>
      </c>
      <c r="J327" s="957">
        <v>3713036.7</v>
      </c>
      <c r="K327" s="957"/>
      <c r="L327" s="428">
        <f>Tabela3[[#This Row],[VALOR
 EMPENHO]]-Tabela3[[#This Row],[ESTORNO]]</f>
        <v>3713036.7</v>
      </c>
      <c r="M327" s="304">
        <f>SUMIFS('LIQUIDAÇÃO 2025'!K:K,'LIQUIDAÇÃO 2025'!B:B,Tabela3[[#This Row],[CÓDIGO
 EMPRESA ]],'LIQUIDAÇÃO 2025'!C:C,Tabela3[[#This Row],[EMPRESA]],'LIQUIDAÇÃO 2025'!F:F,Tabela3[[#This Row],[EMPENHO]])</f>
        <v>3325944.6</v>
      </c>
      <c r="N327" s="958">
        <f t="shared" si="12"/>
        <v>387092.1</v>
      </c>
    </row>
    <row r="328" spans="1:14">
      <c r="A328" s="152">
        <v>46010</v>
      </c>
      <c r="B328" s="952">
        <f>IFERROR(VLOOKUP(Tabela3[[#This Row],[RESERVA]],Tabela96[[RESERVA]:[PROJETO]],2,FALSE),"")</f>
        <v>30</v>
      </c>
      <c r="C328" s="48">
        <v>3487</v>
      </c>
      <c r="D328" s="512">
        <f>IFERROR(VLOOKUP(Tabela3[[#This Row],[RESERVA]],Tabela96[[RESERVA]:[PROJETO]],4,FALSE),"")</f>
        <v>2124</v>
      </c>
      <c r="E328" s="512">
        <f>IFERROR(VLOOKUP(Tabela3[[#This Row],[RESERVA]],Tabela96[[RESERVA]:[PROJETO]],5,FALSE),"")</f>
        <v>25</v>
      </c>
      <c r="F328" s="36">
        <v>15525</v>
      </c>
      <c r="G328" s="36">
        <v>58778</v>
      </c>
      <c r="H328" s="503" t="s">
        <v>57</v>
      </c>
      <c r="I328" s="156">
        <v>28362</v>
      </c>
      <c r="J328" s="957">
        <v>194154.62</v>
      </c>
      <c r="K328" s="957"/>
      <c r="L328" s="428">
        <f>Tabela3[[#This Row],[VALOR
 EMPENHO]]-Tabela3[[#This Row],[ESTORNO]]</f>
        <v>194154.62</v>
      </c>
      <c r="M328" s="304">
        <f>SUMIFS('LIQUIDAÇÃO 2025'!K:K,'LIQUIDAÇÃO 2025'!B:B,Tabela3[[#This Row],[CÓDIGO
 EMPRESA ]],'LIQUIDAÇÃO 2025'!C:C,Tabela3[[#This Row],[EMPRESA]],'LIQUIDAÇÃO 2025'!F:F,Tabela3[[#This Row],[EMPENHO]])</f>
        <v>194154.62</v>
      </c>
      <c r="N328" s="683">
        <f t="shared" si="12"/>
        <v>0</v>
      </c>
    </row>
    <row r="329" spans="1:14" ht="15.75" thickBot="1">
      <c r="A329" s="77"/>
      <c r="B329" s="71"/>
      <c r="C329" s="71"/>
      <c r="D329" s="71"/>
      <c r="E329" s="71"/>
      <c r="F329" s="71"/>
      <c r="G329" s="72"/>
      <c r="H329" s="120"/>
      <c r="J329" s="101">
        <f>SUBTOTAL(9,J4:J328)</f>
        <v>191968623.38</v>
      </c>
      <c r="K329" s="101">
        <f>SUBTOTAL(9,K4:K328)</f>
        <v>8566866.3200000003</v>
      </c>
      <c r="L329" s="101">
        <f>SUBTOTAL(9,L4:L328)</f>
        <v>183401757.06</v>
      </c>
      <c r="M329" s="101">
        <f>SUBTOTAL(9,M4:M328)</f>
        <v>170273961.34</v>
      </c>
      <c r="N329" s="102">
        <f>SUBTOTAL(9,N4:N328)</f>
        <v>13126260.560000001</v>
      </c>
    </row>
    <row r="330" spans="1:14" ht="15.75" thickTop="1">
      <c r="M330"/>
    </row>
    <row r="331" spans="1:14">
      <c r="J331" s="10"/>
      <c r="M331" s="16"/>
    </row>
    <row r="332" spans="1:14">
      <c r="M332" s="11"/>
    </row>
    <row r="333" spans="1:14">
      <c r="H333" s="10" t="s">
        <v>163</v>
      </c>
      <c r="J333" s="66"/>
      <c r="M333" s="16"/>
    </row>
    <row r="334" spans="1:14">
      <c r="H334" s="10"/>
      <c r="J334" s="15"/>
      <c r="M334" s="305"/>
    </row>
    <row r="335" spans="1:14">
      <c r="H335" s="10"/>
      <c r="J335" s="577"/>
    </row>
    <row r="336" spans="1:14">
      <c r="J336" s="303"/>
    </row>
    <row r="337" spans="9:13">
      <c r="J337" s="15"/>
    </row>
    <row r="339" spans="9:13">
      <c r="I339" s="16"/>
      <c r="J339" s="303"/>
      <c r="K339" s="16"/>
      <c r="L339" s="16"/>
    </row>
    <row r="340" spans="9:13">
      <c r="I340" s="16"/>
      <c r="J340" s="303"/>
      <c r="M340"/>
    </row>
    <row r="341" spans="9:13">
      <c r="I341" s="16"/>
      <c r="M341"/>
    </row>
    <row r="342" spans="9:13">
      <c r="I342" s="16"/>
      <c r="M342"/>
    </row>
    <row r="343" spans="9:13">
      <c r="I343" s="16"/>
      <c r="M343"/>
    </row>
    <row r="344" spans="9:13">
      <c r="I344" s="16"/>
      <c r="M344"/>
    </row>
    <row r="345" spans="9:13">
      <c r="I345" s="16"/>
      <c r="M345"/>
    </row>
    <row r="346" spans="9:13">
      <c r="M346"/>
    </row>
    <row r="347" spans="9:13">
      <c r="M347"/>
    </row>
    <row r="348" spans="9:13">
      <c r="M348"/>
    </row>
    <row r="349" spans="9:13">
      <c r="M349"/>
    </row>
    <row r="350" spans="9:13">
      <c r="M350"/>
    </row>
    <row r="351" spans="9:13">
      <c r="M351"/>
    </row>
    <row r="352" spans="9:13">
      <c r="M352"/>
    </row>
    <row r="353" spans="13:13">
      <c r="M353"/>
    </row>
    <row r="354" spans="13:13">
      <c r="M354"/>
    </row>
    <row r="355" spans="13:13">
      <c r="M355"/>
    </row>
    <row r="356" spans="13:13">
      <c r="M356"/>
    </row>
    <row r="357" spans="13:13">
      <c r="M357"/>
    </row>
    <row r="358" spans="13:13">
      <c r="M358"/>
    </row>
    <row r="359" spans="13:13">
      <c r="M359"/>
    </row>
    <row r="360" spans="13:13">
      <c r="M360"/>
    </row>
    <row r="361" spans="13:13">
      <c r="M361"/>
    </row>
    <row r="362" spans="13:13">
      <c r="M362"/>
    </row>
    <row r="363" spans="13:13">
      <c r="M363"/>
    </row>
    <row r="364" spans="13:13">
      <c r="M364"/>
    </row>
    <row r="365" spans="13:13">
      <c r="M365"/>
    </row>
    <row r="366" spans="13:13">
      <c r="M366"/>
    </row>
    <row r="367" spans="13:13">
      <c r="M367"/>
    </row>
    <row r="368" spans="13:13">
      <c r="M368"/>
    </row>
    <row r="369" spans="13:13">
      <c r="M369"/>
    </row>
    <row r="370" spans="13:13">
      <c r="M370"/>
    </row>
    <row r="371" spans="13:13">
      <c r="M371"/>
    </row>
    <row r="372" spans="13:13">
      <c r="M372"/>
    </row>
    <row r="373" spans="13:13">
      <c r="M373"/>
    </row>
    <row r="374" spans="13:13">
      <c r="M374"/>
    </row>
    <row r="375" spans="13:13">
      <c r="M375"/>
    </row>
    <row r="376" spans="13:13">
      <c r="M376"/>
    </row>
    <row r="377" spans="13:13">
      <c r="M377"/>
    </row>
    <row r="378" spans="13:13">
      <c r="M378"/>
    </row>
    <row r="379" spans="13:13">
      <c r="M379"/>
    </row>
    <row r="380" spans="13:13">
      <c r="M380"/>
    </row>
    <row r="381" spans="13:13">
      <c r="M381"/>
    </row>
    <row r="382" spans="13:13">
      <c r="M382"/>
    </row>
    <row r="383" spans="13:13">
      <c r="M383"/>
    </row>
    <row r="384" spans="13:13">
      <c r="M384"/>
    </row>
    <row r="385" spans="13:13">
      <c r="M385"/>
    </row>
    <row r="386" spans="13:13">
      <c r="M386"/>
    </row>
    <row r="387" spans="13:13">
      <c r="M387"/>
    </row>
    <row r="388" spans="13:13">
      <c r="M388"/>
    </row>
    <row r="389" spans="13:13">
      <c r="M389"/>
    </row>
    <row r="390" spans="13:13">
      <c r="M390"/>
    </row>
    <row r="391" spans="13:13">
      <c r="M391"/>
    </row>
    <row r="392" spans="13:13">
      <c r="M392"/>
    </row>
    <row r="393" spans="13:13">
      <c r="M393"/>
    </row>
    <row r="394" spans="13:13">
      <c r="M394"/>
    </row>
    <row r="395" spans="13:13">
      <c r="M395"/>
    </row>
    <row r="396" spans="13:13">
      <c r="M396"/>
    </row>
    <row r="397" spans="13:13">
      <c r="M397"/>
    </row>
    <row r="398" spans="13:13">
      <c r="M398"/>
    </row>
    <row r="399" spans="13:13">
      <c r="M399"/>
    </row>
    <row r="400" spans="13:13">
      <c r="M400"/>
    </row>
    <row r="401" spans="13:13">
      <c r="M401"/>
    </row>
    <row r="402" spans="13:13">
      <c r="M402"/>
    </row>
    <row r="403" spans="13:13">
      <c r="M403"/>
    </row>
    <row r="404" spans="13:13">
      <c r="M404"/>
    </row>
    <row r="405" spans="13:13">
      <c r="M405"/>
    </row>
    <row r="406" spans="13:13">
      <c r="M406"/>
    </row>
    <row r="407" spans="13:13">
      <c r="M407"/>
    </row>
    <row r="408" spans="13:13">
      <c r="M408"/>
    </row>
    <row r="409" spans="13:13">
      <c r="M409"/>
    </row>
    <row r="410" spans="13:13">
      <c r="M410"/>
    </row>
    <row r="411" spans="13:13">
      <c r="M411"/>
    </row>
    <row r="412" spans="13:13">
      <c r="M412"/>
    </row>
    <row r="413" spans="13:13">
      <c r="M413"/>
    </row>
    <row r="414" spans="13:13">
      <c r="M414"/>
    </row>
    <row r="415" spans="13:13">
      <c r="M415"/>
    </row>
    <row r="416" spans="13:13">
      <c r="M416"/>
    </row>
    <row r="417" spans="13:13">
      <c r="M417"/>
    </row>
    <row r="418" spans="13:13">
      <c r="M418"/>
    </row>
    <row r="419" spans="13:13">
      <c r="M419"/>
    </row>
    <row r="420" spans="13:13">
      <c r="M420"/>
    </row>
    <row r="421" spans="13:13">
      <c r="M421"/>
    </row>
    <row r="422" spans="13:13">
      <c r="M422"/>
    </row>
    <row r="423" spans="13:13">
      <c r="M423"/>
    </row>
    <row r="424" spans="13:13">
      <c r="M424"/>
    </row>
    <row r="425" spans="13:13">
      <c r="M425"/>
    </row>
    <row r="426" spans="13:13">
      <c r="M426"/>
    </row>
    <row r="427" spans="13:13">
      <c r="M427"/>
    </row>
    <row r="428" spans="13:13">
      <c r="M428"/>
    </row>
    <row r="429" spans="13:13">
      <c r="M429"/>
    </row>
    <row r="430" spans="13:13">
      <c r="M430"/>
    </row>
    <row r="431" spans="13:13">
      <c r="M431"/>
    </row>
    <row r="432" spans="13:13">
      <c r="M432"/>
    </row>
    <row r="433" spans="13:13">
      <c r="M433"/>
    </row>
    <row r="434" spans="13:13">
      <c r="M434"/>
    </row>
    <row r="435" spans="13:13">
      <c r="M435"/>
    </row>
    <row r="436" spans="13:13">
      <c r="M436"/>
    </row>
    <row r="437" spans="13:13">
      <c r="M437"/>
    </row>
    <row r="438" spans="13:13">
      <c r="M438"/>
    </row>
    <row r="439" spans="13:13">
      <c r="M439"/>
    </row>
    <row r="440" spans="13:13">
      <c r="M440"/>
    </row>
    <row r="441" spans="13:13">
      <c r="M441"/>
    </row>
    <row r="442" spans="13:13">
      <c r="M442"/>
    </row>
    <row r="443" spans="13:13">
      <c r="M443"/>
    </row>
    <row r="444" spans="13:13">
      <c r="M444"/>
    </row>
    <row r="445" spans="13:13">
      <c r="M445"/>
    </row>
    <row r="446" spans="13:13">
      <c r="M446"/>
    </row>
    <row r="447" spans="13:13">
      <c r="M447"/>
    </row>
    <row r="448" spans="13:13">
      <c r="M448"/>
    </row>
    <row r="449" spans="13:13">
      <c r="M449"/>
    </row>
    <row r="450" spans="13:13">
      <c r="M450"/>
    </row>
    <row r="451" spans="13:13">
      <c r="M451"/>
    </row>
    <row r="452" spans="13:13">
      <c r="M452"/>
    </row>
    <row r="453" spans="13:13">
      <c r="M453"/>
    </row>
    <row r="454" spans="13:13">
      <c r="M454"/>
    </row>
    <row r="455" spans="13:13">
      <c r="M455"/>
    </row>
    <row r="456" spans="13:13">
      <c r="M456"/>
    </row>
    <row r="457" spans="13:13">
      <c r="M457"/>
    </row>
    <row r="458" spans="13:13">
      <c r="M458"/>
    </row>
    <row r="459" spans="13:13">
      <c r="M459"/>
    </row>
    <row r="460" spans="13:13">
      <c r="M460"/>
    </row>
    <row r="461" spans="13:13">
      <c r="M461"/>
    </row>
    <row r="462" spans="13:13">
      <c r="M462"/>
    </row>
    <row r="463" spans="13:13">
      <c r="M463"/>
    </row>
    <row r="464" spans="13:13">
      <c r="M464"/>
    </row>
    <row r="465" spans="13:13">
      <c r="M465"/>
    </row>
    <row r="466" spans="13:13">
      <c r="M466"/>
    </row>
    <row r="467" spans="13:13">
      <c r="M467"/>
    </row>
    <row r="468" spans="13:13">
      <c r="M468"/>
    </row>
    <row r="469" spans="13:13">
      <c r="M469"/>
    </row>
    <row r="470" spans="13:13">
      <c r="M470"/>
    </row>
    <row r="471" spans="13:13">
      <c r="M471"/>
    </row>
    <row r="472" spans="13:13">
      <c r="M472"/>
    </row>
    <row r="473" spans="13:13">
      <c r="M473"/>
    </row>
    <row r="474" spans="13:13">
      <c r="M474"/>
    </row>
    <row r="475" spans="13:13">
      <c r="M475"/>
    </row>
    <row r="476" spans="13:13">
      <c r="M476"/>
    </row>
    <row r="477" spans="13:13">
      <c r="M477"/>
    </row>
    <row r="478" spans="13:13">
      <c r="M478"/>
    </row>
    <row r="479" spans="13:13">
      <c r="M479"/>
    </row>
    <row r="480" spans="13:13">
      <c r="M480"/>
    </row>
    <row r="481" spans="13:13">
      <c r="M481"/>
    </row>
    <row r="482" spans="13:13">
      <c r="M482"/>
    </row>
    <row r="483" spans="13:13">
      <c r="M483"/>
    </row>
    <row r="484" spans="13:13">
      <c r="M484"/>
    </row>
    <row r="485" spans="13:13">
      <c r="M485"/>
    </row>
    <row r="486" spans="13:13">
      <c r="M486"/>
    </row>
    <row r="487" spans="13:13">
      <c r="M487"/>
    </row>
    <row r="488" spans="13:13">
      <c r="M488"/>
    </row>
    <row r="489" spans="13:13">
      <c r="M489"/>
    </row>
    <row r="490" spans="13:13">
      <c r="M490"/>
    </row>
    <row r="491" spans="13:13">
      <c r="M491"/>
    </row>
    <row r="492" spans="13:13">
      <c r="M492"/>
    </row>
    <row r="493" spans="13:13">
      <c r="M493"/>
    </row>
    <row r="494" spans="13:13">
      <c r="M494"/>
    </row>
    <row r="495" spans="13:13">
      <c r="M495"/>
    </row>
    <row r="496" spans="13:13">
      <c r="M496"/>
    </row>
    <row r="497" spans="13:13">
      <c r="M497"/>
    </row>
    <row r="498" spans="13:13">
      <c r="M498"/>
    </row>
    <row r="499" spans="13:13">
      <c r="M499"/>
    </row>
    <row r="500" spans="13:13">
      <c r="M500"/>
    </row>
    <row r="501" spans="13:13">
      <c r="M501"/>
    </row>
    <row r="502" spans="13:13">
      <c r="M502"/>
    </row>
    <row r="503" spans="13:13">
      <c r="M503"/>
    </row>
    <row r="504" spans="13:13">
      <c r="M504"/>
    </row>
    <row r="505" spans="13:13">
      <c r="M505"/>
    </row>
    <row r="506" spans="13:13">
      <c r="M506"/>
    </row>
    <row r="507" spans="13:13">
      <c r="M507"/>
    </row>
    <row r="508" spans="13:13">
      <c r="M508"/>
    </row>
    <row r="509" spans="13:13">
      <c r="M509"/>
    </row>
    <row r="510" spans="13:13">
      <c r="M510"/>
    </row>
    <row r="511" spans="13:13">
      <c r="M511"/>
    </row>
    <row r="512" spans="13:13">
      <c r="M512"/>
    </row>
    <row r="513" spans="13:13">
      <c r="M513"/>
    </row>
    <row r="514" spans="13:13">
      <c r="M514"/>
    </row>
    <row r="515" spans="13:13">
      <c r="M515"/>
    </row>
    <row r="516" spans="13:13">
      <c r="M516"/>
    </row>
    <row r="517" spans="13:13">
      <c r="M517"/>
    </row>
    <row r="518" spans="13:13">
      <c r="M518"/>
    </row>
    <row r="519" spans="13:13">
      <c r="M519"/>
    </row>
    <row r="520" spans="13:13">
      <c r="M520"/>
    </row>
    <row r="521" spans="13:13">
      <c r="M521"/>
    </row>
    <row r="522" spans="13:13">
      <c r="M522"/>
    </row>
    <row r="523" spans="13:13">
      <c r="M523"/>
    </row>
    <row r="524" spans="13:13">
      <c r="M524"/>
    </row>
    <row r="525" spans="13:13">
      <c r="M525"/>
    </row>
    <row r="526" spans="13:13">
      <c r="M526"/>
    </row>
    <row r="527" spans="13:13">
      <c r="M527"/>
    </row>
    <row r="528" spans="13:13">
      <c r="M528"/>
    </row>
    <row r="529" spans="13:13">
      <c r="M529"/>
    </row>
    <row r="530" spans="13:13">
      <c r="M530"/>
    </row>
    <row r="531" spans="13:13">
      <c r="M531"/>
    </row>
    <row r="532" spans="13:13">
      <c r="M532"/>
    </row>
    <row r="533" spans="13:13">
      <c r="M533"/>
    </row>
    <row r="534" spans="13:13">
      <c r="M534"/>
    </row>
    <row r="535" spans="13:13">
      <c r="M535"/>
    </row>
    <row r="536" spans="13:13">
      <c r="M536"/>
    </row>
    <row r="537" spans="13:13">
      <c r="M537"/>
    </row>
    <row r="538" spans="13:13">
      <c r="M538"/>
    </row>
    <row r="539" spans="13:13">
      <c r="M539"/>
    </row>
    <row r="540" spans="13:13">
      <c r="M540"/>
    </row>
    <row r="541" spans="13:13">
      <c r="M541"/>
    </row>
    <row r="542" spans="13:13">
      <c r="M542"/>
    </row>
    <row r="543" spans="13:13">
      <c r="M543"/>
    </row>
    <row r="544" spans="13:13">
      <c r="M544"/>
    </row>
    <row r="545" spans="13:13">
      <c r="M545"/>
    </row>
    <row r="546" spans="13:13">
      <c r="M546"/>
    </row>
    <row r="547" spans="13:13">
      <c r="M547"/>
    </row>
    <row r="548" spans="13:13">
      <c r="M548"/>
    </row>
    <row r="549" spans="13:13">
      <c r="M549"/>
    </row>
    <row r="550" spans="13:13">
      <c r="M550"/>
    </row>
    <row r="551" spans="13:13">
      <c r="M551"/>
    </row>
    <row r="552" spans="13:13">
      <c r="M552"/>
    </row>
    <row r="553" spans="13:13">
      <c r="M553"/>
    </row>
    <row r="554" spans="13:13">
      <c r="M554"/>
    </row>
    <row r="555" spans="13:13">
      <c r="M555"/>
    </row>
    <row r="556" spans="13:13">
      <c r="M556"/>
    </row>
    <row r="557" spans="13:13">
      <c r="M557"/>
    </row>
    <row r="558" spans="13:13">
      <c r="M558"/>
    </row>
    <row r="559" spans="13:13">
      <c r="M559"/>
    </row>
    <row r="560" spans="13:13">
      <c r="M560"/>
    </row>
    <row r="561" spans="13:13">
      <c r="M561"/>
    </row>
    <row r="562" spans="13:13">
      <c r="M562"/>
    </row>
    <row r="563" spans="13:13">
      <c r="M563"/>
    </row>
    <row r="564" spans="13:13">
      <c r="M564"/>
    </row>
    <row r="565" spans="13:13">
      <c r="M565"/>
    </row>
    <row r="566" spans="13:13">
      <c r="M566"/>
    </row>
    <row r="567" spans="13:13">
      <c r="M567"/>
    </row>
    <row r="568" spans="13:13">
      <c r="M568"/>
    </row>
    <row r="569" spans="13:13">
      <c r="M569"/>
    </row>
    <row r="570" spans="13:13">
      <c r="M570"/>
    </row>
    <row r="571" spans="13:13">
      <c r="M571"/>
    </row>
    <row r="572" spans="13:13">
      <c r="M572"/>
    </row>
    <row r="573" spans="13:13">
      <c r="M573"/>
    </row>
    <row r="574" spans="13:13">
      <c r="M574"/>
    </row>
    <row r="575" spans="13:13">
      <c r="M575"/>
    </row>
    <row r="576" spans="13:13">
      <c r="M576"/>
    </row>
    <row r="577" spans="13:13">
      <c r="M577"/>
    </row>
  </sheetData>
  <sheetProtection formatCells="0" formatColumns="0" formatRows="0" insertColumns="0" insertRows="0" insertHyperlinks="0" sort="0" autoFilter="0" pivotTables="0"/>
  <mergeCells count="1">
    <mergeCell ref="G2:H2"/>
  </mergeCells>
  <phoneticPr fontId="9" type="noConversion"/>
  <conditionalFormatting sqref="N4:N328">
    <cfRule type="cellIs" dxfId="381" priority="14" operator="equal">
      <formula>0</formula>
    </cfRule>
    <cfRule type="cellIs" dxfId="380" priority="15" operator="lessThan">
      <formula>0</formula>
    </cfRule>
    <cfRule type="cellIs" dxfId="379" priority="16" operator="greaterThan">
      <formula>0</formula>
    </cfRule>
  </conditionalFormatting>
  <dataValidations xWindow="329" yWindow="650" count="2">
    <dataValidation allowBlank="1" showInputMessage="1" showErrorMessage="1" promptTitle="*** ATENÇAÕ ***" prompt="ESTA CÉLULA CONTÉM FÓRMULA, NÃO DIGITE VALORES NELA!" sqref="K29 M4:N328" xr:uid="{EA67B99E-78AF-4270-8A89-21035DE01737}"/>
    <dataValidation allowBlank="1" showInputMessage="1" showErrorMessage="1" promptTitle="*** ATENÇÃO ***" prompt="ESTA CÉLULA CONTÉM FORMULA, POR FAVOR NÃO DIGITAR NADA NELA !" sqref="B4:E328" xr:uid="{50D389B0-B63A-422B-A995-CE271054085F}"/>
  </dataValidations>
  <pageMargins left="0.511811024" right="0.511811024" top="0.78740157499999996" bottom="0.78740157499999996" header="0.31496062000000002" footer="0.31496062000000002"/>
  <pageSetup paperSize="9" scale="13"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6">
    <tabColor theme="8" tint="0.39997558519241921"/>
    <pageSetUpPr fitToPage="1"/>
  </sheetPr>
  <dimension ref="A1:X661"/>
  <sheetViews>
    <sheetView showGridLines="0" tabSelected="1" topLeftCell="E1" zoomScale="86" zoomScaleNormal="86" zoomScaleSheetLayoutView="50" workbookViewId="0">
      <pane ySplit="5" topLeftCell="A628" activePane="bottomLeft" state="frozen"/>
      <selection pane="bottomLeft" activeCell="S636" sqref="S636"/>
    </sheetView>
  </sheetViews>
  <sheetFormatPr defaultColWidth="23.28515625" defaultRowHeight="15"/>
  <cols>
    <col min="1" max="1" width="14.85546875" customWidth="1"/>
    <col min="2" max="2" width="14.28515625" customWidth="1"/>
    <col min="3" max="3" width="63.28515625" style="44" customWidth="1"/>
    <col min="4" max="4" width="30.7109375" bestFit="1" customWidth="1"/>
    <col min="5" max="5" width="22" bestFit="1" customWidth="1"/>
    <col min="6" max="6" width="16.42578125" style="17" bestFit="1" customWidth="1"/>
    <col min="7" max="7" width="27.5703125" customWidth="1"/>
    <col min="8" max="8" width="16.42578125" style="44" customWidth="1"/>
    <col min="9" max="9" width="16.7109375" bestFit="1" customWidth="1"/>
    <col min="10" max="10" width="15.140625" customWidth="1"/>
    <col min="11" max="11" width="15.5703125" style="11" customWidth="1"/>
    <col min="12" max="12" width="16.85546875" style="11" customWidth="1"/>
    <col min="13" max="13" width="14.42578125" style="11" customWidth="1"/>
    <col min="14" max="14" width="20.7109375" style="271" customWidth="1"/>
    <col min="15" max="15" width="15.5703125" style="10" customWidth="1"/>
    <col min="16" max="16" width="13.28515625" customWidth="1"/>
    <col min="17" max="17" width="13.28515625" bestFit="1" customWidth="1"/>
    <col min="18" max="18" width="17.7109375" style="39" customWidth="1"/>
    <col min="19" max="19" width="15.7109375" style="272" customWidth="1"/>
    <col min="20" max="20" width="30.28515625" style="272" customWidth="1"/>
    <col min="21" max="21" width="7.85546875" hidden="1" customWidth="1"/>
    <col min="22" max="22" width="5" customWidth="1"/>
  </cols>
  <sheetData>
    <row r="1" spans="1:23" s="47" customFormat="1" ht="87" customHeight="1">
      <c r="A1" s="2"/>
      <c r="B1" s="2"/>
      <c r="C1" s="43"/>
      <c r="D1" s="1"/>
      <c r="E1" s="1"/>
      <c r="F1" s="32"/>
      <c r="G1" s="2"/>
      <c r="H1" s="4"/>
      <c r="I1" s="45"/>
      <c r="J1" s="45"/>
      <c r="K1" s="395"/>
      <c r="L1" s="395"/>
      <c r="M1" s="395"/>
      <c r="N1" s="3"/>
      <c r="O1" s="377"/>
      <c r="P1" s="3"/>
      <c r="Q1" s="4"/>
      <c r="R1" s="42"/>
      <c r="S1" s="5"/>
      <c r="T1" s="5"/>
      <c r="U1" s="46" t="s">
        <v>77</v>
      </c>
      <c r="V1" s="267"/>
      <c r="W1"/>
    </row>
    <row r="2" spans="1:23" s="47" customFormat="1" ht="21" customHeight="1">
      <c r="A2" s="2"/>
      <c r="B2" s="237"/>
      <c r="C2" s="278"/>
      <c r="D2" s="1"/>
      <c r="E2" s="1"/>
      <c r="F2" s="32"/>
      <c r="G2" s="2"/>
      <c r="H2" s="4"/>
      <c r="I2" s="45"/>
      <c r="J2" s="45"/>
      <c r="K2" s="395"/>
      <c r="L2" s="395"/>
      <c r="M2" s="395"/>
      <c r="N2" s="3"/>
      <c r="O2" s="377"/>
      <c r="P2" s="3"/>
      <c r="Q2" s="4"/>
      <c r="R2" s="42"/>
      <c r="S2" s="5"/>
      <c r="T2" s="5"/>
      <c r="U2" s="46"/>
      <c r="V2" s="267"/>
      <c r="W2"/>
    </row>
    <row r="3" spans="1:23" s="47" customFormat="1">
      <c r="A3" s="2"/>
      <c r="B3" s="312"/>
      <c r="C3" s="313"/>
      <c r="D3" s="1"/>
      <c r="E3" s="1"/>
      <c r="F3" s="32"/>
      <c r="G3" s="2"/>
      <c r="H3" s="4"/>
      <c r="I3" s="45"/>
      <c r="J3" s="45"/>
      <c r="K3" s="395"/>
      <c r="L3" s="395"/>
      <c r="M3" s="395"/>
      <c r="N3" s="3"/>
      <c r="O3" s="377"/>
      <c r="P3" s="3"/>
      <c r="Q3" s="4"/>
      <c r="R3" s="239" t="s">
        <v>140</v>
      </c>
      <c r="S3" s="240">
        <f ca="1">TODAY()</f>
        <v>46063</v>
      </c>
      <c r="T3" s="238"/>
      <c r="U3" s="46"/>
      <c r="V3" s="267"/>
      <c r="W3"/>
    </row>
    <row r="4" spans="1:23" s="47" customFormat="1">
      <c r="A4" s="218"/>
      <c r="B4" s="1057"/>
      <c r="C4" s="1057"/>
      <c r="D4" s="219"/>
      <c r="E4" s="1"/>
      <c r="F4" s="32"/>
      <c r="G4" s="2"/>
      <c r="H4" s="4"/>
      <c r="I4" s="45"/>
      <c r="J4" s="45"/>
      <c r="K4" s="395"/>
      <c r="L4" s="395"/>
      <c r="M4" s="395"/>
      <c r="N4" s="3"/>
      <c r="O4" s="377"/>
      <c r="P4" s="3"/>
      <c r="Q4" s="4"/>
      <c r="R4" s="42"/>
      <c r="U4" s="219"/>
      <c r="V4" s="267"/>
      <c r="W4"/>
    </row>
    <row r="5" spans="1:23" s="39" customFormat="1" ht="45" customHeight="1">
      <c r="A5" s="26" t="s">
        <v>128</v>
      </c>
      <c r="B5" s="26" t="s">
        <v>129</v>
      </c>
      <c r="C5" s="27" t="s">
        <v>1</v>
      </c>
      <c r="D5" s="28" t="s">
        <v>3</v>
      </c>
      <c r="E5" s="28" t="s">
        <v>99</v>
      </c>
      <c r="F5" s="33" t="s">
        <v>7</v>
      </c>
      <c r="G5" s="26" t="s">
        <v>0</v>
      </c>
      <c r="H5" s="27" t="s">
        <v>123</v>
      </c>
      <c r="I5" s="29" t="s">
        <v>95</v>
      </c>
      <c r="J5" s="29" t="s">
        <v>41</v>
      </c>
      <c r="K5" s="396" t="s">
        <v>4</v>
      </c>
      <c r="L5" s="396" t="s">
        <v>11</v>
      </c>
      <c r="M5" s="396" t="s">
        <v>5</v>
      </c>
      <c r="N5" s="29" t="s">
        <v>12</v>
      </c>
      <c r="O5" s="378" t="s">
        <v>92</v>
      </c>
      <c r="P5" s="29" t="s">
        <v>90</v>
      </c>
      <c r="Q5" s="27" t="s">
        <v>2</v>
      </c>
      <c r="R5" s="41" t="s">
        <v>91</v>
      </c>
      <c r="S5" s="35" t="s">
        <v>159</v>
      </c>
      <c r="T5" s="35" t="s">
        <v>570</v>
      </c>
      <c r="U5" s="261" t="s">
        <v>72</v>
      </c>
      <c r="V5" s="268"/>
      <c r="W5"/>
    </row>
    <row r="6" spans="1:23" s="52" customFormat="1" ht="24" customHeight="1">
      <c r="A6" s="110">
        <v>45700</v>
      </c>
      <c r="B6" s="105">
        <v>46674</v>
      </c>
      <c r="C6" s="688" t="str">
        <f>IFERROR(VLOOKUP(Tabela13[[#This Row],[CÓD. EMPRESA]],Tabela3[[CÓDIGO
 EMPRESA ]:[EMPRESA]],2,FALSE),"")</f>
        <v>NOA SERVICOS E LOCACAO LTDA</v>
      </c>
      <c r="D6" s="112" t="s">
        <v>324</v>
      </c>
      <c r="E6" s="112" t="s">
        <v>437</v>
      </c>
      <c r="F6" s="140">
        <v>3702</v>
      </c>
      <c r="G6" s="432">
        <v>1624</v>
      </c>
      <c r="H6" s="165" t="s">
        <v>43</v>
      </c>
      <c r="I6" s="146">
        <v>45658</v>
      </c>
      <c r="J6" s="110">
        <v>45688</v>
      </c>
      <c r="K6" s="397">
        <v>153616.32000000001</v>
      </c>
      <c r="L6" s="398">
        <f>Tabela13[[#This Row],[VALOR
 BRUTO ]]-Tabela13[[#This Row],[VALOR 
LIQUIDO ]]</f>
        <v>7988.05</v>
      </c>
      <c r="M6" s="399">
        <f>Tabela13[[#This Row],[VALORES PAGOS 
(FORMA PAGTO)]]</f>
        <v>145628.26999999999</v>
      </c>
      <c r="N6" s="110">
        <v>45726</v>
      </c>
      <c r="O6" s="389">
        <v>145628.26999999999</v>
      </c>
      <c r="P6" s="146">
        <v>45737</v>
      </c>
      <c r="Q6" s="108" t="str" cm="1">
        <f t="array" aca="1" ref="Q6" ca="1">IF($P6&lt;&gt;"","PAGO",IF($N6&lt;TODAY(),"ATRASADO",IF($N6&gt;TODAY(),"NO PRAZO",IF($N6=TODAY(),"NO PRAZO",SE))))</f>
        <v>PAGO</v>
      </c>
      <c r="R6" s="150" t="str">
        <f t="shared" ref="R6:R69" ca="1" si="0">IF(Q6="ATRASADO",N6-TODAY(),IF(Q6="NO PRAZO",N6-TODAY(),IF(Q6="PAGO","")))</f>
        <v/>
      </c>
      <c r="S6" s="147"/>
      <c r="T6" s="106" t="s">
        <v>141</v>
      </c>
      <c r="U6" s="264">
        <f ca="1">SUBTOTAL(3,Tabela13[[#This Row],[STATUS]])</f>
        <v>1</v>
      </c>
      <c r="V6" s="269"/>
    </row>
    <row r="7" spans="1:23" s="52" customFormat="1" ht="24" customHeight="1">
      <c r="A7" s="110">
        <v>45701</v>
      </c>
      <c r="B7" s="105">
        <v>118229</v>
      </c>
      <c r="C7" s="688" t="str">
        <f>IFERROR(VLOOKUP(Tabela13[[#This Row],[CÓD. EMPRESA]],Tabela3[[CÓDIGO
 EMPRESA ]:[EMPRESA]],2,FALSE),"")</f>
        <v>COOPERATIVA DE TRABALHO DAS CATADORAS E CATADORES DE MATERIAIS RECICLAVEIS LUTA E VIDA</v>
      </c>
      <c r="D7" s="112" t="s">
        <v>330</v>
      </c>
      <c r="E7" s="112" t="s">
        <v>498</v>
      </c>
      <c r="F7" s="140">
        <v>3693</v>
      </c>
      <c r="G7" s="107">
        <v>6</v>
      </c>
      <c r="H7" s="165" t="s">
        <v>43</v>
      </c>
      <c r="I7" s="146">
        <v>45658</v>
      </c>
      <c r="J7" s="110">
        <v>45688</v>
      </c>
      <c r="K7" s="397">
        <v>30930.76</v>
      </c>
      <c r="L7" s="398">
        <f>Tabela13[[#This Row],[VALOR
 BRUTO ]]-Tabela13[[#This Row],[VALOR 
LIQUIDO ]]</f>
        <v>1546.54</v>
      </c>
      <c r="M7" s="399">
        <f>Tabela13[[#This Row],[VALORES PAGOS 
(FORMA PAGTO)]]</f>
        <v>29384.22</v>
      </c>
      <c r="N7" s="110">
        <v>45727</v>
      </c>
      <c r="O7" s="380">
        <v>29384.22</v>
      </c>
      <c r="P7" s="146">
        <v>45722</v>
      </c>
      <c r="Q7" s="108" t="str" cm="1">
        <f t="array" aca="1" ref="Q7" ca="1">IF($P7&lt;&gt;"","PAGO",IF($N7&lt;TODAY(),"ATRASADO",IF($N7&gt;TODAY(),"NO PRAZO",IF($N7=TODAY(),"NO PRAZO",SE))))</f>
        <v>PAGO</v>
      </c>
      <c r="R7" s="150" t="str">
        <f t="shared" ca="1" si="0"/>
        <v/>
      </c>
      <c r="S7" s="198"/>
      <c r="T7" s="314"/>
      <c r="U7" s="264">
        <f ca="1">SUBTOTAL(3,Tabela13[[#This Row],[STATUS]])</f>
        <v>1</v>
      </c>
      <c r="V7" s="269"/>
      <c r="W7" s="612"/>
    </row>
    <row r="8" spans="1:23" s="52" customFormat="1" ht="24" customHeight="1">
      <c r="A8" s="110">
        <v>45701</v>
      </c>
      <c r="B8" s="105">
        <v>118247</v>
      </c>
      <c r="C8" s="688" t="str">
        <f>IFERROR(VLOOKUP(Tabela13[[#This Row],[CÓD. EMPRESA]],Tabela3[[CÓDIGO
 EMPRESA ]:[EMPRESA]],2,FALSE),"")</f>
        <v>COOPERATIVA DE TRABALHO DE CATADORAS DE CATADORES DE MATERIAIS RECICLAVEIS GUARULHOS RECICLA</v>
      </c>
      <c r="D8" s="112" t="s">
        <v>331</v>
      </c>
      <c r="E8" s="112" t="s">
        <v>500</v>
      </c>
      <c r="F8" s="140">
        <v>3899</v>
      </c>
      <c r="G8" s="109">
        <v>2</v>
      </c>
      <c r="H8" s="165" t="s">
        <v>43</v>
      </c>
      <c r="I8" s="146">
        <v>45658</v>
      </c>
      <c r="J8" s="110">
        <v>45688</v>
      </c>
      <c r="K8" s="401">
        <v>77968.39</v>
      </c>
      <c r="L8" s="398">
        <f>Tabela13[[#This Row],[VALOR
 BRUTO ]]-Tabela13[[#This Row],[VALOR 
LIQUIDO ]]</f>
        <v>3898.42</v>
      </c>
      <c r="M8" s="399">
        <f>Tabela13[[#This Row],[VALORES PAGOS 
(FORMA PAGTO)]]</f>
        <v>74069.97</v>
      </c>
      <c r="N8" s="110">
        <v>45727</v>
      </c>
      <c r="O8" s="380">
        <v>74069.97</v>
      </c>
      <c r="P8" s="146">
        <v>45722</v>
      </c>
      <c r="Q8" s="108" t="str" cm="1">
        <f t="array" aca="1" ref="Q8" ca="1">IF($P8&lt;&gt;"","PAGO",IF($N8&lt;TODAY(),"ATRASADO",IF($N8&gt;TODAY(),"NO PRAZO",IF($N8=TODAY(),"NO PRAZO",SE))))</f>
        <v>PAGO</v>
      </c>
      <c r="R8" s="150" t="str">
        <f t="shared" ca="1" si="0"/>
        <v/>
      </c>
      <c r="S8" s="198"/>
      <c r="T8" s="314"/>
      <c r="U8" s="264">
        <f ca="1">SUBTOTAL(3,Tabela13[[#This Row],[STATUS]])</f>
        <v>1</v>
      </c>
      <c r="V8" s="269"/>
    </row>
    <row r="9" spans="1:23" s="52" customFormat="1" ht="24" customHeight="1">
      <c r="A9" s="110">
        <v>45701</v>
      </c>
      <c r="B9" s="105">
        <v>119151</v>
      </c>
      <c r="C9" s="688" t="str">
        <f>IFERROR(VLOOKUP(Tabela13[[#This Row],[CÓD. EMPRESA]],Tabela3[[CÓDIGO
 EMPRESA ]:[EMPRESA]],2,FALSE),"")</f>
        <v>COOPERATIVA DE TRABALHO DE CATADORAS E CATADORES DE MATERIAIS RECICLAVEIS NOVA VIDA</v>
      </c>
      <c r="D9" s="112" t="s">
        <v>332</v>
      </c>
      <c r="E9" s="112" t="s">
        <v>497</v>
      </c>
      <c r="F9" s="140">
        <v>3691</v>
      </c>
      <c r="G9" s="107">
        <v>5</v>
      </c>
      <c r="H9" s="165" t="s">
        <v>43</v>
      </c>
      <c r="I9" s="146">
        <v>45658</v>
      </c>
      <c r="J9" s="110">
        <v>45688</v>
      </c>
      <c r="K9" s="397">
        <v>18426.759999999998</v>
      </c>
      <c r="L9" s="398">
        <f>Tabela13[[#This Row],[VALOR
 BRUTO ]]-Tabela13[[#This Row],[VALOR 
LIQUIDO ]]</f>
        <v>921.34</v>
      </c>
      <c r="M9" s="399">
        <f>Tabela13[[#This Row],[VALORES PAGOS 
(FORMA PAGTO)]]</f>
        <v>17505.419999999998</v>
      </c>
      <c r="N9" s="110">
        <v>45728</v>
      </c>
      <c r="O9" s="380">
        <v>17505.419999999998</v>
      </c>
      <c r="P9" s="146">
        <v>45722</v>
      </c>
      <c r="Q9" s="108" t="str" cm="1">
        <f t="array" aca="1" ref="Q9" ca="1">IF($P9&lt;&gt;"","PAGO",IF($N9&lt;TODAY(),"ATRASADO",IF($N9&gt;TODAY(),"NO PRAZO",IF($N9=TODAY(),"NO PRAZO",SE))))</f>
        <v>PAGO</v>
      </c>
      <c r="R9" s="150" t="str">
        <f t="shared" ca="1" si="0"/>
        <v/>
      </c>
      <c r="S9" s="147"/>
      <c r="T9" s="314"/>
      <c r="U9" s="264">
        <f ca="1">SUBTOTAL(3,Tabela13[[#This Row],[STATUS]])</f>
        <v>1</v>
      </c>
      <c r="V9" s="269"/>
    </row>
    <row r="10" spans="1:23" s="52" customFormat="1" ht="24" customHeight="1">
      <c r="A10" s="113">
        <v>45701</v>
      </c>
      <c r="B10" s="105">
        <v>68004</v>
      </c>
      <c r="C10" s="688" t="str">
        <f>IFERROR(VLOOKUP(Tabela13[[#This Row],[CÓD. EMPRESA]],Tabela3[[CÓDIGO
 EMPRESA ]:[EMPRESA]],2,FALSE),"")</f>
        <v>VB AMBIENTAL CONSULTORIA E PROJETOS LTDA-ME</v>
      </c>
      <c r="D10" s="112" t="s">
        <v>349</v>
      </c>
      <c r="E10" s="112" t="s">
        <v>489</v>
      </c>
      <c r="F10" s="140">
        <v>2927</v>
      </c>
      <c r="G10" s="430">
        <v>1866</v>
      </c>
      <c r="H10" s="165" t="s">
        <v>43</v>
      </c>
      <c r="I10" s="147">
        <v>45658</v>
      </c>
      <c r="J10" s="113">
        <v>45688</v>
      </c>
      <c r="K10" s="401">
        <v>5430.18</v>
      </c>
      <c r="L10" s="398">
        <f>Tabela13[[#This Row],[VALOR
 BRUTO ]]-Tabela13[[#This Row],[VALOR 
LIQUIDO ]]</f>
        <v>260.64999999999998</v>
      </c>
      <c r="M10" s="399">
        <f>Tabela13[[#This Row],[VALORES PAGOS 
(FORMA PAGTO)]]</f>
        <v>5169.53</v>
      </c>
      <c r="N10" s="113">
        <v>45719</v>
      </c>
      <c r="O10" s="389">
        <v>5169.53</v>
      </c>
      <c r="P10" s="148">
        <v>45758</v>
      </c>
      <c r="Q10" s="108" t="str" cm="1">
        <f t="array" aca="1" ref="Q10" ca="1">IF($P10&lt;&gt;"","PAGO",IF($N10&lt;TODAY(),"ATRASADO",IF($N10&gt;TODAY(),"NO PRAZO",IF($N10=TODAY(),"NO PRAZO",SE))))</f>
        <v>PAGO</v>
      </c>
      <c r="R10" s="150" t="str">
        <f t="shared" ca="1" si="0"/>
        <v/>
      </c>
      <c r="S10" s="147"/>
      <c r="T10" s="314"/>
      <c r="U10" s="260">
        <f ca="1">SUBTOTAL(3,Tabela13[[#This Row],[STATUS]])</f>
        <v>1</v>
      </c>
      <c r="V10" s="269"/>
    </row>
    <row r="11" spans="1:23" s="39" customFormat="1" ht="24" customHeight="1">
      <c r="A11" s="113">
        <v>45705</v>
      </c>
      <c r="B11" s="105">
        <v>121426</v>
      </c>
      <c r="C11" s="688" t="str">
        <f>IFERROR(VLOOKUP(Tabela13[[#This Row],[CÓD. EMPRESA]],Tabela3[[CÓDIGO
 EMPRESA ]:[EMPRESA]],2,FALSE),"")</f>
        <v>ALFA-X COMERCIO E SERVIÇOS LTDA</v>
      </c>
      <c r="D11" s="112" t="s">
        <v>333</v>
      </c>
      <c r="E11" s="112">
        <v>36801</v>
      </c>
      <c r="F11" s="140">
        <v>3677</v>
      </c>
      <c r="G11" s="109">
        <v>1</v>
      </c>
      <c r="H11" s="165" t="s">
        <v>43</v>
      </c>
      <c r="I11" s="147">
        <v>45658</v>
      </c>
      <c r="J11" s="113">
        <v>45688</v>
      </c>
      <c r="K11" s="401">
        <v>239538.79</v>
      </c>
      <c r="L11" s="398">
        <f>Tabela13[[#This Row],[VALOR
 BRUTO ]]-Tabela13[[#This Row],[VALOR 
LIQUIDO ]]</f>
        <v>11976.94</v>
      </c>
      <c r="M11" s="399">
        <f>Tabela13[[#This Row],[VALORES PAGOS 
(FORMA PAGTO)]]</f>
        <v>227561.85</v>
      </c>
      <c r="N11" s="113">
        <v>45725</v>
      </c>
      <c r="O11" s="389">
        <v>227561.85</v>
      </c>
      <c r="P11" s="147">
        <v>45727</v>
      </c>
      <c r="Q11" s="108" t="str" cm="1">
        <f t="array" aca="1" ref="Q11" ca="1">IF($P11&lt;&gt;"","PAGO",IF($N11&lt;TODAY(),"ATRASADO",IF($N11&gt;TODAY(),"NO PRAZO",IF($N11=TODAY(),"NO PRAZO",SE))))</f>
        <v>PAGO</v>
      </c>
      <c r="R11" s="150" t="str">
        <f t="shared" ca="1" si="0"/>
        <v/>
      </c>
      <c r="S11" s="147"/>
      <c r="T11" s="292"/>
      <c r="U11" s="260">
        <f ca="1">SUBTOTAL(3,Tabela13[[#This Row],[STATUS]])</f>
        <v>1</v>
      </c>
      <c r="V11" s="268"/>
      <c r="W11" s="52"/>
    </row>
    <row r="12" spans="1:23" s="52" customFormat="1" ht="24" customHeight="1">
      <c r="A12" s="113">
        <v>45705</v>
      </c>
      <c r="B12" s="105">
        <v>103747</v>
      </c>
      <c r="C12" s="688" t="str">
        <f>IFERROR(VLOOKUP(Tabela13[[#This Row],[CÓD. EMPRESA]],Tabela3[[CÓDIGO
 EMPRESA ]:[EMPRESA]],2,FALSE),"")</f>
        <v>CDR PEDREIRA CENTRO DE DISPOSIÇÃO DE RESÍDUOS LTDA</v>
      </c>
      <c r="D12" s="112" t="s">
        <v>334</v>
      </c>
      <c r="E12" s="112" t="s">
        <v>431</v>
      </c>
      <c r="F12" s="462">
        <v>2956</v>
      </c>
      <c r="G12" s="411">
        <v>3050</v>
      </c>
      <c r="H12" s="165" t="s">
        <v>43</v>
      </c>
      <c r="I12" s="147">
        <v>45658</v>
      </c>
      <c r="J12" s="113">
        <v>45688</v>
      </c>
      <c r="K12" s="401">
        <v>3520000</v>
      </c>
      <c r="L12" s="398">
        <f>Tabela13[[#This Row],[VALOR
 BRUTO ]]-Tabela13[[#This Row],[VALOR 
LIQUIDO ]]</f>
        <v>369435.67</v>
      </c>
      <c r="M12" s="399">
        <f>Tabela13[[#This Row],[VALORES PAGOS 
(FORMA PAGTO)]]</f>
        <v>3150564.33</v>
      </c>
      <c r="N12" s="113">
        <v>45722</v>
      </c>
      <c r="O12" s="389">
        <v>3150564.33</v>
      </c>
      <c r="P12" s="147">
        <v>45712</v>
      </c>
      <c r="Q12" s="108" t="str" cm="1">
        <f t="array" aca="1" ref="Q12" ca="1">IF($P12&lt;&gt;"","PAGO",IF($N12&lt;TODAY(),"ATRASADO",IF($N12&gt;TODAY(),"NO PRAZO",IF($N12=TODAY(),"NO PRAZO",SE))))</f>
        <v>PAGO</v>
      </c>
      <c r="R12" s="150" t="str">
        <f t="shared" ca="1" si="0"/>
        <v/>
      </c>
      <c r="S12" s="147"/>
      <c r="T12" s="314"/>
      <c r="U12" s="260">
        <f ca="1">SUBTOTAL(3,Tabela13[[#This Row],[STATUS]])</f>
        <v>1</v>
      </c>
      <c r="V12" s="269"/>
    </row>
    <row r="13" spans="1:23" s="52" customFormat="1" ht="24" customHeight="1">
      <c r="A13" s="113">
        <v>45705</v>
      </c>
      <c r="B13" s="105">
        <v>103747</v>
      </c>
      <c r="C13" s="688" t="str">
        <f>IFERROR(VLOOKUP(Tabela13[[#This Row],[CÓD. EMPRESA]],Tabela3[[CÓDIGO
 EMPRESA ]:[EMPRESA]],2,FALSE),"")</f>
        <v>CDR PEDREIRA CENTRO DE DISPOSIÇÃO DE RESÍDUOS LTDA</v>
      </c>
      <c r="D13" s="112" t="s">
        <v>334</v>
      </c>
      <c r="E13" s="112" t="s">
        <v>431</v>
      </c>
      <c r="F13" s="462">
        <v>3682</v>
      </c>
      <c r="G13" s="411">
        <v>3050</v>
      </c>
      <c r="H13" s="165" t="s">
        <v>45</v>
      </c>
      <c r="I13" s="147">
        <v>45658</v>
      </c>
      <c r="J13" s="113">
        <v>45688</v>
      </c>
      <c r="K13" s="401">
        <v>249751.7</v>
      </c>
      <c r="L13" s="398">
        <f>Tabela13[[#This Row],[VALOR
 BRUTO ]]-Tabela13[[#This Row],[VALOR 
LIQUIDO ]]</f>
        <v>0</v>
      </c>
      <c r="M13" s="399">
        <f>Tabela13[[#This Row],[VALORES PAGOS 
(FORMA PAGTO)]]</f>
        <v>249751.7</v>
      </c>
      <c r="N13" s="113">
        <v>45722</v>
      </c>
      <c r="O13" s="389">
        <v>249751.7</v>
      </c>
      <c r="P13" s="147">
        <v>45712</v>
      </c>
      <c r="Q13" s="108" t="str" cm="1">
        <f t="array" aca="1" ref="Q13" ca="1">IF($P13&lt;&gt;"","PAGO",IF($N13&lt;TODAY(),"ATRASADO",IF($N13&gt;TODAY(),"NO PRAZO",IF($N13=TODAY(),"NO PRAZO",SE))))</f>
        <v>PAGO</v>
      </c>
      <c r="R13" s="150" t="str">
        <f t="shared" ca="1" si="0"/>
        <v/>
      </c>
      <c r="S13" s="147"/>
      <c r="T13" s="314"/>
      <c r="U13" s="260">
        <f ca="1">SUBTOTAL(3,Tabela13[[#This Row],[STATUS]])</f>
        <v>1</v>
      </c>
      <c r="V13" s="269"/>
    </row>
    <row r="14" spans="1:23" s="52" customFormat="1" ht="24" customHeight="1">
      <c r="A14" s="110">
        <v>45705</v>
      </c>
      <c r="B14" s="105">
        <v>58778</v>
      </c>
      <c r="C14" s="688" t="str">
        <f>IFERROR(VLOOKUP(Tabela13[[#This Row],[CÓD. EMPRESA]],Tabela3[[CÓDIGO
 EMPRESA ]:[EMPRESA]],2,FALSE),"")</f>
        <v>ATTEND AMBIENTAL S.A</v>
      </c>
      <c r="D14" s="112" t="s">
        <v>335</v>
      </c>
      <c r="E14" s="112" t="s">
        <v>451</v>
      </c>
      <c r="F14" s="140">
        <v>2925</v>
      </c>
      <c r="G14" s="411">
        <v>45527</v>
      </c>
      <c r="H14" s="165" t="s">
        <v>359</v>
      </c>
      <c r="I14" s="146">
        <v>45658</v>
      </c>
      <c r="J14" s="110">
        <v>45688</v>
      </c>
      <c r="K14" s="397">
        <v>220049.44</v>
      </c>
      <c r="L14" s="398">
        <f>Tabela13[[#This Row],[VALOR
 BRUTO ]]-Tabela13[[#This Row],[VALOR 
LIQUIDO ]]</f>
        <v>10562.37</v>
      </c>
      <c r="M14" s="399">
        <f>Tabela13[[#This Row],[VALORES PAGOS 
(FORMA PAGTO)]]</f>
        <v>209487.07</v>
      </c>
      <c r="N14" s="110">
        <v>45718</v>
      </c>
      <c r="O14" s="389">
        <v>209487.07</v>
      </c>
      <c r="P14" s="146">
        <v>45729</v>
      </c>
      <c r="Q14" s="108" t="str" cm="1">
        <f t="array" aca="1" ref="Q14" ca="1">IF($P14&lt;&gt;"","PAGO",IF($N14&lt;TODAY(),"ATRASADO",IF($N14&gt;TODAY(),"NO PRAZO",IF($N14=TODAY(),"NO PRAZO",SE))))</f>
        <v>PAGO</v>
      </c>
      <c r="R14" s="150" t="str">
        <f t="shared" ca="1" si="0"/>
        <v/>
      </c>
      <c r="S14" s="147"/>
      <c r="T14" s="292"/>
      <c r="U14" s="264">
        <f ca="1">SUBTOTAL(3,Tabela13[[#This Row],[STATUS]])</f>
        <v>1</v>
      </c>
      <c r="V14" s="269"/>
    </row>
    <row r="15" spans="1:23" s="52" customFormat="1" ht="24" customHeight="1">
      <c r="A15" s="113">
        <v>45705</v>
      </c>
      <c r="B15" s="105">
        <v>117936</v>
      </c>
      <c r="C15" s="688" t="str">
        <f>IFERROR(VLOOKUP(Tabela13[[#This Row],[CÓD. EMPRESA]],Tabela3[[CÓDIGO
 EMPRESA ]:[EMPRESA]],2,FALSE),"")</f>
        <v>LOPES SAAB ENGENHARIA LTDA</v>
      </c>
      <c r="D15" s="112" t="s">
        <v>336</v>
      </c>
      <c r="E15" s="112" t="s">
        <v>452</v>
      </c>
      <c r="F15" s="140">
        <v>2929</v>
      </c>
      <c r="G15" s="109">
        <v>139</v>
      </c>
      <c r="H15" s="165" t="s">
        <v>45</v>
      </c>
      <c r="I15" s="147">
        <v>45658</v>
      </c>
      <c r="J15" s="113">
        <v>45688</v>
      </c>
      <c r="K15" s="816">
        <v>89000</v>
      </c>
      <c r="L15" s="398">
        <f>Tabela13[[#This Row],[VALOR
 BRUTO ]]-Tabela13[[#This Row],[VALOR 
LIQUIDO ]]</f>
        <v>0</v>
      </c>
      <c r="M15" s="399">
        <f>Tabela13[[#This Row],[VALORES PAGOS 
(FORMA PAGTO)]]</f>
        <v>89000</v>
      </c>
      <c r="N15" s="113">
        <v>45725</v>
      </c>
      <c r="O15" s="380">
        <v>89000</v>
      </c>
      <c r="P15" s="147">
        <v>45727</v>
      </c>
      <c r="Q15" s="108" t="str" cm="1">
        <f t="array" aca="1" ref="Q15" ca="1">IF($P15&lt;&gt;"","PAGO",IF($N15&lt;TODAY(),"ATRASADO",IF($N15&gt;TODAY(),"NO PRAZO",IF($N15=TODAY(),"NO PRAZO",SE))))</f>
        <v>PAGO</v>
      </c>
      <c r="R15" s="150" t="str">
        <f t="shared" ca="1" si="0"/>
        <v/>
      </c>
      <c r="S15" s="147"/>
      <c r="T15" s="314"/>
      <c r="U15" s="820"/>
      <c r="V15" s="269"/>
    </row>
    <row r="16" spans="1:23" s="52" customFormat="1" ht="24" customHeight="1">
      <c r="A16" s="110">
        <v>45705</v>
      </c>
      <c r="B16" s="105">
        <v>112466</v>
      </c>
      <c r="C16" s="688" t="str">
        <f>IFERROR(VLOOKUP(Tabela13[[#This Row],[CÓD. EMPRESA]],Tabela3[[CÓDIGO
 EMPRESA ]:[EMPRESA]],2,FALSE),"")</f>
        <v>COOPERATIVA DE TRABALHO DE RECICLAGEM ECO GUARULHOS</v>
      </c>
      <c r="D16" s="112" t="s">
        <v>337</v>
      </c>
      <c r="E16" s="112" t="s">
        <v>630</v>
      </c>
      <c r="F16" s="140">
        <v>3684</v>
      </c>
      <c r="G16" s="432">
        <v>16</v>
      </c>
      <c r="H16" s="165" t="s">
        <v>45</v>
      </c>
      <c r="I16" s="146">
        <v>45658</v>
      </c>
      <c r="J16" s="110">
        <v>45688</v>
      </c>
      <c r="K16" s="401">
        <v>37575.1</v>
      </c>
      <c r="L16" s="398">
        <f>Tabela13[[#This Row],[VALOR
 BRUTO ]]-Tabela13[[#This Row],[VALOR 
LIQUIDO ]]</f>
        <v>1878.76</v>
      </c>
      <c r="M16" s="399">
        <f>Tabela13[[#This Row],[VALORES PAGOS 
(FORMA PAGTO)]]</f>
        <v>35696.339999999997</v>
      </c>
      <c r="N16" s="110">
        <v>45732</v>
      </c>
      <c r="O16" s="389">
        <v>35696.339999999997</v>
      </c>
      <c r="P16" s="146">
        <v>45770</v>
      </c>
      <c r="Q16" s="108" t="str" cm="1">
        <f t="array" aca="1" ref="Q16" ca="1">IF($P16&lt;&gt;"","PAGO",IF($N16&lt;TODAY(),"ATRASADO",IF($N16&gt;TODAY(),"NO PRAZO",IF($N16=TODAY(),"NO PRAZO",SE))))</f>
        <v>PAGO</v>
      </c>
      <c r="R16" s="150" t="str">
        <f t="shared" ca="1" si="0"/>
        <v/>
      </c>
      <c r="S16" s="147"/>
      <c r="T16" s="112"/>
      <c r="U16" s="266">
        <f ca="1">SUBTOTAL(3,Tabela13[[#This Row],[STATUS]])</f>
        <v>1</v>
      </c>
      <c r="V16" s="269"/>
    </row>
    <row r="17" spans="1:22" s="52" customFormat="1" ht="24" customHeight="1">
      <c r="A17" s="143">
        <v>45705</v>
      </c>
      <c r="B17" s="105">
        <v>76116</v>
      </c>
      <c r="C17" s="688" t="str">
        <f>IFERROR(VLOOKUP(Tabela13[[#This Row],[CÓD. EMPRESA]],Tabela3[[CÓDIGO
 EMPRESA ]:[EMPRESA]],2,FALSE),"")</f>
        <v>ALVORADA SISTEMA AMBIENTAL EIRELI</v>
      </c>
      <c r="D17" s="112" t="s">
        <v>342</v>
      </c>
      <c r="E17" s="112" t="s">
        <v>460</v>
      </c>
      <c r="F17" s="140">
        <v>2916</v>
      </c>
      <c r="G17" s="145">
        <v>13194</v>
      </c>
      <c r="H17" s="165" t="s">
        <v>43</v>
      </c>
      <c r="I17" s="148">
        <v>45658</v>
      </c>
      <c r="J17" s="143">
        <v>45688</v>
      </c>
      <c r="K17" s="401">
        <v>238174.35</v>
      </c>
      <c r="L17" s="398">
        <f>Tabela13[[#This Row],[VALOR
 BRUTO ]]-Tabela13[[#This Row],[VALOR 
LIQUIDO ]]</f>
        <v>23341.09</v>
      </c>
      <c r="M17" s="399">
        <f>Tabela13[[#This Row],[VALORES PAGOS 
(FORMA PAGTO)]]</f>
        <v>214833.26</v>
      </c>
      <c r="N17" s="143">
        <v>45725</v>
      </c>
      <c r="O17" s="380">
        <v>214833.26</v>
      </c>
      <c r="P17" s="148">
        <v>45727</v>
      </c>
      <c r="Q17" s="108" t="str" cm="1">
        <f t="array" aca="1" ref="Q17" ca="1">IF($P17&lt;&gt;"","PAGO",IF($N17&lt;TODAY(),"ATRASADO",IF($N17&gt;TODAY(),"NO PRAZO",IF($N17=TODAY(),"NO PRAZO",SE))))</f>
        <v>PAGO</v>
      </c>
      <c r="R17" s="150" t="str">
        <f t="shared" ca="1" si="0"/>
        <v/>
      </c>
      <c r="S17" s="147"/>
      <c r="T17" s="242"/>
      <c r="U17" s="262">
        <f ca="1">SUBTOTAL(3,Tabela13[[#This Row],[STATUS]])</f>
        <v>1</v>
      </c>
      <c r="V17" s="269"/>
    </row>
    <row r="18" spans="1:22" s="52" customFormat="1" ht="24" customHeight="1">
      <c r="A18" s="113">
        <v>45705</v>
      </c>
      <c r="B18" s="105">
        <v>119149</v>
      </c>
      <c r="C18" s="688" t="str">
        <f>IFERROR(VLOOKUP(Tabela13[[#This Row],[CÓD. EMPRESA]],Tabela3[[CÓDIGO
 EMPRESA ]:[EMPRESA]],2,FALSE),"")</f>
        <v>COOPERATIVA DE TRABALHO NOVO BAMBI</v>
      </c>
      <c r="D18" s="112" t="s">
        <v>348</v>
      </c>
      <c r="E18" s="112" t="s">
        <v>501</v>
      </c>
      <c r="F18" s="140">
        <v>3690</v>
      </c>
      <c r="G18" s="430">
        <v>6</v>
      </c>
      <c r="H18" s="165" t="s">
        <v>45</v>
      </c>
      <c r="I18" s="147">
        <v>45658</v>
      </c>
      <c r="J18" s="113">
        <v>45688</v>
      </c>
      <c r="K18" s="401">
        <v>44922.47</v>
      </c>
      <c r="L18" s="398">
        <f>Tabela13[[#This Row],[VALOR
 BRUTO ]]-Tabela13[[#This Row],[VALOR 
LIQUIDO ]]</f>
        <v>2246.12</v>
      </c>
      <c r="M18" s="399">
        <f>Tabela13[[#This Row],[VALORES PAGOS 
(FORMA PAGTO)]]</f>
        <v>42676.35</v>
      </c>
      <c r="N18" s="113">
        <v>45735</v>
      </c>
      <c r="O18" s="389">
        <v>42676.35</v>
      </c>
      <c r="P18" s="148">
        <v>45770</v>
      </c>
      <c r="Q18" s="108" t="str" cm="1">
        <f t="array" aca="1" ref="Q18" ca="1">IF($P18&lt;&gt;"","PAGO",IF($N18&lt;TODAY(),"ATRASADO",IF($N18&gt;TODAY(),"NO PRAZO",IF($N18=TODAY(),"NO PRAZO",SE))))</f>
        <v>PAGO</v>
      </c>
      <c r="R18" s="150" t="str">
        <f t="shared" ca="1" si="0"/>
        <v/>
      </c>
      <c r="S18" s="147"/>
      <c r="T18" s="314"/>
      <c r="U18" s="260">
        <f ca="1">SUBTOTAL(3,Tabela13[[#This Row],[STATUS]])</f>
        <v>1</v>
      </c>
      <c r="V18" s="269"/>
    </row>
    <row r="19" spans="1:22" s="52" customFormat="1" ht="24" customHeight="1">
      <c r="A19" s="423">
        <v>45707</v>
      </c>
      <c r="B19" s="105">
        <v>2808</v>
      </c>
      <c r="C19" s="688" t="str">
        <f>IFERROR(VLOOKUP(Tabela13[[#This Row],[CÓD. EMPRESA]],Tabela3[[CÓDIGO
 EMPRESA ]:[EMPRESA]],2,FALSE),"")</f>
        <v>EMPRESA BRASILEIRA DE CORREIOS E TELEGRAFOS</v>
      </c>
      <c r="D19" s="139" t="s">
        <v>34</v>
      </c>
      <c r="E19" s="112" t="s">
        <v>345</v>
      </c>
      <c r="F19" s="420">
        <v>3678</v>
      </c>
      <c r="G19" s="894">
        <v>3487430</v>
      </c>
      <c r="H19" s="424" t="s">
        <v>43</v>
      </c>
      <c r="I19" s="425">
        <v>45666</v>
      </c>
      <c r="J19" s="423">
        <v>45687</v>
      </c>
      <c r="K19" s="426">
        <v>3367.6</v>
      </c>
      <c r="L19" s="398">
        <f>Tabela13[[#This Row],[VALOR
 BRUTO ]]-Tabela13[[#This Row],[VALOR 
LIQUIDO ]]</f>
        <v>0</v>
      </c>
      <c r="M19" s="399">
        <f>Tabela13[[#This Row],[VALORES PAGOS 
(FORMA PAGTO)]]</f>
        <v>3367.6</v>
      </c>
      <c r="N19" s="423">
        <v>45709</v>
      </c>
      <c r="O19" s="818">
        <v>3367.6</v>
      </c>
      <c r="P19" s="148">
        <v>45678</v>
      </c>
      <c r="Q19" s="422" t="str" cm="1">
        <f t="array" aca="1" ref="Q19" ca="1">IF($P19&lt;&gt;"","PAGO",IF($N19&lt;TODAY(),"ATRASADO",IF($N19&gt;TODAY(),"NO PRAZO",IF($N19=TODAY(),"NO PRAZO",SE))))</f>
        <v>PAGO</v>
      </c>
      <c r="R19" s="256" t="str">
        <f t="shared" ca="1" si="0"/>
        <v/>
      </c>
      <c r="S19" s="139"/>
      <c r="T19" s="787"/>
      <c r="U19" s="899">
        <f ca="1">SUBTOTAL(3,Tabela13[[#This Row],[STATUS]])</f>
        <v>1</v>
      </c>
      <c r="V19" s="269"/>
    </row>
    <row r="20" spans="1:22" s="52" customFormat="1" ht="24" customHeight="1">
      <c r="A20" s="274">
        <v>45707</v>
      </c>
      <c r="B20" s="105">
        <v>119152</v>
      </c>
      <c r="C20" s="688" t="str">
        <f>IFERROR(VLOOKUP(Tabela13[[#This Row],[CÓD. EMPRESA]],Tabela3[[CÓDIGO
 EMPRESA ]:[EMPRESA]],2,FALSE),"")</f>
        <v>COOPERATIVA DE TRABALHO DE CATADORAS E CATADORES DE MATERIAIS RECICLAVEIS SINERGIA BRASIL</v>
      </c>
      <c r="D20" s="112" t="s">
        <v>346</v>
      </c>
      <c r="E20" s="112" t="s">
        <v>499</v>
      </c>
      <c r="F20" s="140">
        <v>3688</v>
      </c>
      <c r="G20" s="430">
        <v>3</v>
      </c>
      <c r="H20" s="165" t="s">
        <v>45</v>
      </c>
      <c r="I20" s="147">
        <v>45658</v>
      </c>
      <c r="J20" s="113">
        <v>45688</v>
      </c>
      <c r="K20" s="401">
        <v>36176.44</v>
      </c>
      <c r="L20" s="398">
        <f>Tabela13[[#This Row],[VALOR
 BRUTO ]]-Tabela13[[#This Row],[VALOR 
LIQUIDO ]]</f>
        <v>1808.82</v>
      </c>
      <c r="M20" s="399">
        <f>Tabela13[[#This Row],[VALORES PAGOS 
(FORMA PAGTO)]]</f>
        <v>34367.620000000003</v>
      </c>
      <c r="N20" s="113">
        <v>45732</v>
      </c>
      <c r="O20" s="389">
        <v>34367.620000000003</v>
      </c>
      <c r="P20" s="148">
        <v>45758</v>
      </c>
      <c r="Q20" s="108" t="str" cm="1">
        <f t="array" aca="1" ref="Q20" ca="1">IF($P20&lt;&gt;"","PAGO",IF($N20&lt;TODAY(),"ATRASADO",IF($N20&gt;TODAY(),"NO PRAZO",IF($N20=TODAY(),"NO PRAZO",SE))))</f>
        <v>PAGO</v>
      </c>
      <c r="R20" s="150" t="str">
        <f t="shared" ca="1" si="0"/>
        <v/>
      </c>
      <c r="S20" s="147"/>
      <c r="T20" s="112"/>
      <c r="U20" s="260">
        <f ca="1">SUBTOTAL(3,Tabela13[[#This Row],[STATUS]])</f>
        <v>1</v>
      </c>
      <c r="V20" s="269"/>
    </row>
    <row r="21" spans="1:22" s="52" customFormat="1" ht="24" customHeight="1">
      <c r="A21" s="274">
        <v>45707</v>
      </c>
      <c r="B21" s="105">
        <v>119166</v>
      </c>
      <c r="C21" s="688" t="str">
        <f>IFERROR(VLOOKUP(Tabela13[[#This Row],[CÓD. EMPRESA]],Tabela3[[CÓDIGO
 EMPRESA ]:[EMPRESA]],2,FALSE),"")</f>
        <v>COOPERATIVA DE TRABALHO DE CATADORES E CATADORAS DE MATERIAL DE RECICLAGEM VILA RENATA CRV</v>
      </c>
      <c r="D21" s="112" t="s">
        <v>347</v>
      </c>
      <c r="E21" s="112" t="s">
        <v>497</v>
      </c>
      <c r="F21" s="140">
        <v>3683</v>
      </c>
      <c r="G21" s="430">
        <v>2</v>
      </c>
      <c r="H21" s="165" t="s">
        <v>45</v>
      </c>
      <c r="I21" s="147">
        <v>45658</v>
      </c>
      <c r="J21" s="113">
        <v>45688</v>
      </c>
      <c r="K21" s="401">
        <v>29203.35</v>
      </c>
      <c r="L21" s="398">
        <f>Tabela13[[#This Row],[VALOR
 BRUTO ]]-Tabela13[[#This Row],[VALOR 
LIQUIDO ]]</f>
        <v>1460.17</v>
      </c>
      <c r="M21" s="399">
        <f>Tabela13[[#This Row],[VALORES PAGOS 
(FORMA PAGTO)]]</f>
        <v>27743.18</v>
      </c>
      <c r="N21" s="113">
        <v>45731</v>
      </c>
      <c r="O21" s="389">
        <v>27743.18</v>
      </c>
      <c r="P21" s="148">
        <v>45770</v>
      </c>
      <c r="Q21" s="108" t="str" cm="1">
        <f t="array" aca="1" ref="Q21" ca="1">IF($P21&lt;&gt;"","PAGO",IF($N21&lt;TODAY(),"ATRASADO",IF($N21&gt;TODAY(),"NO PRAZO",IF($N21=TODAY(),"NO PRAZO",SE))))</f>
        <v>PAGO</v>
      </c>
      <c r="R21" s="150" t="str">
        <f t="shared" ca="1" si="0"/>
        <v/>
      </c>
      <c r="S21" s="147"/>
      <c r="T21" s="112"/>
      <c r="U21" s="260">
        <f ca="1">SUBTOTAL(3,Tabela13[[#This Row],[STATUS]])</f>
        <v>1</v>
      </c>
      <c r="V21" s="269"/>
    </row>
    <row r="22" spans="1:22" s="52" customFormat="1" ht="24" customHeight="1">
      <c r="A22" s="274">
        <v>45708</v>
      </c>
      <c r="B22" s="105">
        <v>119162</v>
      </c>
      <c r="C22" s="688" t="str">
        <f>IFERROR(VLOOKUP(Tabela13[[#This Row],[CÓD. EMPRESA]],Tabela3[[CÓDIGO
 EMPRESA ]:[EMPRESA]],2,FALSE),"")</f>
        <v>COOPERATIVA DE TRABALHO COLETA TRIAGEM BENEFICIAMENTO E COMERCIO DE MATERIAIS RECICLAVEIS NOVO CICLO</v>
      </c>
      <c r="D22" s="112" t="s">
        <v>343</v>
      </c>
      <c r="E22" s="112" t="s">
        <v>499</v>
      </c>
      <c r="F22" s="140">
        <v>3689</v>
      </c>
      <c r="G22" s="411">
        <v>1</v>
      </c>
      <c r="H22" s="165" t="s">
        <v>45</v>
      </c>
      <c r="I22" s="147">
        <v>45658</v>
      </c>
      <c r="J22" s="113">
        <v>45688</v>
      </c>
      <c r="K22" s="401">
        <v>16467.009999999998</v>
      </c>
      <c r="L22" s="398">
        <f>Tabela13[[#This Row],[VALOR
 BRUTO ]]-Tabela13[[#This Row],[VALOR 
LIQUIDO ]]</f>
        <v>823.35</v>
      </c>
      <c r="M22" s="399">
        <f>Tabela13[[#This Row],[VALORES PAGOS 
(FORMA PAGTO)]]</f>
        <v>15643.66</v>
      </c>
      <c r="N22" s="113">
        <v>45734</v>
      </c>
      <c r="O22" s="389">
        <v>15643.66</v>
      </c>
      <c r="P22" s="148">
        <v>45770</v>
      </c>
      <c r="Q22" s="108" t="str" cm="1">
        <f t="array" aca="1" ref="Q22" ca="1">IF($P22&lt;&gt;"","PAGO",IF($N22&lt;TODAY(),"ATRASADO",IF($N22&gt;TODAY(),"NO PRAZO",IF($N22=TODAY(),"NO PRAZO",SE))))</f>
        <v>PAGO</v>
      </c>
      <c r="R22" s="150" t="str">
        <f t="shared" ca="1" si="0"/>
        <v/>
      </c>
      <c r="S22" s="147"/>
      <c r="T22" s="292"/>
      <c r="U22" s="260">
        <f ca="1">SUBTOTAL(3,Tabela13[[#This Row],[STATUS]])</f>
        <v>1</v>
      </c>
      <c r="V22" s="269"/>
    </row>
    <row r="23" spans="1:22" s="52" customFormat="1" ht="24" customHeight="1">
      <c r="A23" s="702">
        <v>45708</v>
      </c>
      <c r="B23" s="105">
        <v>67538</v>
      </c>
      <c r="C23" s="688" t="str">
        <f>IFERROR(VLOOKUP(Tabela13[[#This Row],[CÓD. EMPRESA]],Tabela3[[CÓDIGO
 EMPRESA ]:[EMPRESA]],2,FALSE),"")</f>
        <v>IGM2 METROLOGIA E MANUTENCAO LTDA</v>
      </c>
      <c r="D23" s="112" t="s">
        <v>344</v>
      </c>
      <c r="E23" s="112" t="s">
        <v>614</v>
      </c>
      <c r="F23" s="140">
        <v>3068</v>
      </c>
      <c r="G23" s="411">
        <v>1322</v>
      </c>
      <c r="H23" s="166" t="s">
        <v>45</v>
      </c>
      <c r="I23" s="148">
        <v>45658</v>
      </c>
      <c r="J23" s="143">
        <v>45688</v>
      </c>
      <c r="K23" s="400">
        <v>1535.16</v>
      </c>
      <c r="L23" s="398">
        <f>Tabela13[[#This Row],[VALOR
 BRUTO ]]-Tabela13[[#This Row],[VALOR 
LIQUIDO ]]</f>
        <v>0</v>
      </c>
      <c r="M23" s="399">
        <f>Tabela13[[#This Row],[VALORES PAGOS 
(FORMA PAGTO)]]</f>
        <v>1535.16</v>
      </c>
      <c r="N23" s="143">
        <v>45718</v>
      </c>
      <c r="O23" s="389">
        <v>1535.16</v>
      </c>
      <c r="P23" s="148">
        <v>45758</v>
      </c>
      <c r="Q23" s="197" t="str" cm="1">
        <f t="array" aca="1" ref="Q23" ca="1">IF($P23&lt;&gt;"","PAGO",IF($N23&lt;TODAY(),"ATRASADO",IF($N23&gt;TODAY(),"NO PRAZO",IF($N23=TODAY(),"NO PRAZO",SE))))</f>
        <v>PAGO</v>
      </c>
      <c r="R23" s="150" t="str">
        <f t="shared" ca="1" si="0"/>
        <v/>
      </c>
      <c r="S23" s="147"/>
      <c r="T23" s="112"/>
      <c r="U23" s="262">
        <f ca="1">SUBTOTAL(3,Tabela13[[#This Row],[STATUS]])</f>
        <v>1</v>
      </c>
      <c r="V23" s="269"/>
    </row>
    <row r="24" spans="1:22" s="52" customFormat="1" ht="24" customHeight="1">
      <c r="A24" s="274">
        <v>45712</v>
      </c>
      <c r="B24" s="105">
        <v>73115</v>
      </c>
      <c r="C24" s="688" t="str">
        <f>IFERROR(VLOOKUP(Tabela13[[#This Row],[CÓD. EMPRESA]],Tabela3[[CÓDIGO
 EMPRESA ]:[EMPRESA]],2,FALSE),"")</f>
        <v>CONSORCIO LIMPA GUARULHOS</v>
      </c>
      <c r="D24" s="112" t="s">
        <v>350</v>
      </c>
      <c r="E24" s="112" t="s">
        <v>494</v>
      </c>
      <c r="F24" s="140">
        <v>2921</v>
      </c>
      <c r="G24" s="430">
        <v>68</v>
      </c>
      <c r="H24" s="165" t="s">
        <v>43</v>
      </c>
      <c r="I24" s="147">
        <v>45658</v>
      </c>
      <c r="J24" s="113">
        <v>45688</v>
      </c>
      <c r="K24" s="401">
        <v>8466219.5800000001</v>
      </c>
      <c r="L24" s="398">
        <f>Tabela13[[#This Row],[VALOR
 BRUTO ]]+K25-Tabela13[[#This Row],[VALORES PAGOS 
(FORMA PAGTO)]]-O25-O26</f>
        <v>1291166.46</v>
      </c>
      <c r="M24" s="399">
        <f>Tabela13[[#This Row],[VALORES PAGOS 
(FORMA PAGTO)]]</f>
        <v>3658304.99</v>
      </c>
      <c r="N24" s="113">
        <v>45712</v>
      </c>
      <c r="O24" s="389">
        <v>3658304.99</v>
      </c>
      <c r="P24" s="148">
        <v>45714</v>
      </c>
      <c r="Q24" s="108" t="str" cm="1">
        <f t="array" aca="1" ref="Q24" ca="1">IF($P24&lt;&gt;"","PAGO",IF($N24&lt;TODAY(),"ATRASADO",IF($N24&gt;TODAY(),"NO PRAZO",IF($N24=TODAY(),"NO PRAZO",SE))))</f>
        <v>PAGO</v>
      </c>
      <c r="R24" s="150" t="str">
        <f t="shared" ca="1" si="0"/>
        <v/>
      </c>
      <c r="S24" s="147"/>
      <c r="T24" s="704"/>
      <c r="U24" s="260">
        <f ca="1">SUBTOTAL(3,Tabela13[[#This Row],[STATUS]])</f>
        <v>1</v>
      </c>
      <c r="V24" s="269"/>
    </row>
    <row r="25" spans="1:22" s="52" customFormat="1" ht="24" customHeight="1">
      <c r="A25" s="441">
        <v>45712</v>
      </c>
      <c r="B25" s="105">
        <v>73115</v>
      </c>
      <c r="C25" s="688" t="str">
        <f>IFERROR(VLOOKUP(Tabela13[[#This Row],[CÓD. EMPRESA]],Tabela3[[CÓDIGO
 EMPRESA ]:[EMPRESA]],2,FALSE),"")</f>
        <v>CONSORCIO LIMPA GUARULHOS</v>
      </c>
      <c r="D25" s="257" t="s">
        <v>350</v>
      </c>
      <c r="E25" s="257" t="s">
        <v>494</v>
      </c>
      <c r="F25" s="568">
        <v>3258</v>
      </c>
      <c r="G25" s="430">
        <v>68</v>
      </c>
      <c r="H25" s="421" t="s">
        <v>45</v>
      </c>
      <c r="I25" s="443">
        <v>45658</v>
      </c>
      <c r="J25" s="441">
        <v>45688</v>
      </c>
      <c r="K25" s="444">
        <v>141556.85999999999</v>
      </c>
      <c r="L25" s="398">
        <f>Tabela13[[#This Row],[VALOR
 BRUTO ]]-Tabela13[[#This Row],[VALOR 
LIQUIDO ]]</f>
        <v>0</v>
      </c>
      <c r="M25" s="399">
        <f>Tabela13[[#This Row],[VALORES PAGOS 
(FORMA PAGTO)]]</f>
        <v>141556.85999999999</v>
      </c>
      <c r="N25" s="441">
        <v>45712</v>
      </c>
      <c r="O25" s="446">
        <f>Tabela13[[#This Row],[VALOR
 BRUTO ]]</f>
        <v>141556.85999999999</v>
      </c>
      <c r="P25" s="148">
        <v>45726</v>
      </c>
      <c r="Q25" s="447" t="str" cm="1">
        <f t="array" aca="1" ref="Q25" ca="1">IF($P25&lt;&gt;"","PAGO",IF($N25&lt;TODAY(),"ATRASADO",IF($N25&gt;TODAY(),"NO PRAZO",IF($N25=TODAY(),"NO PRAZO",SE))))</f>
        <v>PAGO</v>
      </c>
      <c r="R25" s="258" t="str">
        <f t="shared" ca="1" si="0"/>
        <v/>
      </c>
      <c r="S25" s="443"/>
      <c r="T25" s="705"/>
      <c r="U25" s="448">
        <f ca="1">SUBTOTAL(3,Tabela13[[#This Row],[STATUS]])</f>
        <v>1</v>
      </c>
      <c r="V25" s="269"/>
    </row>
    <row r="26" spans="1:22" s="52" customFormat="1" ht="24" customHeight="1">
      <c r="A26" s="441">
        <v>45712</v>
      </c>
      <c r="B26" s="105">
        <v>73115</v>
      </c>
      <c r="C26" s="688" t="str">
        <f>IFERROR(VLOOKUP(Tabela13[[#This Row],[CÓD. EMPRESA]],Tabela3[[CÓDIGO
 EMPRESA ]:[EMPRESA]],2,FALSE),"")</f>
        <v>CONSORCIO LIMPA GUARULHOS</v>
      </c>
      <c r="D26" s="257" t="s">
        <v>350</v>
      </c>
      <c r="E26" s="257" t="s">
        <v>494</v>
      </c>
      <c r="F26" s="568">
        <v>2921</v>
      </c>
      <c r="G26" s="430">
        <v>68</v>
      </c>
      <c r="H26" s="165" t="s">
        <v>43</v>
      </c>
      <c r="I26" s="147">
        <v>45658</v>
      </c>
      <c r="J26" s="113">
        <v>45688</v>
      </c>
      <c r="K26" s="401"/>
      <c r="L26" s="398"/>
      <c r="M26" s="703">
        <f>Tabela13[[#This Row],[VALORES PAGOS 
(FORMA PAGTO)]]</f>
        <v>3516748.13</v>
      </c>
      <c r="N26" s="113">
        <v>45712</v>
      </c>
      <c r="O26" s="385">
        <v>3516748.13</v>
      </c>
      <c r="P26" s="147">
        <v>45726</v>
      </c>
      <c r="Q26" s="197" t="str" cm="1">
        <f t="array" aca="1" ref="Q26" ca="1">IF($P26&lt;&gt;"","PAGO",IF($N26&lt;TODAY(),"ATRASADO",IF($N26&gt;TODAY(),"NO PRAZO",IF($N26=TODAY(),"NO PRAZO",SE))))</f>
        <v>PAGO</v>
      </c>
      <c r="R26" s="259" t="str">
        <f t="shared" ca="1" si="0"/>
        <v/>
      </c>
      <c r="S26" s="147"/>
      <c r="T26" s="686"/>
      <c r="U26" s="259">
        <f ca="1">SUBTOTAL(3,Tabela13[[#This Row],[STATUS]])</f>
        <v>1</v>
      </c>
      <c r="V26" s="269"/>
    </row>
    <row r="27" spans="1:22" s="52" customFormat="1" ht="24" customHeight="1">
      <c r="A27" s="113">
        <v>45714</v>
      </c>
      <c r="B27" s="105">
        <v>34074</v>
      </c>
      <c r="C27" s="688" t="str">
        <f>IFERROR(VLOOKUP(Tabela13[[#This Row],[CÓD. EMPRESA]],Tabela3[[CÓDIGO
 EMPRESA ]:[EMPRESA]],2,FALSE),"")</f>
        <v>SEGUROS SURA S.A</v>
      </c>
      <c r="D27" s="112" t="s">
        <v>353</v>
      </c>
      <c r="E27" s="112" t="s">
        <v>354</v>
      </c>
      <c r="F27" s="140">
        <v>2885</v>
      </c>
      <c r="G27" s="706">
        <v>8.0005318000002695E+19</v>
      </c>
      <c r="H27" s="165" t="s">
        <v>45</v>
      </c>
      <c r="I27" s="146"/>
      <c r="J27" s="110"/>
      <c r="K27" s="397">
        <v>5798</v>
      </c>
      <c r="L27" s="398">
        <f>Tabela13[[#This Row],[VALOR
 BRUTO ]]-Tabela13[[#This Row],[VALOR 
LIQUIDO ]]</f>
        <v>139.15</v>
      </c>
      <c r="M27" s="399">
        <f>Tabela13[[#This Row],[VALORES PAGOS 
(FORMA PAGTO)]]</f>
        <v>5658.85</v>
      </c>
      <c r="N27" s="110">
        <v>45720</v>
      </c>
      <c r="O27" s="380">
        <v>5658.85</v>
      </c>
      <c r="P27" s="148">
        <v>45722</v>
      </c>
      <c r="Q27" s="108" t="str" cm="1">
        <f t="array" aca="1" ref="Q27" ca="1">IF($P27&lt;&gt;"","PAGO",IF($N27&lt;TODAY(),"ATRASADO",IF($N27&gt;TODAY(),"NO PRAZO",IF($N27=TODAY(),"NO PRAZO",SE))))</f>
        <v>PAGO</v>
      </c>
      <c r="R27" s="150" t="str">
        <f t="shared" ca="1" si="0"/>
        <v/>
      </c>
      <c r="S27" s="147"/>
      <c r="T27" s="314"/>
      <c r="U27" s="264">
        <f ca="1">SUBTOTAL(3,Tabela13[[#This Row],[STATUS]])</f>
        <v>1</v>
      </c>
      <c r="V27" s="269"/>
    </row>
    <row r="28" spans="1:22" s="52" customFormat="1" ht="24" customHeight="1">
      <c r="A28" s="113">
        <v>45714</v>
      </c>
      <c r="B28" s="105">
        <v>60979</v>
      </c>
      <c r="C28" s="688" t="str">
        <f>IFERROR(VLOOKUP(Tabela13[[#This Row],[CÓD. EMPRESA]],Tabela3[[CÓDIGO
 EMPRESA ]:[EMPRESA]],2,FALSE),"")</f>
        <v>SILCON AMBIENTAL S/A</v>
      </c>
      <c r="D28" s="112" t="s">
        <v>355</v>
      </c>
      <c r="E28" s="112" t="s">
        <v>463</v>
      </c>
      <c r="F28" s="140">
        <v>3679</v>
      </c>
      <c r="G28" s="411">
        <v>36315</v>
      </c>
      <c r="H28" s="165" t="s">
        <v>43</v>
      </c>
      <c r="I28" s="146">
        <v>45658</v>
      </c>
      <c r="J28" s="110">
        <v>45688</v>
      </c>
      <c r="K28" s="397">
        <v>4817.3999999999996</v>
      </c>
      <c r="L28" s="398">
        <f>Tabela13[[#This Row],[VALOR
 BRUTO ]]-Tabela13[[#This Row],[VALOR 
LIQUIDO ]]</f>
        <v>1002.02</v>
      </c>
      <c r="M28" s="399">
        <f>Tabela13[[#This Row],[VALORES PAGOS 
(FORMA PAGTO)]]</f>
        <v>3815.38</v>
      </c>
      <c r="N28" s="110">
        <v>45739</v>
      </c>
      <c r="O28" s="389">
        <v>3815.38</v>
      </c>
      <c r="P28" s="148">
        <v>45750</v>
      </c>
      <c r="Q28" s="108" t="str" cm="1">
        <f t="array" aca="1" ref="Q28" ca="1">IF($P28&lt;&gt;"","PAGO",IF($N28&lt;TODAY(),"ATRASADO",IF($N28&gt;TODAY(),"NO PRAZO",IF($N28=TODAY(),"NO PRAZO",SE))))</f>
        <v>PAGO</v>
      </c>
      <c r="R28" s="150" t="str">
        <f t="shared" ca="1" si="0"/>
        <v/>
      </c>
      <c r="S28" s="147"/>
      <c r="T28" s="292"/>
      <c r="U28" s="264">
        <f ca="1">SUBTOTAL(3,Tabela13[[#This Row],[STATUS]])</f>
        <v>1</v>
      </c>
      <c r="V28" s="269"/>
    </row>
    <row r="29" spans="1:22" s="52" customFormat="1" ht="24" customHeight="1">
      <c r="A29" s="113">
        <v>45714</v>
      </c>
      <c r="B29" s="105">
        <v>60979</v>
      </c>
      <c r="C29" s="688" t="str">
        <f>IFERROR(VLOOKUP(Tabela13[[#This Row],[CÓD. EMPRESA]],Tabela3[[CÓDIGO
 EMPRESA ]:[EMPRESA]],2,FALSE),"")</f>
        <v>SILCON AMBIENTAL S/A</v>
      </c>
      <c r="D29" s="112" t="s">
        <v>355</v>
      </c>
      <c r="E29" s="112" t="s">
        <v>463</v>
      </c>
      <c r="F29" s="140">
        <v>3679</v>
      </c>
      <c r="G29" s="411">
        <v>36316</v>
      </c>
      <c r="H29" s="165" t="s">
        <v>43</v>
      </c>
      <c r="I29" s="146">
        <v>45658</v>
      </c>
      <c r="J29" s="110">
        <v>45688</v>
      </c>
      <c r="K29" s="397">
        <v>7226.1</v>
      </c>
      <c r="L29" s="398">
        <f>Tabela13[[#This Row],[VALOR
 BRUTO ]]-Tabela13[[#This Row],[VALOR 
LIQUIDO ]]</f>
        <v>346.85</v>
      </c>
      <c r="M29" s="399">
        <f>Tabela13[[#This Row],[VALORES PAGOS 
(FORMA PAGTO)]]</f>
        <v>6879.25</v>
      </c>
      <c r="N29" s="110">
        <v>45739</v>
      </c>
      <c r="O29" s="380">
        <v>6879.25</v>
      </c>
      <c r="P29" s="148">
        <v>45750</v>
      </c>
      <c r="Q29" s="108" t="str" cm="1">
        <f t="array" aca="1" ref="Q29" ca="1">IF($P29&lt;&gt;"","PAGO",IF($N29&lt;TODAY(),"ATRASADO",IF($N29&gt;TODAY(),"NO PRAZO",IF($N29=TODAY(),"NO PRAZO",SE))))</f>
        <v>PAGO</v>
      </c>
      <c r="R29" s="150" t="str">
        <f t="shared" ca="1" si="0"/>
        <v/>
      </c>
      <c r="S29" s="147"/>
      <c r="T29" s="242"/>
      <c r="U29" s="264">
        <f ca="1">SUBTOTAL(3,Tabela13[[#This Row],[STATUS]])</f>
        <v>1</v>
      </c>
      <c r="V29" s="269"/>
    </row>
    <row r="30" spans="1:22" s="52" customFormat="1" ht="24" customHeight="1">
      <c r="A30" s="113">
        <v>45714</v>
      </c>
      <c r="B30" s="105">
        <v>60979</v>
      </c>
      <c r="C30" s="688" t="str">
        <f>IFERROR(VLOOKUP(Tabela13[[#This Row],[CÓD. EMPRESA]],Tabela3[[CÓDIGO
 EMPRESA ]:[EMPRESA]],2,FALSE),"")</f>
        <v>SILCON AMBIENTAL S/A</v>
      </c>
      <c r="D30" s="112" t="s">
        <v>355</v>
      </c>
      <c r="E30" s="112" t="s">
        <v>463</v>
      </c>
      <c r="F30" s="140">
        <v>3679</v>
      </c>
      <c r="G30" s="411">
        <v>36317</v>
      </c>
      <c r="H30" s="165" t="s">
        <v>43</v>
      </c>
      <c r="I30" s="146">
        <v>45658</v>
      </c>
      <c r="J30" s="110">
        <v>45688</v>
      </c>
      <c r="K30" s="397">
        <v>315175.14</v>
      </c>
      <c r="L30" s="398">
        <f>Tabela13[[#This Row],[VALOR
 BRUTO ]]-Tabela13[[#This Row],[VALOR 
LIQUIDO ]]</f>
        <v>15128.41</v>
      </c>
      <c r="M30" s="399">
        <f>Tabela13[[#This Row],[VALORES PAGOS 
(FORMA PAGTO)]]</f>
        <v>300046.73</v>
      </c>
      <c r="N30" s="110">
        <v>45739</v>
      </c>
      <c r="O30" s="380">
        <v>300046.73</v>
      </c>
      <c r="P30" s="148">
        <v>45750</v>
      </c>
      <c r="Q30" s="108" t="str" cm="1">
        <f t="array" aca="1" ref="Q30" ca="1">IF($P30&lt;&gt;"","PAGO",IF($N30&lt;TODAY(),"ATRASADO",IF($N30&gt;TODAY(),"NO PRAZO",IF($N30=TODAY(),"NO PRAZO",SE))))</f>
        <v>PAGO</v>
      </c>
      <c r="R30" s="150" t="str">
        <f t="shared" ca="1" si="0"/>
        <v/>
      </c>
      <c r="S30" s="147"/>
      <c r="T30" s="106"/>
      <c r="U30" s="264">
        <f ca="1">SUBTOTAL(3,Tabela13[[#This Row],[STATUS]])</f>
        <v>1</v>
      </c>
      <c r="V30" s="269"/>
    </row>
    <row r="31" spans="1:22" s="52" customFormat="1" ht="24" customHeight="1">
      <c r="A31" s="113">
        <v>45714</v>
      </c>
      <c r="B31" s="105">
        <v>60979</v>
      </c>
      <c r="C31" s="688" t="str">
        <f>IFERROR(VLOOKUP(Tabela13[[#This Row],[CÓD. EMPRESA]],Tabela3[[CÓDIGO
 EMPRESA ]:[EMPRESA]],2,FALSE),"")</f>
        <v>SILCON AMBIENTAL S/A</v>
      </c>
      <c r="D31" s="112" t="s">
        <v>355</v>
      </c>
      <c r="E31" s="112" t="s">
        <v>463</v>
      </c>
      <c r="F31" s="140">
        <v>3679</v>
      </c>
      <c r="G31" s="411">
        <v>36318</v>
      </c>
      <c r="H31" s="165" t="s">
        <v>43</v>
      </c>
      <c r="I31" s="146">
        <v>45658</v>
      </c>
      <c r="J31" s="110">
        <v>45688</v>
      </c>
      <c r="K31" s="401">
        <v>210116.76</v>
      </c>
      <c r="L31" s="398">
        <f>Tabela13[[#This Row],[VALOR
 BRUTO ]]-Tabela13[[#This Row],[VALOR 
LIQUIDO ]]</f>
        <v>43704.28</v>
      </c>
      <c r="M31" s="399">
        <f>Tabela13[[#This Row],[VALORES PAGOS 
(FORMA PAGTO)]]</f>
        <v>166412.48000000001</v>
      </c>
      <c r="N31" s="110">
        <v>45739</v>
      </c>
      <c r="O31" s="389">
        <v>166412.48000000001</v>
      </c>
      <c r="P31" s="148">
        <v>45750</v>
      </c>
      <c r="Q31" s="108" t="str" cm="1">
        <f t="array" aca="1" ref="Q31" ca="1">IF($P31&lt;&gt;"","PAGO",IF($N31&lt;TODAY(),"ATRASADO",IF($N31&gt;TODAY(),"NO PRAZO",IF($N31=TODAY(),"NO PRAZO",SE))))</f>
        <v>PAGO</v>
      </c>
      <c r="R31" s="150" t="str">
        <f t="shared" ca="1" si="0"/>
        <v/>
      </c>
      <c r="S31" s="147"/>
      <c r="T31" s="314"/>
      <c r="U31" s="260">
        <f ca="1">SUBTOTAL(3,Tabela13[[#This Row],[STATUS]])</f>
        <v>1</v>
      </c>
      <c r="V31" s="269"/>
    </row>
    <row r="32" spans="1:22" s="52" customFormat="1" ht="24" customHeight="1">
      <c r="A32" s="113">
        <v>45715</v>
      </c>
      <c r="B32" s="105">
        <v>73963</v>
      </c>
      <c r="C32" s="688" t="str">
        <f>IFERROR(VLOOKUP(Tabela13[[#This Row],[CÓD. EMPRESA]],Tabela3[[CÓDIGO
 EMPRESA ]:[EMPRESA]],2,FALSE),"")</f>
        <v>REINALDO CRUZ LIMA</v>
      </c>
      <c r="D32" s="112" t="s">
        <v>365</v>
      </c>
      <c r="E32" s="112" t="s">
        <v>419</v>
      </c>
      <c r="F32" s="140">
        <v>5192</v>
      </c>
      <c r="G32" s="411">
        <v>24</v>
      </c>
      <c r="H32" s="165" t="s">
        <v>43</v>
      </c>
      <c r="I32" s="147"/>
      <c r="J32" s="113"/>
      <c r="K32" s="401">
        <v>1400</v>
      </c>
      <c r="L32" s="398">
        <f>Tabela13[[#This Row],[VALOR
 BRUTO ]]-Tabela13[[#This Row],[VALOR 
LIQUIDO ]]</f>
        <v>0</v>
      </c>
      <c r="M32" s="399">
        <f>Tabela13[[#This Row],[VALORES PAGOS 
(FORMA PAGTO)]]</f>
        <v>1400</v>
      </c>
      <c r="N32" s="113">
        <v>45715</v>
      </c>
      <c r="O32" s="389">
        <v>1400</v>
      </c>
      <c r="P32" s="148">
        <v>45715</v>
      </c>
      <c r="Q32" s="197" t="str" cm="1">
        <f t="array" aca="1" ref="Q32" ca="1">IF($P32&lt;&gt;"","PAGO",IF($N32&lt;TODAY(),"ATRASADO",IF($N32&gt;TODAY(),"NO PRAZO",IF($N32=TODAY(),"NO PRAZO",SE))))</f>
        <v>PAGO</v>
      </c>
      <c r="R32" s="150" t="str">
        <f t="shared" ca="1" si="0"/>
        <v/>
      </c>
      <c r="S32" s="147"/>
      <c r="T32" s="292"/>
      <c r="U32" s="260">
        <f ca="1">SUBTOTAL(3,Tabela13[[#This Row],[STATUS]])</f>
        <v>1</v>
      </c>
      <c r="V32" s="269"/>
    </row>
    <row r="33" spans="1:22" s="52" customFormat="1" ht="24" customHeight="1">
      <c r="A33" s="113">
        <v>45715</v>
      </c>
      <c r="B33" s="105">
        <v>73963</v>
      </c>
      <c r="C33" s="688" t="str">
        <f>IFERROR(VLOOKUP(Tabela13[[#This Row],[CÓD. EMPRESA]],Tabela3[[CÓDIGO
 EMPRESA ]:[EMPRESA]],2,FALSE),"")</f>
        <v>REINALDO CRUZ LIMA</v>
      </c>
      <c r="D33" s="112" t="s">
        <v>365</v>
      </c>
      <c r="E33" s="112" t="s">
        <v>419</v>
      </c>
      <c r="F33" s="140">
        <v>5194</v>
      </c>
      <c r="G33" s="411">
        <v>25</v>
      </c>
      <c r="H33" s="165" t="s">
        <v>43</v>
      </c>
      <c r="I33" s="147"/>
      <c r="J33" s="113"/>
      <c r="K33" s="401">
        <v>900</v>
      </c>
      <c r="L33" s="398">
        <f>Tabela13[[#This Row],[VALOR
 BRUTO ]]-Tabela13[[#This Row],[VALOR 
LIQUIDO ]]</f>
        <v>0</v>
      </c>
      <c r="M33" s="399">
        <f>Tabela13[[#This Row],[VALORES PAGOS 
(FORMA PAGTO)]]</f>
        <v>900</v>
      </c>
      <c r="N33" s="113">
        <v>45715</v>
      </c>
      <c r="O33" s="896">
        <v>900</v>
      </c>
      <c r="P33" s="148">
        <v>45715</v>
      </c>
      <c r="Q33" s="108" t="str" cm="1">
        <f t="array" aca="1" ref="Q33" ca="1">IF($P33&lt;&gt;"","PAGO",IF($N33&lt;TODAY(),"ATRASADO",IF($N33&gt;TODAY(),"NO PRAZO",IF($N33=TODAY(),"NO PRAZO",SE))))</f>
        <v>PAGO</v>
      </c>
      <c r="R33" s="150" t="str">
        <f t="shared" ca="1" si="0"/>
        <v/>
      </c>
      <c r="S33" s="147"/>
      <c r="T33" s="112"/>
      <c r="U33" s="260">
        <f ca="1">SUBTOTAL(3,Tabela13[[#This Row],[STATUS]])</f>
        <v>1</v>
      </c>
      <c r="V33" s="269"/>
    </row>
    <row r="34" spans="1:22" s="52" customFormat="1" ht="24" customHeight="1">
      <c r="A34" s="110">
        <v>45723</v>
      </c>
      <c r="B34" s="105">
        <v>121973</v>
      </c>
      <c r="C34" s="688" t="str">
        <f>IFERROR(VLOOKUP(Tabela13[[#This Row],[CÓD. EMPRESA]],Tabela3[[CÓDIGO
 EMPRESA ]:[EMPRESA]],2,FALSE),"")</f>
        <v>CONSORCIO CENTRO DE TRATAMENTO DE RESIDUOS GUARULHOS</v>
      </c>
      <c r="D34" s="112" t="s">
        <v>362</v>
      </c>
      <c r="E34" s="112" t="s">
        <v>461</v>
      </c>
      <c r="F34" s="462">
        <v>3681</v>
      </c>
      <c r="G34" s="411">
        <v>1</v>
      </c>
      <c r="H34" s="165" t="s">
        <v>45</v>
      </c>
      <c r="I34" s="146">
        <v>45678</v>
      </c>
      <c r="J34" s="110">
        <v>45688</v>
      </c>
      <c r="K34" s="397">
        <v>133925.62</v>
      </c>
      <c r="L34" s="398">
        <f>Tabela13[[#This Row],[VALOR
 BRUTO ]]-Tabela13[[#This Row],[VALOR 
LIQUIDO ]]</f>
        <v>0</v>
      </c>
      <c r="M34" s="399">
        <f>Tabela13[[#This Row],[VALORES PAGOS 
(FORMA PAGTO)]]</f>
        <v>133925.62</v>
      </c>
      <c r="N34" s="110">
        <v>45732</v>
      </c>
      <c r="O34" s="389">
        <v>133925.62</v>
      </c>
      <c r="P34" s="148">
        <v>45758</v>
      </c>
      <c r="Q34" s="108" t="str" cm="1">
        <f t="array" aca="1" ref="Q34" ca="1">IF($P34&lt;&gt;"","PAGO",IF($N34&lt;TODAY(),"ATRASADO",IF($N34&gt;TODAY(),"NO PRAZO",IF($N34=TODAY(),"NO PRAZO",SE))))</f>
        <v>PAGO</v>
      </c>
      <c r="R34" s="150" t="str">
        <f t="shared" ca="1" si="0"/>
        <v/>
      </c>
      <c r="S34" s="147"/>
      <c r="T34" s="314"/>
      <c r="U34" s="266">
        <f ca="1">SUBTOTAL(3,Tabela13[[#This Row],[STATUS]])</f>
        <v>1</v>
      </c>
      <c r="V34" s="269"/>
    </row>
    <row r="35" spans="1:22" s="52" customFormat="1" ht="24" customHeight="1">
      <c r="A35" s="110">
        <v>45723</v>
      </c>
      <c r="B35" s="105">
        <v>2808</v>
      </c>
      <c r="C35" s="688" t="str">
        <f>IFERROR(VLOOKUP(Tabela13[[#This Row],[CÓD. EMPRESA]],Tabela3[[CÓDIGO
 EMPRESA ]:[EMPRESA]],2,FALSE),"")</f>
        <v>EMPRESA BRASILEIRA DE CORREIOS E TELEGRAFOS</v>
      </c>
      <c r="D35" s="112" t="s">
        <v>34</v>
      </c>
      <c r="E35" s="112">
        <v>9912505446</v>
      </c>
      <c r="F35" s="140">
        <v>3678</v>
      </c>
      <c r="G35" s="411">
        <v>3512299</v>
      </c>
      <c r="H35" s="165" t="s">
        <v>43</v>
      </c>
      <c r="I35" s="146">
        <v>45694</v>
      </c>
      <c r="J35" s="110">
        <v>45709</v>
      </c>
      <c r="K35" s="397">
        <v>550.65</v>
      </c>
      <c r="L35" s="398">
        <f>Tabela13[[#This Row],[VALOR
 BRUTO ]]-Tabela13[[#This Row],[VALOR 
LIQUIDO ]]</f>
        <v>0</v>
      </c>
      <c r="M35" s="399">
        <f>Tabela13[[#This Row],[VALORES PAGOS 
(FORMA PAGTO)]]</f>
        <v>550.65</v>
      </c>
      <c r="N35" s="110">
        <v>45737</v>
      </c>
      <c r="O35" s="389">
        <v>550.65</v>
      </c>
      <c r="P35" s="148">
        <v>45737</v>
      </c>
      <c r="Q35" s="197" t="str" cm="1">
        <f t="array" aca="1" ref="Q35" ca="1">IF($P35&lt;&gt;"","PAGO",IF($N35&lt;TODAY(),"ATRASADO",IF($N35&gt;TODAY(),"NO PRAZO",IF($N35=TODAY(),"NO PRAZO",SE))))</f>
        <v>PAGO</v>
      </c>
      <c r="R35" s="150" t="str">
        <f t="shared" ca="1" si="0"/>
        <v/>
      </c>
      <c r="S35" s="147"/>
      <c r="T35" s="112"/>
      <c r="U35" s="266">
        <f ca="1">SUBTOTAL(3,Tabela13[[#This Row],[STATUS]])</f>
        <v>1</v>
      </c>
      <c r="V35" s="269"/>
    </row>
    <row r="36" spans="1:22" s="52" customFormat="1" ht="24" customHeight="1">
      <c r="A36" s="442">
        <v>45727</v>
      </c>
      <c r="B36" s="105">
        <v>58778</v>
      </c>
      <c r="C36" s="688" t="str">
        <f>IFERROR(VLOOKUP(Tabela13[[#This Row],[CÓD. EMPRESA]],Tabela3[[CÓDIGO
 EMPRESA ]:[EMPRESA]],2,FALSE),"")</f>
        <v>ATTEND AMBIENTAL S.A</v>
      </c>
      <c r="D36" s="139" t="s">
        <v>383</v>
      </c>
      <c r="E36" s="112" t="s">
        <v>451</v>
      </c>
      <c r="F36" s="140">
        <v>3261</v>
      </c>
      <c r="G36" s="411">
        <v>45980</v>
      </c>
      <c r="H36" s="165" t="s">
        <v>45</v>
      </c>
      <c r="I36" s="195">
        <v>45689</v>
      </c>
      <c r="J36" s="442">
        <v>45716</v>
      </c>
      <c r="K36" s="445">
        <v>104282.84</v>
      </c>
      <c r="L36" s="398">
        <f>Tabela13[[#This Row],[VALOR
 BRUTO ]]-Tabela13[[#This Row],[VALOR 
LIQUIDO ]]</f>
        <v>0</v>
      </c>
      <c r="M36" s="399">
        <f>Tabela13[[#This Row],[VALORES PAGOS 
(FORMA PAGTO)]]</f>
        <v>104282.84</v>
      </c>
      <c r="N36" s="442">
        <v>45752</v>
      </c>
      <c r="O36" s="389">
        <v>104282.84</v>
      </c>
      <c r="P36" s="148">
        <v>45793</v>
      </c>
      <c r="Q36" s="108" t="str" cm="1">
        <f t="array" aca="1" ref="Q36" ca="1">IF($P36&lt;&gt;"","PAGO",IF($N36&lt;TODAY(),"ATRASADO",IF($N36&gt;TODAY(),"NO PRAZO",IF($N36=TODAY(),"NO PRAZO",SE))))</f>
        <v>PAGO</v>
      </c>
      <c r="R36" s="150" t="str">
        <f t="shared" ca="1" si="0"/>
        <v/>
      </c>
      <c r="S36" s="147"/>
      <c r="T36" s="242"/>
      <c r="U36" s="452">
        <f ca="1">SUBTOTAL(3,Tabela13[[#This Row],[STATUS]])</f>
        <v>1</v>
      </c>
      <c r="V36" s="269"/>
    </row>
    <row r="37" spans="1:22" s="52" customFormat="1" ht="24" customHeight="1">
      <c r="A37" s="442">
        <v>45727</v>
      </c>
      <c r="B37" s="105">
        <v>58778</v>
      </c>
      <c r="C37" s="688" t="str">
        <f>IFERROR(VLOOKUP(Tabela13[[#This Row],[CÓD. EMPRESA]],Tabela3[[CÓDIGO
 EMPRESA ]:[EMPRESA]],2,FALSE),"")</f>
        <v>ATTEND AMBIENTAL S.A</v>
      </c>
      <c r="D37" s="139" t="s">
        <v>383</v>
      </c>
      <c r="E37" s="112" t="s">
        <v>451</v>
      </c>
      <c r="F37" s="140">
        <v>2925</v>
      </c>
      <c r="G37" s="411">
        <v>45980</v>
      </c>
      <c r="H37" s="165" t="s">
        <v>45</v>
      </c>
      <c r="I37" s="195">
        <v>45689</v>
      </c>
      <c r="J37" s="442">
        <v>45716</v>
      </c>
      <c r="K37" s="445">
        <v>185450.56</v>
      </c>
      <c r="L37" s="398">
        <f>Tabela13[[#This Row],[VALOR
 BRUTO ]]-Tabela13[[#This Row],[VALOR 
LIQUIDO ]]</f>
        <v>13907.2</v>
      </c>
      <c r="M37" s="399">
        <f>Tabela13[[#This Row],[VALORES PAGOS 
(FORMA PAGTO)]]</f>
        <v>171543.36</v>
      </c>
      <c r="N37" s="442">
        <v>45752</v>
      </c>
      <c r="O37" s="389">
        <v>171543.36</v>
      </c>
      <c r="P37" s="148">
        <v>45793</v>
      </c>
      <c r="Q37" s="108" t="str" cm="1">
        <f t="array" aca="1" ref="Q37" ca="1">IF($P37&lt;&gt;"","PAGO",IF($N37&lt;TODAY(),"ATRASADO",IF($N37&gt;TODAY(),"NO PRAZO",IF($N37=TODAY(),"NO PRAZO",SE))))</f>
        <v>PAGO</v>
      </c>
      <c r="R37" s="150" t="str">
        <f t="shared" ca="1" si="0"/>
        <v/>
      </c>
      <c r="S37" s="147"/>
      <c r="T37" s="242"/>
      <c r="U37" s="452">
        <f ca="1">SUBTOTAL(3,Tabela13[[#This Row],[STATUS]])</f>
        <v>1</v>
      </c>
      <c r="V37" s="269"/>
    </row>
    <row r="38" spans="1:22" s="52" customFormat="1" ht="24" customHeight="1">
      <c r="A38" s="442">
        <v>45727</v>
      </c>
      <c r="B38" s="105">
        <v>43964</v>
      </c>
      <c r="C38" s="688" t="str">
        <f>IFERROR(VLOOKUP(Tabela13[[#This Row],[CÓD. EMPRESA]],Tabela3[[CÓDIGO
 EMPRESA ]:[EMPRESA]],2,FALSE),"")</f>
        <v>A3 TERRAPLENAGEM E ENGENHARIA LTDA</v>
      </c>
      <c r="D38" s="139" t="s">
        <v>410</v>
      </c>
      <c r="E38" s="139" t="s">
        <v>418</v>
      </c>
      <c r="F38" s="140">
        <v>3675</v>
      </c>
      <c r="G38" s="411">
        <v>6031</v>
      </c>
      <c r="H38" s="165" t="s">
        <v>45</v>
      </c>
      <c r="I38" s="195"/>
      <c r="J38" s="442"/>
      <c r="K38" s="445">
        <v>108864.78</v>
      </c>
      <c r="L38" s="398">
        <f>Tabela13[[#This Row],[VALOR
 BRUTO ]]-Tabela13[[#This Row],[VALOR 
LIQUIDO ]]</f>
        <v>0</v>
      </c>
      <c r="M38" s="399">
        <f>Tabela13[[#This Row],[VALORES PAGOS 
(FORMA PAGTO)]]</f>
        <v>108864.78</v>
      </c>
      <c r="N38" s="442">
        <v>45736</v>
      </c>
      <c r="O38" s="384">
        <f>Tabela13[[#This Row],[VALOR
 BRUTO ]]</f>
        <v>108864.78</v>
      </c>
      <c r="P38" s="195"/>
      <c r="Q38" s="108" t="str" cm="1">
        <f t="array" aca="1" ref="Q38" ca="1">IF($P38&lt;&gt;"","PAGO",IF($N38&lt;TODAY(),"ATRASADO",IF($N38&gt;TODAY(),"NO PRAZO",IF($N38=TODAY(),"NO PRAZO",SE))))</f>
        <v>ATRASADO</v>
      </c>
      <c r="R38" s="150">
        <f t="shared" ca="1" si="0"/>
        <v>-327</v>
      </c>
      <c r="S38" s="147"/>
      <c r="T38" s="298"/>
      <c r="U38" s="452">
        <f ca="1">SUBTOTAL(3,Tabela13[[#This Row],[STATUS]])</f>
        <v>1</v>
      </c>
      <c r="V38" s="269"/>
    </row>
    <row r="39" spans="1:22" s="52" customFormat="1" ht="24" customHeight="1">
      <c r="A39" s="110">
        <v>45728</v>
      </c>
      <c r="B39" s="105">
        <v>104076</v>
      </c>
      <c r="C39" s="688" t="str">
        <f>IFERROR(VLOOKUP(Tabela13[[#This Row],[CÓD. EMPRESA]],Tabela3[[CÓDIGO
 EMPRESA ]:[EMPRESA]],2,FALSE),"")</f>
        <v>L DOS SANTOS FERNANDES</v>
      </c>
      <c r="D39" s="112" t="s">
        <v>385</v>
      </c>
      <c r="E39" s="112" t="s">
        <v>419</v>
      </c>
      <c r="F39" s="196">
        <v>5769</v>
      </c>
      <c r="G39" s="411">
        <v>753</v>
      </c>
      <c r="H39" s="165" t="s">
        <v>45</v>
      </c>
      <c r="I39" s="146"/>
      <c r="J39" s="110"/>
      <c r="K39" s="397">
        <v>2738</v>
      </c>
      <c r="L39" s="398">
        <f>Tabela13[[#This Row],[VALOR
 BRUTO ]]-Tabela13[[#This Row],[VALOR 
LIQUIDO ]]</f>
        <v>0</v>
      </c>
      <c r="M39" s="399">
        <f>Tabela13[[#This Row],[VALORES PAGOS 
(FORMA PAGTO)]]</f>
        <v>2738</v>
      </c>
      <c r="N39" s="110">
        <v>45728</v>
      </c>
      <c r="O39" s="389">
        <v>2738</v>
      </c>
      <c r="P39" s="146">
        <v>45758</v>
      </c>
      <c r="Q39" s="108" t="str" cm="1">
        <f t="array" aca="1" ref="Q39" ca="1">IF($P39&lt;&gt;"","PAGO",IF($N39&lt;TODAY(),"ATRASADO",IF($N39&gt;TODAY(),"NO PRAZO",IF($N39=TODAY(),"NO PRAZO",SE))))</f>
        <v>PAGO</v>
      </c>
      <c r="R39" s="150" t="str">
        <f t="shared" ca="1" si="0"/>
        <v/>
      </c>
      <c r="S39" s="147"/>
      <c r="T39" s="242" t="s">
        <v>389</v>
      </c>
      <c r="U39" s="264">
        <f ca="1">SUBTOTAL(3,Tabela13[[#This Row],[STATUS]])</f>
        <v>1</v>
      </c>
      <c r="V39" s="269"/>
    </row>
    <row r="40" spans="1:22" s="52" customFormat="1" ht="24" customHeight="1">
      <c r="A40" s="113">
        <v>45728</v>
      </c>
      <c r="B40" s="105">
        <v>121279</v>
      </c>
      <c r="C40" s="688" t="str">
        <f>IFERROR(VLOOKUP(Tabela13[[#This Row],[CÓD. EMPRESA]],Tabela3[[CÓDIGO
 EMPRESA ]:[EMPRESA]],2,FALSE),"")</f>
        <v>MAIS ENERGIA COMPONENTES ELETRICOS LTDA</v>
      </c>
      <c r="D40" s="112" t="s">
        <v>386</v>
      </c>
      <c r="E40" s="112" t="s">
        <v>419</v>
      </c>
      <c r="F40" s="140">
        <v>5768</v>
      </c>
      <c r="G40" s="411">
        <v>1142</v>
      </c>
      <c r="H40" s="165" t="s">
        <v>45</v>
      </c>
      <c r="I40" s="146"/>
      <c r="J40" s="110"/>
      <c r="K40" s="397">
        <v>840</v>
      </c>
      <c r="L40" s="398">
        <f>Tabela13[[#This Row],[VALOR
 BRUTO ]]-Tabela13[[#This Row],[VALOR 
LIQUIDO ]]</f>
        <v>0</v>
      </c>
      <c r="M40" s="399">
        <f>Tabela13[[#This Row],[VALORES PAGOS 
(FORMA PAGTO)]]</f>
        <v>840</v>
      </c>
      <c r="N40" s="110">
        <v>45728</v>
      </c>
      <c r="O40" s="380">
        <v>840</v>
      </c>
      <c r="P40" s="146">
        <v>45758</v>
      </c>
      <c r="Q40" s="108" t="str" cm="1">
        <f t="array" aca="1" ref="Q40" ca="1">IF($P40&lt;&gt;"","PAGO",IF($N40&lt;TODAY(),"ATRASADO",IF($N40&gt;TODAY(),"NO PRAZO",IF($N40=TODAY(),"NO PRAZO",SE))))</f>
        <v>PAGO</v>
      </c>
      <c r="R40" s="150" t="str">
        <f t="shared" ca="1" si="0"/>
        <v/>
      </c>
      <c r="S40" s="147"/>
      <c r="T40" s="242" t="s">
        <v>389</v>
      </c>
      <c r="U40" s="264">
        <f ca="1">SUBTOTAL(3,Tabela13[[#This Row],[STATUS]])</f>
        <v>1</v>
      </c>
      <c r="V40" s="269"/>
    </row>
    <row r="41" spans="1:22" s="52" customFormat="1" ht="24" customHeight="1">
      <c r="A41" s="110">
        <v>45728</v>
      </c>
      <c r="B41" s="105">
        <v>121920</v>
      </c>
      <c r="C41" s="688" t="str">
        <f>IFERROR(VLOOKUP(Tabela13[[#This Row],[CÓD. EMPRESA]],Tabela3[[CÓDIGO
 EMPRESA ]:[EMPRESA]],2,FALSE),"")</f>
        <v>ERAGON COMERCIO E SERVICOS DE INFORMATICA E PAPELARIA LTDA</v>
      </c>
      <c r="D41" s="112" t="s">
        <v>387</v>
      </c>
      <c r="E41" s="112" t="s">
        <v>419</v>
      </c>
      <c r="F41" s="140">
        <v>2871</v>
      </c>
      <c r="G41" s="411">
        <v>4212</v>
      </c>
      <c r="H41" s="165" t="s">
        <v>45</v>
      </c>
      <c r="I41" s="146"/>
      <c r="J41" s="110"/>
      <c r="K41" s="397">
        <v>3220</v>
      </c>
      <c r="L41" s="398">
        <f>Tabela13[[#This Row],[VALOR
 BRUTO ]]-Tabela13[[#This Row],[VALOR 
LIQUIDO ]]</f>
        <v>0</v>
      </c>
      <c r="M41" s="399">
        <f>Tabela13[[#This Row],[VALORES PAGOS 
(FORMA PAGTO)]]</f>
        <v>3220</v>
      </c>
      <c r="N41" s="110">
        <v>45728</v>
      </c>
      <c r="O41" s="389">
        <v>3220</v>
      </c>
      <c r="P41" s="146">
        <v>45742</v>
      </c>
      <c r="Q41" s="108" t="str" cm="1">
        <f t="array" aca="1" ref="Q41" ca="1">IF($P41&lt;&gt;"","PAGO",IF($N41&lt;TODAY(),"ATRASADO",IF($N41&gt;TODAY(),"NO PRAZO",IF($N41=TODAY(),"NO PRAZO",SE))))</f>
        <v>PAGO</v>
      </c>
      <c r="R41" s="150" t="str">
        <f t="shared" ca="1" si="0"/>
        <v/>
      </c>
      <c r="S41" s="147"/>
      <c r="T41" s="242" t="s">
        <v>389</v>
      </c>
      <c r="U41" s="264">
        <f ca="1">SUBTOTAL(3,Tabela13[[#This Row],[STATUS]])</f>
        <v>1</v>
      </c>
      <c r="V41" s="269"/>
    </row>
    <row r="42" spans="1:22" s="52" customFormat="1" ht="24" customHeight="1">
      <c r="A42" s="113">
        <v>45728</v>
      </c>
      <c r="B42" s="105">
        <v>76116</v>
      </c>
      <c r="C42" s="688" t="str">
        <f>IFERROR(VLOOKUP(Tabela13[[#This Row],[CÓD. EMPRESA]],Tabela3[[CÓDIGO
 EMPRESA ]:[EMPRESA]],2,FALSE),"")</f>
        <v>ALVORADA SISTEMA AMBIENTAL EIRELI</v>
      </c>
      <c r="D42" s="112" t="s">
        <v>342</v>
      </c>
      <c r="E42" s="112" t="s">
        <v>460</v>
      </c>
      <c r="F42" s="140">
        <v>2916</v>
      </c>
      <c r="G42" s="411">
        <v>13316</v>
      </c>
      <c r="H42" s="165" t="s">
        <v>45</v>
      </c>
      <c r="I42" s="147">
        <v>45689</v>
      </c>
      <c r="J42" s="113">
        <v>45716</v>
      </c>
      <c r="K42" s="401">
        <v>200725.65</v>
      </c>
      <c r="L42" s="398">
        <f>Tabela13[[#This Row],[VALOR
 BRUTO ]]-Tabela13[[#This Row],[VALOR 
LIQUIDO ]]</f>
        <v>30732.6</v>
      </c>
      <c r="M42" s="399">
        <f>Tabela13[[#This Row],[VALORES PAGOS 
(FORMA PAGTO)]]</f>
        <v>169993.05</v>
      </c>
      <c r="N42" s="113">
        <v>45753</v>
      </c>
      <c r="O42" s="389">
        <v>169993.05</v>
      </c>
      <c r="P42" s="147">
        <v>45783</v>
      </c>
      <c r="Q42" s="108" t="str" cm="1">
        <f t="array" aca="1" ref="Q42" ca="1">IF($P42&lt;&gt;"","PAGO",IF($N42&lt;TODAY(),"ATRASADO",IF($N42&gt;TODAY(),"NO PRAZO",IF($N42=TODAY(),"NO PRAZO",SE))))</f>
        <v>PAGO</v>
      </c>
      <c r="R42" s="150" t="str">
        <f t="shared" ca="1" si="0"/>
        <v/>
      </c>
      <c r="S42" s="147"/>
      <c r="T42" s="242"/>
      <c r="U42" s="260">
        <f ca="1">SUBTOTAL(3,Tabela13[[#This Row],[STATUS]])</f>
        <v>1</v>
      </c>
      <c r="V42" s="270"/>
    </row>
    <row r="43" spans="1:22" s="52" customFormat="1" ht="30">
      <c r="A43" s="113">
        <v>45728</v>
      </c>
      <c r="B43" s="105">
        <v>121876</v>
      </c>
      <c r="C43" s="688" t="str">
        <f>IFERROR(VLOOKUP(Tabela13[[#This Row],[CÓD. EMPRESA]],Tabela3[[CÓDIGO
 EMPRESA ]:[EMPRESA]],2,FALSE),"")</f>
        <v>CCS COMERCIO SERVICOS E LOCACAO DE MAQUINAS E EQUIPAMENTOS LTDA</v>
      </c>
      <c r="D43" s="112" t="s">
        <v>388</v>
      </c>
      <c r="E43" s="112" t="s">
        <v>419</v>
      </c>
      <c r="F43" s="140">
        <v>5770</v>
      </c>
      <c r="G43" s="411">
        <v>373</v>
      </c>
      <c r="H43" s="165" t="s">
        <v>45</v>
      </c>
      <c r="I43" s="147"/>
      <c r="J43" s="113"/>
      <c r="K43" s="401">
        <v>1826.58</v>
      </c>
      <c r="L43" s="398">
        <f>Tabela13[[#This Row],[VALOR
 BRUTO ]]-Tabela13[[#This Row],[VALOR 
LIQUIDO ]]</f>
        <v>0</v>
      </c>
      <c r="M43" s="399">
        <f>Tabela13[[#This Row],[VALORES PAGOS 
(FORMA PAGTO)]]</f>
        <v>1826.58</v>
      </c>
      <c r="N43" s="113">
        <v>45728</v>
      </c>
      <c r="O43" s="389">
        <v>1826.58</v>
      </c>
      <c r="P43" s="147">
        <v>45770</v>
      </c>
      <c r="Q43" s="108" t="str" cm="1">
        <f t="array" aca="1" ref="Q43" ca="1">IF($P43&lt;&gt;"","PAGO",IF($N43&lt;TODAY(),"ATRASADO",IF($N43&gt;TODAY(),"NO PRAZO",IF($N43=TODAY(),"NO PRAZO",SE))))</f>
        <v>PAGO</v>
      </c>
      <c r="R43" s="150" t="str">
        <f t="shared" ca="1" si="0"/>
        <v/>
      </c>
      <c r="S43" s="147"/>
      <c r="T43" s="242" t="s">
        <v>389</v>
      </c>
      <c r="U43" s="260">
        <f ca="1">SUBTOTAL(3,Tabela13[[#This Row],[STATUS]])</f>
        <v>1</v>
      </c>
      <c r="V43" s="269"/>
    </row>
    <row r="44" spans="1:22" s="52" customFormat="1" ht="24" customHeight="1">
      <c r="A44" s="113">
        <v>45728</v>
      </c>
      <c r="B44" s="105">
        <v>76116</v>
      </c>
      <c r="C44" s="688" t="str">
        <f>IFERROR(VLOOKUP(Tabela13[[#This Row],[CÓD. EMPRESA]],Tabela3[[CÓDIGO
 EMPRESA ]:[EMPRESA]],2,FALSE),"")</f>
        <v>ALVORADA SISTEMA AMBIENTAL EIRELI</v>
      </c>
      <c r="D44" s="112" t="s">
        <v>342</v>
      </c>
      <c r="E44" s="112" t="s">
        <v>460</v>
      </c>
      <c r="F44" s="140">
        <v>3256</v>
      </c>
      <c r="G44" s="411">
        <v>13316</v>
      </c>
      <c r="H44" s="165" t="s">
        <v>45</v>
      </c>
      <c r="I44" s="147">
        <v>45689</v>
      </c>
      <c r="J44" s="113">
        <v>45716</v>
      </c>
      <c r="K44" s="401">
        <v>112872.35</v>
      </c>
      <c r="L44" s="398">
        <f>Tabela13[[#This Row],[VALOR
 BRUTO ]]-Tabela13[[#This Row],[VALOR 
LIQUIDO ]]</f>
        <v>0</v>
      </c>
      <c r="M44" s="399">
        <f>Tabela13[[#This Row],[VALORES PAGOS 
(FORMA PAGTO)]]</f>
        <v>112872.35</v>
      </c>
      <c r="N44" s="113">
        <v>45753</v>
      </c>
      <c r="O44" s="389">
        <v>112872.35</v>
      </c>
      <c r="P44" s="147">
        <v>45783</v>
      </c>
      <c r="Q44" s="108" t="str" cm="1">
        <f t="array" aca="1" ref="Q44" ca="1">IF($P44&lt;&gt;"","PAGO",IF($N44&lt;TODAY(),"ATRASADO",IF($N44&gt;TODAY(),"NO PRAZO",IF($N44=TODAY(),"NO PRAZO",SE))))</f>
        <v>PAGO</v>
      </c>
      <c r="R44" s="150" t="str">
        <f t="shared" ca="1" si="0"/>
        <v/>
      </c>
      <c r="S44" s="147"/>
      <c r="T44" s="242"/>
      <c r="U44" s="260">
        <f ca="1">SUBTOTAL(3,Tabela13[[#This Row],[STATUS]])</f>
        <v>1</v>
      </c>
      <c r="V44" s="269"/>
    </row>
    <row r="45" spans="1:22" s="52" customFormat="1" ht="24" customHeight="1">
      <c r="A45" s="110">
        <v>45728</v>
      </c>
      <c r="B45" s="105">
        <v>67538</v>
      </c>
      <c r="C45" s="688" t="str">
        <f>IFERROR(VLOOKUP(Tabela13[[#This Row],[CÓD. EMPRESA]],Tabela3[[CÓDIGO
 EMPRESA ]:[EMPRESA]],2,FALSE),"")</f>
        <v>IGM2 METROLOGIA E MANUTENCAO LTDA</v>
      </c>
      <c r="D45" s="112" t="s">
        <v>344</v>
      </c>
      <c r="E45" s="112" t="s">
        <v>614</v>
      </c>
      <c r="F45" s="140">
        <v>5785</v>
      </c>
      <c r="G45" s="109">
        <v>287</v>
      </c>
      <c r="H45" s="165" t="s">
        <v>45</v>
      </c>
      <c r="I45" s="146"/>
      <c r="J45" s="110"/>
      <c r="K45" s="397">
        <v>560</v>
      </c>
      <c r="L45" s="398">
        <f>Tabela13[[#This Row],[VALOR
 BRUTO ]]-Tabela13[[#This Row],[VALOR 
LIQUIDO ]]</f>
        <v>0</v>
      </c>
      <c r="M45" s="399">
        <f>Tabela13[[#This Row],[VALORES PAGOS 
(FORMA PAGTO)]]</f>
        <v>560</v>
      </c>
      <c r="N45" s="110">
        <v>45728</v>
      </c>
      <c r="O45" s="380">
        <v>560</v>
      </c>
      <c r="P45" s="146">
        <v>45758</v>
      </c>
      <c r="Q45" s="108" t="str" cm="1">
        <f t="array" aca="1" ref="Q45" ca="1">IF($P45&lt;&gt;"","PAGO",IF($N45&lt;TODAY(),"ATRASADO",IF($N45&gt;TODAY(),"NO PRAZO",IF($N45=TODAY(),"NO PRAZO",SE))))</f>
        <v>PAGO</v>
      </c>
      <c r="R45" s="150" t="str">
        <f t="shared" ca="1" si="0"/>
        <v/>
      </c>
      <c r="S45" s="147"/>
      <c r="T45" s="112" t="s">
        <v>389</v>
      </c>
      <c r="U45" s="264">
        <f ca="1">SUBTOTAL(3,Tabela13[[#This Row],[STATUS]])</f>
        <v>1</v>
      </c>
      <c r="V45" s="269"/>
    </row>
    <row r="46" spans="1:22" s="52" customFormat="1" ht="24" customHeight="1">
      <c r="A46" s="110">
        <v>45728</v>
      </c>
      <c r="B46" s="105">
        <v>67538</v>
      </c>
      <c r="C46" s="688" t="str">
        <f>IFERROR(VLOOKUP(Tabela13[[#This Row],[CÓD. EMPRESA]],Tabela3[[CÓDIGO
 EMPRESA ]:[EMPRESA]],2,FALSE),"")</f>
        <v>IGM2 METROLOGIA E MANUTENCAO LTDA</v>
      </c>
      <c r="D46" s="112" t="s">
        <v>344</v>
      </c>
      <c r="E46" s="112" t="s">
        <v>614</v>
      </c>
      <c r="F46" s="140">
        <v>5774</v>
      </c>
      <c r="G46" s="109">
        <v>1254</v>
      </c>
      <c r="H46" s="165" t="s">
        <v>45</v>
      </c>
      <c r="I46" s="146"/>
      <c r="J46" s="110"/>
      <c r="K46" s="401">
        <v>1535.16</v>
      </c>
      <c r="L46" s="398">
        <f>Tabela13[[#This Row],[VALOR
 BRUTO ]]-Tabela13[[#This Row],[VALOR 
LIQUIDO ]]</f>
        <v>0</v>
      </c>
      <c r="M46" s="399">
        <f>Tabela13[[#This Row],[VALORES PAGOS 
(FORMA PAGTO)]]</f>
        <v>1535.16</v>
      </c>
      <c r="N46" s="110">
        <v>45728</v>
      </c>
      <c r="O46" s="389">
        <v>1535.16</v>
      </c>
      <c r="P46" s="146">
        <v>45758</v>
      </c>
      <c r="Q46" s="108" t="str" cm="1">
        <f t="array" aca="1" ref="Q46" ca="1">IF($P46&lt;&gt;"","PAGO",IF($N46&lt;TODAY(),"ATRASADO",IF($N46&gt;TODAY(),"NO PRAZO",IF($N46=TODAY(),"NO PRAZO",SE))))</f>
        <v>PAGO</v>
      </c>
      <c r="R46" s="150" t="str">
        <f t="shared" ca="1" si="0"/>
        <v/>
      </c>
      <c r="S46" s="147"/>
      <c r="T46" s="242" t="s">
        <v>389</v>
      </c>
      <c r="U46" s="266">
        <f ca="1">SUBTOTAL(3,Tabela13[[#This Row],[STATUS]])</f>
        <v>1</v>
      </c>
      <c r="V46" s="269"/>
    </row>
    <row r="47" spans="1:22" s="52" customFormat="1" ht="24" customHeight="1">
      <c r="A47" s="143">
        <v>45728</v>
      </c>
      <c r="B47" s="105">
        <v>67538</v>
      </c>
      <c r="C47" s="688" t="str">
        <f>IFERROR(VLOOKUP(Tabela13[[#This Row],[CÓD. EMPRESA]],Tabela3[[CÓDIGO
 EMPRESA ]:[EMPRESA]],2,FALSE),"")</f>
        <v>IGM2 METROLOGIA E MANUTENCAO LTDA</v>
      </c>
      <c r="D47" s="112" t="s">
        <v>344</v>
      </c>
      <c r="E47" s="112" t="s">
        <v>614</v>
      </c>
      <c r="F47" s="140">
        <v>5774</v>
      </c>
      <c r="G47" s="109">
        <v>1314</v>
      </c>
      <c r="H47" s="165" t="s">
        <v>45</v>
      </c>
      <c r="I47" s="148"/>
      <c r="J47" s="143"/>
      <c r="K47" s="401">
        <v>1535.16</v>
      </c>
      <c r="L47" s="398">
        <f>Tabela13[[#This Row],[VALOR
 BRUTO ]]-Tabela13[[#This Row],[VALOR 
LIQUIDO ]]</f>
        <v>0</v>
      </c>
      <c r="M47" s="399">
        <f>Tabela13[[#This Row],[VALORES PAGOS 
(FORMA PAGTO)]]</f>
        <v>1535.16</v>
      </c>
      <c r="N47" s="143">
        <v>45728</v>
      </c>
      <c r="O47" s="379">
        <v>1535.16</v>
      </c>
      <c r="P47" s="148">
        <v>45758</v>
      </c>
      <c r="Q47" s="108" t="str" cm="1">
        <f t="array" aca="1" ref="Q47" ca="1">IF($P47&lt;&gt;"","PAGO",IF($N47&lt;TODAY(),"ATRASADO",IF($N47&gt;TODAY(),"NO PRAZO",IF($N47=TODAY(),"NO PRAZO",SE))))</f>
        <v>PAGO</v>
      </c>
      <c r="R47" s="150" t="str">
        <f t="shared" ca="1" si="0"/>
        <v/>
      </c>
      <c r="S47" s="147"/>
      <c r="T47" s="242" t="s">
        <v>389</v>
      </c>
      <c r="U47" s="262">
        <f ca="1">SUBTOTAL(3,Tabela13[[#This Row],[STATUS]])</f>
        <v>1</v>
      </c>
      <c r="V47" s="269"/>
    </row>
    <row r="48" spans="1:22" s="52" customFormat="1" ht="24" customHeight="1">
      <c r="A48" s="143">
        <v>45728</v>
      </c>
      <c r="B48" s="105">
        <v>54615</v>
      </c>
      <c r="C48" s="688" t="str">
        <f>IFERROR(VLOOKUP(Tabela13[[#This Row],[CÓD. EMPRESA]],Tabela3[[CÓDIGO
 EMPRESA ]:[EMPRESA]],2,FALSE),"")</f>
        <v>NEO-TAGUS COMERCIO E ASSISTENCIA TECNICA LTDA</v>
      </c>
      <c r="D48" s="112" t="s">
        <v>133</v>
      </c>
      <c r="E48" s="112" t="s">
        <v>442</v>
      </c>
      <c r="F48" s="140">
        <v>5793</v>
      </c>
      <c r="G48" s="411">
        <v>8869</v>
      </c>
      <c r="H48" s="165" t="s">
        <v>45</v>
      </c>
      <c r="I48" s="148">
        <v>45624</v>
      </c>
      <c r="J48" s="143">
        <v>45653</v>
      </c>
      <c r="K48" s="397">
        <v>4233</v>
      </c>
      <c r="L48" s="398">
        <f>Tabela13[[#This Row],[VALOR
 BRUTO ]]-Tabela13[[#This Row],[VALOR 
LIQUIDO ]]</f>
        <v>203.18</v>
      </c>
      <c r="M48" s="399">
        <f>Tabela13[[#This Row],[VALORES PAGOS 
(FORMA PAGTO)]]</f>
        <v>4029.82</v>
      </c>
      <c r="N48" s="143">
        <v>45728</v>
      </c>
      <c r="O48" s="379">
        <v>4029.82</v>
      </c>
      <c r="P48" s="148">
        <v>45758</v>
      </c>
      <c r="Q48" s="108" t="str" cm="1">
        <f t="array" aca="1" ref="Q48" ca="1">IF($P48&lt;&gt;"","PAGO",IF($N48&lt;TODAY(),"ATRASADO",IF($N48&gt;TODAY(),"NO PRAZO",IF($N48=TODAY(),"NO PRAZO",SE))))</f>
        <v>PAGO</v>
      </c>
      <c r="R48" s="150" t="str">
        <f t="shared" ca="1" si="0"/>
        <v/>
      </c>
      <c r="S48" s="147"/>
      <c r="T48" s="242" t="s">
        <v>389</v>
      </c>
      <c r="U48" s="262">
        <f ca="1">SUBTOTAL(3,Tabela13[[#This Row],[STATUS]])</f>
        <v>1</v>
      </c>
      <c r="V48" s="269"/>
    </row>
    <row r="49" spans="1:22" s="52" customFormat="1" ht="24" customHeight="1">
      <c r="A49" s="143">
        <v>45728</v>
      </c>
      <c r="B49" s="105">
        <v>54615</v>
      </c>
      <c r="C49" s="688" t="str">
        <f>IFERROR(VLOOKUP(Tabela13[[#This Row],[CÓD. EMPRESA]],Tabela3[[CÓDIGO
 EMPRESA ]:[EMPRESA]],2,FALSE),"")</f>
        <v>NEO-TAGUS COMERCIO E ASSISTENCIA TECNICA LTDA</v>
      </c>
      <c r="D49" s="112" t="s">
        <v>133</v>
      </c>
      <c r="E49" s="112" t="s">
        <v>442</v>
      </c>
      <c r="F49" s="140">
        <v>2854</v>
      </c>
      <c r="G49" s="411">
        <v>9032</v>
      </c>
      <c r="H49" s="165" t="s">
        <v>45</v>
      </c>
      <c r="I49" s="148">
        <v>45685</v>
      </c>
      <c r="J49" s="143">
        <v>45715</v>
      </c>
      <c r="K49" s="401">
        <v>4233</v>
      </c>
      <c r="L49" s="398">
        <f>Tabela13[[#This Row],[VALOR
 BRUTO ]]-Tabela13[[#This Row],[VALOR 
LIQUIDO ]]</f>
        <v>203.18</v>
      </c>
      <c r="M49" s="399">
        <f>Tabela13[[#This Row],[VALORES PAGOS 
(FORMA PAGTO)]]</f>
        <v>4029.82</v>
      </c>
      <c r="N49" s="143">
        <v>45743</v>
      </c>
      <c r="O49" s="389">
        <v>4029.82</v>
      </c>
      <c r="P49" s="148">
        <v>45776</v>
      </c>
      <c r="Q49" s="108" t="str" cm="1">
        <f t="array" aca="1" ref="Q49" ca="1">IF($P49&lt;&gt;"","PAGO",IF($N49&lt;TODAY(),"ATRASADO",IF($N49&gt;TODAY(),"NO PRAZO",IF($N49=TODAY(),"NO PRAZO",SE))))</f>
        <v>PAGO</v>
      </c>
      <c r="R49" s="150" t="str">
        <f t="shared" ca="1" si="0"/>
        <v/>
      </c>
      <c r="S49" s="147"/>
      <c r="T49" s="112"/>
      <c r="U49" s="262">
        <f ca="1">SUBTOTAL(3,Tabela13[[#This Row],[STATUS]])</f>
        <v>1</v>
      </c>
      <c r="V49" s="269"/>
    </row>
    <row r="50" spans="1:22" s="52" customFormat="1" ht="24" customHeight="1">
      <c r="A50" s="143">
        <v>45728</v>
      </c>
      <c r="B50" s="105">
        <v>76457</v>
      </c>
      <c r="C50" s="688" t="str">
        <f>IFERROR(VLOOKUP(Tabela13[[#This Row],[CÓD. EMPRESA]],Tabela3[[CÓDIGO
 EMPRESA ]:[EMPRESA]],2,FALSE),"")</f>
        <v>CONSORCIO NOVE GESTÃO DE RESIDUOS</v>
      </c>
      <c r="D50" s="112" t="s">
        <v>408</v>
      </c>
      <c r="E50" s="144" t="s">
        <v>409</v>
      </c>
      <c r="F50" s="140">
        <v>5804</v>
      </c>
      <c r="G50" s="411">
        <v>36</v>
      </c>
      <c r="H50" s="165" t="s">
        <v>45</v>
      </c>
      <c r="I50" s="148">
        <v>45658</v>
      </c>
      <c r="J50" s="143">
        <v>45661</v>
      </c>
      <c r="K50" s="400">
        <v>82754.2</v>
      </c>
      <c r="L50" s="398">
        <f>Tabela13[[#This Row],[VALOR
 BRUTO ]]-Tabela13[[#This Row],[VALOR 
LIQUIDO ]]</f>
        <v>9682.24</v>
      </c>
      <c r="M50" s="399">
        <f>Tabela13[[#This Row],[VALORES PAGOS 
(FORMA PAGTO)]]</f>
        <v>73071.960000000006</v>
      </c>
      <c r="N50" s="143">
        <v>45728</v>
      </c>
      <c r="O50" s="380">
        <v>73071.960000000006</v>
      </c>
      <c r="P50" s="148">
        <v>45776</v>
      </c>
      <c r="Q50" s="108" t="str" cm="1">
        <f t="array" aca="1" ref="Q50" ca="1">IF($P50&lt;&gt;"","PAGO",IF($N50&lt;TODAY(),"ATRASADO",IF($N50&gt;TODAY(),"NO PRAZO",IF($N50=TODAY(),"NO PRAZO",SE))))</f>
        <v>PAGO</v>
      </c>
      <c r="R50" s="150" t="str">
        <f t="shared" ca="1" si="0"/>
        <v/>
      </c>
      <c r="S50" s="147"/>
      <c r="T50" s="242"/>
      <c r="U50" s="262">
        <f ca="1">SUBTOTAL(3,Tabela13[[#This Row],[STATUS]])</f>
        <v>1</v>
      </c>
      <c r="V50" s="269"/>
    </row>
    <row r="51" spans="1:22" s="52" customFormat="1" ht="24" customHeight="1">
      <c r="A51" s="113">
        <v>45730</v>
      </c>
      <c r="B51" s="114">
        <v>54615</v>
      </c>
      <c r="C51" s="688" t="str">
        <f>IFERROR(VLOOKUP(Tabela13[[#This Row],[CÓD. EMPRESA]],Tabela3[[CÓDIGO
 EMPRESA ]:[EMPRESA]],2,FALSE),"")</f>
        <v>NEO-TAGUS COMERCIO E ASSISTENCIA TECNICA LTDA</v>
      </c>
      <c r="D51" s="112" t="s">
        <v>133</v>
      </c>
      <c r="E51" s="112" t="s">
        <v>442</v>
      </c>
      <c r="F51" s="196">
        <v>2854</v>
      </c>
      <c r="G51" s="109">
        <v>9077</v>
      </c>
      <c r="H51" s="165" t="s">
        <v>45</v>
      </c>
      <c r="I51" s="147">
        <v>45654</v>
      </c>
      <c r="J51" s="113">
        <v>45684</v>
      </c>
      <c r="K51" s="401">
        <v>4233</v>
      </c>
      <c r="L51" s="398">
        <f>Tabela13[[#This Row],[VALOR
 BRUTO ]]-Tabela13[[#This Row],[VALOR 
LIQUIDO ]]</f>
        <v>203.18</v>
      </c>
      <c r="M51" s="703">
        <f>Tabela13[[#This Row],[VALORES PAGOS 
(FORMA PAGTO)]]</f>
        <v>4029.82</v>
      </c>
      <c r="N51" s="113">
        <v>45759</v>
      </c>
      <c r="O51" s="385">
        <v>4029.82</v>
      </c>
      <c r="P51" s="147">
        <v>45790</v>
      </c>
      <c r="Q51" s="197" t="str" cm="1">
        <f t="array" aca="1" ref="Q51" ca="1">IF($P51&lt;&gt;"","PAGO",IF($N51&lt;TODAY(),"ATRASADO",IF($N51&gt;TODAY(),"NO PRAZO",IF($N51=TODAY(),"NO PRAZO",SE))))</f>
        <v>PAGO</v>
      </c>
      <c r="R51" s="259" t="str">
        <f t="shared" ca="1" si="0"/>
        <v/>
      </c>
      <c r="S51" s="147"/>
      <c r="T51" s="242"/>
      <c r="U51" s="259">
        <f ca="1">SUBTOTAL(3,Tabela13[[#This Row],[STATUS]])</f>
        <v>1</v>
      </c>
      <c r="V51" s="269"/>
    </row>
    <row r="52" spans="1:22" s="52" customFormat="1" ht="24" customHeight="1">
      <c r="A52" s="113">
        <v>45730</v>
      </c>
      <c r="B52" s="105">
        <v>68004</v>
      </c>
      <c r="C52" s="688" t="str">
        <f>IFERROR(VLOOKUP(Tabela13[[#This Row],[CÓD. EMPRESA]],Tabela3[[CÓDIGO
 EMPRESA ]:[EMPRESA]],2,FALSE),"")</f>
        <v>VB AMBIENTAL CONSULTORIA E PROJETOS LTDA-ME</v>
      </c>
      <c r="D52" s="112" t="s">
        <v>349</v>
      </c>
      <c r="E52" s="112" t="s">
        <v>489</v>
      </c>
      <c r="F52" s="140">
        <v>2927</v>
      </c>
      <c r="G52" s="411">
        <v>1899</v>
      </c>
      <c r="H52" s="165" t="s">
        <v>45</v>
      </c>
      <c r="I52" s="147"/>
      <c r="J52" s="113"/>
      <c r="K52" s="401">
        <v>5430.18</v>
      </c>
      <c r="L52" s="398">
        <f>Tabela13[[#This Row],[VALOR
 BRUTO ]]-Tabela13[[#This Row],[VALOR 
LIQUIDO ]]</f>
        <v>260.64999999999998</v>
      </c>
      <c r="M52" s="399">
        <f>Tabela13[[#This Row],[VALORES PAGOS 
(FORMA PAGTO)]]</f>
        <v>5169.53</v>
      </c>
      <c r="N52" s="113">
        <v>45757</v>
      </c>
      <c r="O52" s="389">
        <v>5169.53</v>
      </c>
      <c r="P52" s="147">
        <v>45790</v>
      </c>
      <c r="Q52" s="108" t="str" cm="1">
        <f t="array" aca="1" ref="Q52" ca="1">IF($P52&lt;&gt;"","PAGO",IF($N52&lt;TODAY(),"ATRASADO",IF($N52&gt;TODAY(),"NO PRAZO",IF($N52=TODAY(),"NO PRAZO",SE))))</f>
        <v>PAGO</v>
      </c>
      <c r="R52" s="150" t="str">
        <f t="shared" ca="1" si="0"/>
        <v/>
      </c>
      <c r="S52" s="147"/>
      <c r="T52" s="242"/>
      <c r="U52" s="260">
        <f ca="1">SUBTOTAL(3,Tabela13[[#This Row],[STATUS]])</f>
        <v>1</v>
      </c>
      <c r="V52" s="269"/>
    </row>
    <row r="53" spans="1:22" s="52" customFormat="1" ht="24" customHeight="1">
      <c r="A53" s="110">
        <v>45730</v>
      </c>
      <c r="B53" s="105">
        <v>2808</v>
      </c>
      <c r="C53" s="688" t="str">
        <f>IFERROR(VLOOKUP(Tabela13[[#This Row],[CÓD. EMPRESA]],Tabela3[[CÓDIGO
 EMPRESA ]:[EMPRESA]],2,FALSE),"")</f>
        <v>EMPRESA BRASILEIRA DE CORREIOS E TELEGRAFOS</v>
      </c>
      <c r="D53" s="112" t="s">
        <v>34</v>
      </c>
      <c r="E53" s="112">
        <v>9912505446</v>
      </c>
      <c r="F53" s="249">
        <v>5908</v>
      </c>
      <c r="G53" s="411">
        <v>3426261</v>
      </c>
      <c r="H53" s="165" t="s">
        <v>45</v>
      </c>
      <c r="I53" s="146">
        <v>45597</v>
      </c>
      <c r="J53" s="110">
        <v>45656</v>
      </c>
      <c r="K53" s="397">
        <v>1320.65</v>
      </c>
      <c r="L53" s="398">
        <f>Tabela13[[#This Row],[VALOR
 BRUTO ]]-Tabela13[[#This Row],[VALOR 
LIQUIDO ]]</f>
        <v>0</v>
      </c>
      <c r="M53" s="399">
        <f>Tabela13[[#This Row],[VALORES PAGOS 
(FORMA PAGTO)]]</f>
        <v>1320.65</v>
      </c>
      <c r="N53" s="110">
        <v>45730</v>
      </c>
      <c r="O53" s="380">
        <f>Tabela13[[#This Row],[VALOR
 BRUTO ]]</f>
        <v>1320.65</v>
      </c>
      <c r="P53" s="146">
        <v>45740</v>
      </c>
      <c r="Q53" s="108" t="str" cm="1">
        <f t="array" aca="1" ref="Q53" ca="1">IF($P53&lt;&gt;"","PAGO",IF($N53&lt;TODAY(),"ATRASADO",IF($N53&gt;TODAY(),"NO PRAZO",IF($N53=TODAY(),"NO PRAZO",SE))))</f>
        <v>PAGO</v>
      </c>
      <c r="R53" s="150" t="str">
        <f t="shared" ca="1" si="0"/>
        <v/>
      </c>
      <c r="S53" s="147"/>
      <c r="T53" s="242" t="s">
        <v>389</v>
      </c>
      <c r="U53" s="264">
        <f ca="1">SUBTOTAL(3,Tabela13[[#This Row],[STATUS]])</f>
        <v>1</v>
      </c>
      <c r="V53" s="269"/>
    </row>
    <row r="54" spans="1:22" s="52" customFormat="1" ht="24" customHeight="1">
      <c r="A54" s="248">
        <v>45730</v>
      </c>
      <c r="B54" s="105">
        <v>2808</v>
      </c>
      <c r="C54" s="688" t="str">
        <f>IFERROR(VLOOKUP(Tabela13[[#This Row],[CÓD. EMPRESA]],Tabela3[[CÓDIGO
 EMPRESA ]:[EMPRESA]],2,FALSE),"")</f>
        <v>EMPRESA BRASILEIRA DE CORREIOS E TELEGRAFOS</v>
      </c>
      <c r="D54" s="112" t="s">
        <v>34</v>
      </c>
      <c r="E54" s="112">
        <v>9912505446</v>
      </c>
      <c r="F54" s="249">
        <v>5908</v>
      </c>
      <c r="G54" s="411">
        <v>3453534</v>
      </c>
      <c r="H54" s="165" t="s">
        <v>45</v>
      </c>
      <c r="I54" s="250">
        <v>45597</v>
      </c>
      <c r="J54" s="248">
        <v>45656</v>
      </c>
      <c r="K54" s="401">
        <v>2945</v>
      </c>
      <c r="L54" s="398">
        <f>Tabela13[[#This Row],[VALOR
 BRUTO ]]-Tabela13[[#This Row],[VALOR 
LIQUIDO ]]</f>
        <v>0</v>
      </c>
      <c r="M54" s="399">
        <f>Tabela13[[#This Row],[VALORES PAGOS 
(FORMA PAGTO)]]</f>
        <v>2945</v>
      </c>
      <c r="N54" s="248">
        <v>45730</v>
      </c>
      <c r="O54" s="387">
        <f>Tabela13[[#This Row],[VALOR
 BRUTO ]]</f>
        <v>2945</v>
      </c>
      <c r="P54" s="250">
        <v>45740</v>
      </c>
      <c r="Q54" s="251" t="str" cm="1">
        <f t="array" aca="1" ref="Q54" ca="1">IF($P54&lt;&gt;"","PAGO",IF($N54&lt;TODAY(),"ATRASADO",IF($N54&gt;TODAY(),"NO PRAZO",IF($N54=TODAY(),"NO PRAZO",SE))))</f>
        <v>PAGO</v>
      </c>
      <c r="R54" s="150" t="str">
        <f t="shared" ca="1" si="0"/>
        <v/>
      </c>
      <c r="S54" s="147"/>
      <c r="T54" s="242" t="s">
        <v>389</v>
      </c>
      <c r="U54" s="265">
        <f ca="1">SUBTOTAL(3,Tabela13[[#This Row],[STATUS]])</f>
        <v>1</v>
      </c>
      <c r="V54" s="269"/>
    </row>
    <row r="55" spans="1:22" s="52" customFormat="1" ht="24" customHeight="1">
      <c r="A55" s="143">
        <v>45733</v>
      </c>
      <c r="B55" s="105">
        <v>64671</v>
      </c>
      <c r="C55" s="688" t="str">
        <f>IFERROR(VLOOKUP(Tabela13[[#This Row],[CÓD. EMPRESA]],Tabela3[[CÓDIGO
 EMPRESA ]:[EMPRESA]],2,FALSE),"")</f>
        <v>C A DE O NEVES</v>
      </c>
      <c r="D55" s="112" t="s">
        <v>411</v>
      </c>
      <c r="E55" s="112" t="s">
        <v>420</v>
      </c>
      <c r="F55" s="140">
        <v>3750</v>
      </c>
      <c r="G55" s="411">
        <v>483</v>
      </c>
      <c r="H55" s="165" t="s">
        <v>46</v>
      </c>
      <c r="I55" s="148"/>
      <c r="J55" s="143"/>
      <c r="K55" s="400">
        <v>7778.67</v>
      </c>
      <c r="L55" s="398">
        <f>Tabela13[[#This Row],[VALOR
 BRUTO ]]-Tabela13[[#This Row],[VALOR 
LIQUIDO ]]</f>
        <v>0</v>
      </c>
      <c r="M55" s="399">
        <f>Tabela13[[#This Row],[VALORES PAGOS 
(FORMA PAGTO)]]</f>
        <v>7778.67</v>
      </c>
      <c r="N55" s="143">
        <v>45752</v>
      </c>
      <c r="O55" s="392">
        <v>7778.67</v>
      </c>
      <c r="P55" s="148">
        <v>45790</v>
      </c>
      <c r="Q55" s="191" t="str">
        <f t="array" aca="1" ref="Q55" ca="1">IF($P55&lt;&gt;"","PAGO",IF($N55&lt;TODAY(),"ATRASADO",IF($N55&gt;TODAY(),"NO PRAZO",IF($N55=TODAY(),"NO PRAZO",SE))))</f>
        <v>PAGO</v>
      </c>
      <c r="R55" s="150" t="str">
        <f t="shared" ca="1" si="0"/>
        <v/>
      </c>
      <c r="S55" s="147"/>
      <c r="T55" s="242"/>
      <c r="U55" s="262">
        <f ca="1">SUBTOTAL(3,Tabela13[[#This Row],[STATUS]])</f>
        <v>1</v>
      </c>
      <c r="V55" s="269"/>
    </row>
    <row r="56" spans="1:22" s="52" customFormat="1" ht="24" customHeight="1">
      <c r="A56" s="143">
        <v>45733</v>
      </c>
      <c r="B56" s="105">
        <v>63516</v>
      </c>
      <c r="C56" s="688" t="str">
        <f>IFERROR(VLOOKUP(Tabela13[[#This Row],[CÓD. EMPRESA]],Tabela3[[CÓDIGO
 EMPRESA ]:[EMPRESA]],2,FALSE),"")</f>
        <v>GENTE SEGURADORA SA</v>
      </c>
      <c r="D56" s="112" t="s">
        <v>412</v>
      </c>
      <c r="E56" s="112" t="s">
        <v>419</v>
      </c>
      <c r="F56" s="140">
        <v>5809</v>
      </c>
      <c r="G56" s="411">
        <v>8584567</v>
      </c>
      <c r="H56" s="165" t="s">
        <v>45</v>
      </c>
      <c r="I56" s="148"/>
      <c r="J56" s="143"/>
      <c r="K56" s="400">
        <v>8881.33</v>
      </c>
      <c r="L56" s="398">
        <f>Tabela13[[#This Row],[VALOR
 BRUTO ]]-Tabela13[[#This Row],[VALOR 
LIQUIDO ]]</f>
        <v>213.15</v>
      </c>
      <c r="M56" s="399">
        <f>Tabela13[[#This Row],[VALORES PAGOS 
(FORMA PAGTO)]]</f>
        <v>8668.18</v>
      </c>
      <c r="N56" s="143">
        <v>45737</v>
      </c>
      <c r="O56" s="392">
        <v>8668.18</v>
      </c>
      <c r="P56" s="148">
        <v>45735</v>
      </c>
      <c r="Q56" s="191" t="str">
        <f t="array" aca="1" ref="Q56" ca="1">IF($P56&lt;&gt;"","PAGO",IF($N56&lt;TODAY(),"ATRASADO",IF($N56&gt;TODAY(),"NO PRAZO",IF($N56=TODAY(),"NO PRAZO",SE))))</f>
        <v>PAGO</v>
      </c>
      <c r="R56" s="150" t="str">
        <f t="shared" ca="1" si="0"/>
        <v/>
      </c>
      <c r="S56" s="147"/>
      <c r="T56" s="242" t="s">
        <v>389</v>
      </c>
      <c r="U56" s="262">
        <f ca="1">SUBTOTAL(3,Tabela13[[#This Row],[STATUS]])</f>
        <v>1</v>
      </c>
      <c r="V56" s="269"/>
    </row>
    <row r="57" spans="1:22" s="52" customFormat="1" ht="24" customHeight="1">
      <c r="A57" s="143">
        <v>45733</v>
      </c>
      <c r="B57" s="114" t="s">
        <v>125</v>
      </c>
      <c r="C57" s="688" t="str">
        <f>IFERROR(VLOOKUP(Tabela13[[#This Row],[CÓD. EMPRESA]],Tabela3[[CÓDIGO
 EMPRESA ]:[EMPRESA]],2,FALSE),"")</f>
        <v>LOOPINVEST CAMPO SANTO</v>
      </c>
      <c r="D57" s="112" t="s">
        <v>413</v>
      </c>
      <c r="E57" s="112" t="s">
        <v>422</v>
      </c>
      <c r="F57" s="140">
        <v>3752</v>
      </c>
      <c r="G57" s="411">
        <v>269</v>
      </c>
      <c r="H57" s="165" t="s">
        <v>45</v>
      </c>
      <c r="I57" s="148">
        <v>45698</v>
      </c>
      <c r="J57" s="143">
        <v>45716</v>
      </c>
      <c r="K57" s="400">
        <v>350000</v>
      </c>
      <c r="L57" s="398">
        <f>Tabela13[[#This Row],[VALOR
 BRUTO ]]-Tabela13[[#This Row],[VALOR 
LIQUIDO ]]</f>
        <v>46215.06</v>
      </c>
      <c r="M57" s="399">
        <f>Tabela13[[#This Row],[VALORES PAGOS 
(FORMA PAGTO)]]</f>
        <v>303784.94</v>
      </c>
      <c r="N57" s="143">
        <v>45747</v>
      </c>
      <c r="O57" s="392">
        <v>303784.94</v>
      </c>
      <c r="P57" s="148">
        <v>45776</v>
      </c>
      <c r="Q57" s="191" t="str">
        <f t="array" aca="1" ref="Q57" ca="1">IF($P57&lt;&gt;"","PAGO",IF($N57&lt;TODAY(),"ATRASADO",IF($N57&gt;TODAY(),"NO PRAZO",IF($N57=TODAY(),"NO PRAZO",SE))))</f>
        <v>PAGO</v>
      </c>
      <c r="R57" s="150" t="str">
        <f t="shared" ca="1" si="0"/>
        <v/>
      </c>
      <c r="S57" s="147"/>
      <c r="T57" s="242"/>
      <c r="U57" s="262">
        <f ca="1">SUBTOTAL(3,Tabela13[[#This Row],[STATUS]])</f>
        <v>1</v>
      </c>
      <c r="V57" s="269"/>
    </row>
    <row r="58" spans="1:22" s="52" customFormat="1" ht="24" customHeight="1">
      <c r="A58" s="143">
        <v>45733</v>
      </c>
      <c r="B58" s="114" t="s">
        <v>125</v>
      </c>
      <c r="C58" s="688" t="str">
        <f>IFERROR(VLOOKUP(Tabela13[[#This Row],[CÓD. EMPRESA]],Tabela3[[CÓDIGO
 EMPRESA ]:[EMPRESA]],2,FALSE),"")</f>
        <v>LOOPINVEST CAMPO SANTO</v>
      </c>
      <c r="D58" s="112" t="s">
        <v>413</v>
      </c>
      <c r="E58" s="112" t="s">
        <v>423</v>
      </c>
      <c r="F58" s="192">
        <v>3674</v>
      </c>
      <c r="G58" s="114">
        <v>269</v>
      </c>
      <c r="H58" s="165" t="s">
        <v>45</v>
      </c>
      <c r="I58" s="148">
        <v>45698</v>
      </c>
      <c r="J58" s="143">
        <v>45716</v>
      </c>
      <c r="K58" s="400">
        <v>45000.62</v>
      </c>
      <c r="L58" s="398">
        <f>Tabela13[[#This Row],[VALOR
 BRUTO ]]-Tabela13[[#This Row],[VALOR 
LIQUIDO ]]</f>
        <v>0</v>
      </c>
      <c r="M58" s="399">
        <f>Tabela13[[#This Row],[VALORES PAGOS 
(FORMA PAGTO)]]</f>
        <v>45000.62</v>
      </c>
      <c r="N58" s="143">
        <v>45733</v>
      </c>
      <c r="O58" s="379">
        <v>45000.62</v>
      </c>
      <c r="P58" s="148">
        <v>45776</v>
      </c>
      <c r="Q58" s="191" t="str">
        <f t="array" aca="1" ref="Q58" ca="1">IF($P58&lt;&gt;"","PAGO",IF($N58&lt;TODAY(),"ATRASADO",IF($N58&gt;TODAY(),"NO PRAZO",IF($N58=TODAY(),"NO PRAZO",SE))))</f>
        <v>PAGO</v>
      </c>
      <c r="R58" s="150" t="str">
        <f t="shared" ca="1" si="0"/>
        <v/>
      </c>
      <c r="S58" s="147"/>
      <c r="T58" s="242"/>
      <c r="U58" s="262">
        <f ca="1">SUBTOTAL(3,Tabela13[[#This Row],[STATUS]])</f>
        <v>1</v>
      </c>
      <c r="V58" s="269"/>
    </row>
    <row r="59" spans="1:22" s="52" customFormat="1" ht="24" customHeight="1">
      <c r="A59" s="113">
        <v>45733</v>
      </c>
      <c r="B59" s="105">
        <v>73402</v>
      </c>
      <c r="C59" s="688" t="str">
        <f>IFERROR(VLOOKUP(Tabela13[[#This Row],[CÓD. EMPRESA]],Tabela3[[CÓDIGO
 EMPRESA ]:[EMPRESA]],2,FALSE),"")</f>
        <v>NELSON TAKAO YOSHIDA</v>
      </c>
      <c r="D59" s="112" t="s">
        <v>414</v>
      </c>
      <c r="E59" s="112" t="s">
        <v>415</v>
      </c>
      <c r="F59" s="196">
        <v>2830</v>
      </c>
      <c r="G59" s="109">
        <v>115</v>
      </c>
      <c r="H59" s="165" t="s">
        <v>45</v>
      </c>
      <c r="I59" s="147"/>
      <c r="J59" s="113"/>
      <c r="K59" s="401">
        <v>3536.19</v>
      </c>
      <c r="L59" s="398">
        <f>Tabela13[[#This Row],[VALOR
 BRUTO ]]-Tabela13[[#This Row],[VALOR 
LIQUIDO ]]</f>
        <v>95.47</v>
      </c>
      <c r="M59" s="399">
        <f>Tabela13[[#This Row],[VALORES PAGOS 
(FORMA PAGTO)]]</f>
        <v>3440.72</v>
      </c>
      <c r="N59" s="113">
        <v>45733</v>
      </c>
      <c r="O59" s="380">
        <v>3440.72</v>
      </c>
      <c r="P59" s="147">
        <v>45770</v>
      </c>
      <c r="Q59" s="197" t="str" cm="1">
        <f t="array" aca="1" ref="Q59" ca="1">IF($P59&lt;&gt;"","PAGO",IF($N59&lt;TODAY(),"ATRASADO",IF($N59&gt;TODAY(),"NO PRAZO",IF($N59=TODAY(),"NO PRAZO",SE))))</f>
        <v>PAGO</v>
      </c>
      <c r="R59" s="150" t="str">
        <f t="shared" ca="1" si="0"/>
        <v/>
      </c>
      <c r="S59" s="898"/>
      <c r="T59" s="242"/>
      <c r="U59" s="260">
        <f ca="1">SUBTOTAL(3,Tabela13[[#This Row],[STATUS]])</f>
        <v>1</v>
      </c>
      <c r="V59" s="269"/>
    </row>
    <row r="60" spans="1:22" s="52" customFormat="1" ht="24" customHeight="1">
      <c r="A60" s="113">
        <v>45733</v>
      </c>
      <c r="B60" s="105">
        <v>73402</v>
      </c>
      <c r="C60" s="688" t="str">
        <f>IFERROR(VLOOKUP(Tabela13[[#This Row],[CÓD. EMPRESA]],Tabela3[[CÓDIGO
 EMPRESA ]:[EMPRESA]],2,FALSE),"")</f>
        <v>NELSON TAKAO YOSHIDA</v>
      </c>
      <c r="D60" s="112" t="s">
        <v>414</v>
      </c>
      <c r="E60" s="112" t="s">
        <v>415</v>
      </c>
      <c r="F60" s="196">
        <v>2830</v>
      </c>
      <c r="G60" s="411">
        <v>118</v>
      </c>
      <c r="H60" s="165" t="s">
        <v>45</v>
      </c>
      <c r="I60" s="147"/>
      <c r="J60" s="113"/>
      <c r="K60" s="401">
        <v>9005.7900000000009</v>
      </c>
      <c r="L60" s="398">
        <f>Tabela13[[#This Row],[VALOR
 BRUTO ]]-Tabela13[[#This Row],[VALOR 
LIQUIDO ]]</f>
        <v>243.16</v>
      </c>
      <c r="M60" s="399">
        <f>Tabela13[[#This Row],[VALORES PAGOS 
(FORMA PAGTO)]]</f>
        <v>8762.6299999999992</v>
      </c>
      <c r="N60" s="113">
        <v>45733</v>
      </c>
      <c r="O60" s="381">
        <v>8762.6299999999992</v>
      </c>
      <c r="P60" s="147">
        <v>45770</v>
      </c>
      <c r="Q60" s="197" t="str" cm="1">
        <f t="array" aca="1" ref="Q60" ca="1">IF($P60&lt;&gt;"","PAGO",IF($N60&lt;TODAY(),"ATRASADO",IF($N60&gt;TODAY(),"NO PRAZO",IF($N60=TODAY(),"NO PRAZO",SE))))</f>
        <v>PAGO</v>
      </c>
      <c r="R60" s="150" t="str">
        <f t="shared" ca="1" si="0"/>
        <v/>
      </c>
      <c r="S60" s="147"/>
      <c r="T60" s="112"/>
      <c r="U60" s="260">
        <f ca="1">SUBTOTAL(3,Tabela13[[#This Row],[STATUS]])</f>
        <v>1</v>
      </c>
      <c r="V60" s="269"/>
    </row>
    <row r="61" spans="1:22" s="52" customFormat="1" ht="24" customHeight="1">
      <c r="A61" s="113">
        <v>45733</v>
      </c>
      <c r="B61" s="105">
        <v>73402</v>
      </c>
      <c r="C61" s="688" t="str">
        <f>IFERROR(VLOOKUP(Tabela13[[#This Row],[CÓD. EMPRESA]],Tabela3[[CÓDIGO
 EMPRESA ]:[EMPRESA]],2,FALSE),"")</f>
        <v>NELSON TAKAO YOSHIDA</v>
      </c>
      <c r="D61" s="112" t="s">
        <v>414</v>
      </c>
      <c r="E61" s="112" t="s">
        <v>415</v>
      </c>
      <c r="F61" s="196">
        <v>2830</v>
      </c>
      <c r="G61" s="411">
        <v>124</v>
      </c>
      <c r="H61" s="165" t="s">
        <v>46</v>
      </c>
      <c r="I61" s="147"/>
      <c r="J61" s="113"/>
      <c r="K61" s="401">
        <v>11020.92</v>
      </c>
      <c r="L61" s="398">
        <f>Tabela13[[#This Row],[VALOR
 BRUTO ]]-Tabela13[[#This Row],[VALOR 
LIQUIDO ]]</f>
        <v>297.56</v>
      </c>
      <c r="M61" s="399">
        <f>Tabela13[[#This Row],[VALORES PAGOS 
(FORMA PAGTO)]]</f>
        <v>10723.36</v>
      </c>
      <c r="N61" s="113">
        <v>45749</v>
      </c>
      <c r="O61" s="385">
        <v>10723.36</v>
      </c>
      <c r="P61" s="147">
        <v>45790</v>
      </c>
      <c r="Q61" s="197" t="str" cm="1">
        <f t="array" aca="1" ref="Q61" ca="1">IF($P61&lt;&gt;"","PAGO",IF($N61&lt;TODAY(),"ATRASADO",IF($N61&gt;TODAY(),"NO PRAZO",IF($N61=TODAY(),"NO PRAZO",SE))))</f>
        <v>PAGO</v>
      </c>
      <c r="R61" s="150" t="str">
        <f t="shared" ca="1" si="0"/>
        <v/>
      </c>
      <c r="S61" s="770"/>
      <c r="T61" s="112"/>
      <c r="U61" s="260">
        <f ca="1">SUBTOTAL(3,Tabela13[[#This Row],[STATUS]])</f>
        <v>1</v>
      </c>
      <c r="V61" s="269"/>
    </row>
    <row r="62" spans="1:22" s="52" customFormat="1" ht="24" customHeight="1">
      <c r="A62" s="113">
        <v>45733</v>
      </c>
      <c r="B62" s="105">
        <v>41807</v>
      </c>
      <c r="C62" s="688" t="str">
        <f>IFERROR(VLOOKUP(Tabela13[[#This Row],[CÓD. EMPRESA]],Tabela3[[CÓDIGO
 EMPRESA ]:[EMPRESA]],2,FALSE),"")</f>
        <v>BIGNOTTO INDUSTRIA E COMERCIO LTDA</v>
      </c>
      <c r="D62" s="112" t="s">
        <v>416</v>
      </c>
      <c r="E62" s="112" t="s">
        <v>417</v>
      </c>
      <c r="F62" s="196">
        <v>3890</v>
      </c>
      <c r="G62" s="411">
        <v>76501</v>
      </c>
      <c r="H62" s="165" t="s">
        <v>45</v>
      </c>
      <c r="I62" s="147"/>
      <c r="J62" s="113"/>
      <c r="K62" s="401">
        <v>93000</v>
      </c>
      <c r="L62" s="398">
        <f>Tabela13[[#This Row],[VALOR
 BRUTO ]]-Tabela13[[#This Row],[VALOR 
LIQUIDO ]]</f>
        <v>1116</v>
      </c>
      <c r="M62" s="399">
        <f>Tabela13[[#This Row],[VALORES PAGOS 
(FORMA PAGTO)]]</f>
        <v>91884</v>
      </c>
      <c r="N62" s="113">
        <v>45736</v>
      </c>
      <c r="O62" s="381">
        <v>91884</v>
      </c>
      <c r="P62" s="147">
        <v>45770</v>
      </c>
      <c r="Q62" s="197" t="str" cm="1">
        <f t="array" aca="1" ref="Q62" ca="1">IF($P62&lt;&gt;"","PAGO",IF($N62&lt;TODAY(),"ATRASADO",IF($N62&gt;TODAY(),"NO PRAZO",IF($N62=TODAY(),"NO PRAZO",SE))))</f>
        <v>PAGO</v>
      </c>
      <c r="R62" s="150" t="str">
        <f t="shared" ca="1" si="0"/>
        <v/>
      </c>
      <c r="S62" s="147"/>
      <c r="T62" s="242"/>
      <c r="U62" s="260">
        <f ca="1">SUBTOTAL(3,Tabela13[[#This Row],[STATUS]])</f>
        <v>1</v>
      </c>
      <c r="V62" s="269"/>
    </row>
    <row r="63" spans="1:22" s="52" customFormat="1" ht="24" customHeight="1">
      <c r="A63" s="489">
        <v>45733</v>
      </c>
      <c r="B63" s="105">
        <v>41807</v>
      </c>
      <c r="C63" s="688" t="str">
        <f>IFERROR(VLOOKUP(Tabela13[[#This Row],[CÓD. EMPRESA]],Tabela3[[CÓDIGO
 EMPRESA ]:[EMPRESA]],2,FALSE),"")</f>
        <v>BIGNOTTO INDUSTRIA E COMERCIO LTDA</v>
      </c>
      <c r="D63" s="112" t="s">
        <v>416</v>
      </c>
      <c r="E63" s="112" t="s">
        <v>417</v>
      </c>
      <c r="F63" s="491">
        <v>3890</v>
      </c>
      <c r="G63" s="411">
        <v>76510</v>
      </c>
      <c r="H63" s="492" t="s">
        <v>45</v>
      </c>
      <c r="I63" s="493"/>
      <c r="J63" s="489"/>
      <c r="K63" s="494">
        <v>38000</v>
      </c>
      <c r="L63" s="398">
        <f>Tabela13[[#This Row],[VALOR
 BRUTO ]]-Tabela13[[#This Row],[VALOR 
LIQUIDO ]]</f>
        <v>456</v>
      </c>
      <c r="M63" s="399">
        <f>Tabela13[[#This Row],[VALORES PAGOS 
(FORMA PAGTO)]]</f>
        <v>37544</v>
      </c>
      <c r="N63" s="489">
        <v>45739</v>
      </c>
      <c r="O63" s="495">
        <v>37544</v>
      </c>
      <c r="P63" s="493">
        <v>45776</v>
      </c>
      <c r="Q63" s="496" t="str" cm="1">
        <f t="array" aca="1" ref="Q63" ca="1">IF($P63&lt;&gt;"","PAGO",IF($N63&lt;TODAY(),"ATRASADO",IF($N63&gt;TODAY(),"NO PRAZO",IF($N63=TODAY(),"NO PRAZO",SE))))</f>
        <v>PAGO</v>
      </c>
      <c r="R63" s="150" t="str">
        <f t="shared" ca="1" si="0"/>
        <v/>
      </c>
      <c r="S63" s="493"/>
      <c r="T63" s="490"/>
      <c r="U63" s="515">
        <f ca="1">SUBTOTAL(3,Tabela13[[#This Row],[STATUS]])</f>
        <v>1</v>
      </c>
      <c r="V63" s="269"/>
    </row>
    <row r="64" spans="1:22" s="52" customFormat="1" ht="24" customHeight="1">
      <c r="A64" s="227">
        <v>45733</v>
      </c>
      <c r="B64" s="105">
        <v>41807</v>
      </c>
      <c r="C64" s="688" t="str">
        <f>IFERROR(VLOOKUP(Tabela13[[#This Row],[CÓD. EMPRESA]],Tabela3[[CÓDIGO
 EMPRESA ]:[EMPRESA]],2,FALSE),"")</f>
        <v>BIGNOTTO INDUSTRIA E COMERCIO LTDA</v>
      </c>
      <c r="D64" s="112" t="s">
        <v>416</v>
      </c>
      <c r="E64" s="112" t="s">
        <v>417</v>
      </c>
      <c r="F64" s="196">
        <v>3890</v>
      </c>
      <c r="G64" s="411">
        <v>76519</v>
      </c>
      <c r="H64" s="165" t="s">
        <v>45</v>
      </c>
      <c r="I64" s="229"/>
      <c r="J64" s="227"/>
      <c r="K64" s="403">
        <v>64000</v>
      </c>
      <c r="L64" s="398">
        <f>Tabela13[[#This Row],[VALOR
 BRUTO ]]-Tabela13[[#This Row],[VALOR 
LIQUIDO ]]</f>
        <v>768</v>
      </c>
      <c r="M64" s="399">
        <f>Tabela13[[#This Row],[VALORES PAGOS 
(FORMA PAGTO)]]</f>
        <v>63232</v>
      </c>
      <c r="N64" s="227">
        <v>45741</v>
      </c>
      <c r="O64" s="381">
        <v>63232</v>
      </c>
      <c r="P64" s="229">
        <v>45776</v>
      </c>
      <c r="Q64" s="230" t="str">
        <f t="array" aca="1" ref="Q64" ca="1">IF($P64&lt;&gt;"","PAGO",IF($N64&lt;TODAY(),"ATRASADO",IF($N64&gt;TODAY(),"NO PRAZO",IF($N64=TODAY(),"NO PRAZO",SE))))</f>
        <v>PAGO</v>
      </c>
      <c r="R64" s="150" t="str">
        <f t="shared" ca="1" si="0"/>
        <v/>
      </c>
      <c r="S64" s="229"/>
      <c r="T64" s="112"/>
      <c r="U64" s="263">
        <f ca="1">SUBTOTAL(3,Tabela13[[#This Row],[STATUS]])</f>
        <v>1</v>
      </c>
      <c r="V64" s="269"/>
    </row>
    <row r="65" spans="1:22" s="52" customFormat="1" ht="24" customHeight="1">
      <c r="A65" s="227">
        <v>45733</v>
      </c>
      <c r="B65" s="105">
        <v>41807</v>
      </c>
      <c r="C65" s="688" t="str">
        <f>IFERROR(VLOOKUP(Tabela13[[#This Row],[CÓD. EMPRESA]],Tabela3[[CÓDIGO
 EMPRESA ]:[EMPRESA]],2,FALSE),"")</f>
        <v>BIGNOTTO INDUSTRIA E COMERCIO LTDA</v>
      </c>
      <c r="D65" s="112" t="s">
        <v>416</v>
      </c>
      <c r="E65" s="112" t="s">
        <v>417</v>
      </c>
      <c r="F65" s="112">
        <v>3890</v>
      </c>
      <c r="G65" s="411">
        <v>76523</v>
      </c>
      <c r="H65" s="165" t="s">
        <v>45</v>
      </c>
      <c r="I65" s="229"/>
      <c r="J65" s="227"/>
      <c r="K65" s="403">
        <v>80600</v>
      </c>
      <c r="L65" s="398">
        <f>Tabela13[[#This Row],[VALOR
 BRUTO ]]-Tabela13[[#This Row],[VALOR 
LIQUIDO ]]</f>
        <v>967.2</v>
      </c>
      <c r="M65" s="399">
        <f>Tabela13[[#This Row],[VALORES PAGOS 
(FORMA PAGTO)]]</f>
        <v>79632.800000000003</v>
      </c>
      <c r="N65" s="227">
        <v>45742</v>
      </c>
      <c r="O65" s="381">
        <v>79632.800000000003</v>
      </c>
      <c r="P65" s="229">
        <v>45776</v>
      </c>
      <c r="Q65" s="230" t="str">
        <f t="array" aca="1" ref="Q65" ca="1">IF($P65&lt;&gt;"","PAGO",IF($N65&lt;TODAY(),"ATRASADO",IF($N65&gt;TODAY(),"NO PRAZO",IF($N65=TODAY(),"NO PRAZO",SE))))</f>
        <v>PAGO</v>
      </c>
      <c r="R65" s="150" t="str">
        <f t="shared" ca="1" si="0"/>
        <v/>
      </c>
      <c r="S65" s="229"/>
      <c r="T65" s="112"/>
      <c r="U65" s="263">
        <f ca="1">SUBTOTAL(3,Tabela13[[#This Row],[STATUS]])</f>
        <v>1</v>
      </c>
      <c r="V65" s="269"/>
    </row>
    <row r="66" spans="1:22" s="52" customFormat="1" ht="24" customHeight="1">
      <c r="A66" s="227">
        <v>45733</v>
      </c>
      <c r="B66" s="105">
        <v>41807</v>
      </c>
      <c r="C66" s="688" t="str">
        <f>IFERROR(VLOOKUP(Tabela13[[#This Row],[CÓD. EMPRESA]],Tabela3[[CÓDIGO
 EMPRESA ]:[EMPRESA]],2,FALSE),"")</f>
        <v>BIGNOTTO INDUSTRIA E COMERCIO LTDA</v>
      </c>
      <c r="D66" s="112" t="s">
        <v>416</v>
      </c>
      <c r="E66" s="112" t="s">
        <v>417</v>
      </c>
      <c r="F66" s="233">
        <v>3890</v>
      </c>
      <c r="G66" s="411">
        <v>76600</v>
      </c>
      <c r="H66" s="228" t="s">
        <v>45</v>
      </c>
      <c r="I66" s="229"/>
      <c r="J66" s="227"/>
      <c r="K66" s="403">
        <v>3600</v>
      </c>
      <c r="L66" s="398">
        <f>Tabela13[[#This Row],[VALOR
 BRUTO ]]-Tabela13[[#This Row],[VALOR 
LIQUIDO ]]</f>
        <v>43.2</v>
      </c>
      <c r="M66" s="399">
        <f>Tabela13[[#This Row],[VALORES PAGOS 
(FORMA PAGTO)]]</f>
        <v>3556.8</v>
      </c>
      <c r="N66" s="227">
        <v>45756</v>
      </c>
      <c r="O66" s="384">
        <v>3556.8</v>
      </c>
      <c r="P66" s="229">
        <v>45790</v>
      </c>
      <c r="Q66" s="230" t="str" cm="1">
        <f t="array" aca="1" ref="Q66" ca="1">IF($P66&lt;&gt;"","PAGO",IF($N66&lt;TODAY(),"ATRASADO",IF($N66&gt;TODAY(),"NO PRAZO",IF($N66=TODAY(),"NO PRAZO",SE))))</f>
        <v>PAGO</v>
      </c>
      <c r="R66" s="150" t="str">
        <f t="shared" ca="1" si="0"/>
        <v/>
      </c>
      <c r="S66" s="229"/>
      <c r="T66" s="298"/>
      <c r="U66" s="263">
        <f ca="1">SUBTOTAL(3,Tabela13[[#This Row],[STATUS]])</f>
        <v>1</v>
      </c>
      <c r="V66" s="269"/>
    </row>
    <row r="67" spans="1:22" s="52" customFormat="1" ht="24" customHeight="1">
      <c r="A67" s="227">
        <v>45733</v>
      </c>
      <c r="B67" s="105">
        <v>46901</v>
      </c>
      <c r="C67" s="688" t="str">
        <f>IFERROR(VLOOKUP(Tabela13[[#This Row],[CÓD. EMPRESA]],Tabela3[[CÓDIGO
 EMPRESA ]:[EMPRESA]],2,FALSE),"")</f>
        <v>LAVANDERIA PAULISTA LTDA</v>
      </c>
      <c r="D67" s="112" t="s">
        <v>421</v>
      </c>
      <c r="E67" s="112" t="s">
        <v>453</v>
      </c>
      <c r="F67" s="233">
        <v>4802</v>
      </c>
      <c r="G67" s="411">
        <v>27420</v>
      </c>
      <c r="H67" s="165" t="s">
        <v>45</v>
      </c>
      <c r="I67" s="229">
        <v>45658</v>
      </c>
      <c r="J67" s="227">
        <v>45688</v>
      </c>
      <c r="K67" s="664">
        <v>25594.799999999999</v>
      </c>
      <c r="L67" s="398">
        <f>Tabela13[[#This Row],[VALOR
 BRUTO ]]-Tabela13[[#This Row],[VALOR 
LIQUIDO ]]</f>
        <v>1164.56</v>
      </c>
      <c r="M67" s="399">
        <f>Tabela13[[#This Row],[VALORES PAGOS 
(FORMA PAGTO)]]</f>
        <v>24430.240000000002</v>
      </c>
      <c r="N67" s="227">
        <v>45741</v>
      </c>
      <c r="O67" s="384">
        <v>24430.240000000002</v>
      </c>
      <c r="P67" s="229">
        <v>45776</v>
      </c>
      <c r="Q67" s="230" t="str" cm="1">
        <f t="array" aca="1" ref="Q67" ca="1">IF($P67&lt;&gt;"","PAGO",IF($N67&lt;TODAY(),"ATRASADO",IF($N67&gt;TODAY(),"NO PRAZO",IF($N67=TODAY(),"NO PRAZO",SE))))</f>
        <v>PAGO</v>
      </c>
      <c r="R67" s="150" t="str">
        <f t="shared" ca="1" si="0"/>
        <v/>
      </c>
      <c r="S67" s="229"/>
      <c r="T67" s="112"/>
      <c r="U67" s="263">
        <f ca="1">SUBTOTAL(3,Tabela13[[#This Row],[STATUS]])</f>
        <v>1</v>
      </c>
      <c r="V67" s="269"/>
    </row>
    <row r="68" spans="1:22" s="52" customFormat="1" ht="24" customHeight="1">
      <c r="A68" s="227">
        <v>45733</v>
      </c>
      <c r="B68" s="105">
        <v>46901</v>
      </c>
      <c r="C68" s="688" t="str">
        <f>IFERROR(VLOOKUP(Tabela13[[#This Row],[CÓD. EMPRESA]],Tabela3[[CÓDIGO
 EMPRESA ]:[EMPRESA]],2,FALSE),"")</f>
        <v>LAVANDERIA PAULISTA LTDA</v>
      </c>
      <c r="D68" s="112" t="s">
        <v>421</v>
      </c>
      <c r="E68" s="112" t="s">
        <v>453</v>
      </c>
      <c r="F68" s="233">
        <v>4802</v>
      </c>
      <c r="G68" s="411">
        <v>27511</v>
      </c>
      <c r="H68" s="165" t="s">
        <v>46</v>
      </c>
      <c r="I68" s="229">
        <v>45689</v>
      </c>
      <c r="J68" s="227">
        <v>45716</v>
      </c>
      <c r="K68" s="403">
        <v>25594.799999999999</v>
      </c>
      <c r="L68" s="398">
        <f>Tabela13[[#This Row],[VALOR
 BRUTO ]]-Tabela13[[#This Row],[VALOR 
LIQUIDO ]]</f>
        <v>1164.56</v>
      </c>
      <c r="M68" s="399">
        <f>Tabela13[[#This Row],[VALORES PAGOS 
(FORMA PAGTO)]]</f>
        <v>24430.240000000002</v>
      </c>
      <c r="N68" s="227">
        <v>45753</v>
      </c>
      <c r="O68" s="384">
        <v>24430.240000000002</v>
      </c>
      <c r="P68" s="229">
        <v>45790</v>
      </c>
      <c r="Q68" s="230" t="str" cm="1">
        <f t="array" aca="1" ref="Q68" ca="1">IF($P68&lt;&gt;"","PAGO",IF($N68&lt;TODAY(),"ATRASADO",IF($N68&gt;TODAY(),"NO PRAZO",IF($N68=TODAY(),"NO PRAZO",SE))))</f>
        <v>PAGO</v>
      </c>
      <c r="R68" s="150" t="str">
        <f t="shared" ca="1" si="0"/>
        <v/>
      </c>
      <c r="S68" s="229"/>
      <c r="T68" s="242"/>
      <c r="U68" s="263">
        <f ca="1">SUBTOTAL(3,Tabela13[[#This Row],[STATUS]])</f>
        <v>1</v>
      </c>
      <c r="V68" s="269"/>
    </row>
    <row r="69" spans="1:22" s="52" customFormat="1" ht="24" customHeight="1">
      <c r="A69" s="227">
        <v>45733</v>
      </c>
      <c r="B69" s="105">
        <v>67547</v>
      </c>
      <c r="C69" s="688" t="str">
        <f>IFERROR(VLOOKUP(Tabela13[[#This Row],[CÓD. EMPRESA]],Tabela3[[CÓDIGO
 EMPRESA ]:[EMPRESA]],2,FALSE),"")</f>
        <v>L.C. KLIEMANN</v>
      </c>
      <c r="D69" s="112" t="s">
        <v>424</v>
      </c>
      <c r="E69" s="112" t="s">
        <v>425</v>
      </c>
      <c r="F69" s="233">
        <v>2834</v>
      </c>
      <c r="G69" s="411">
        <v>4109</v>
      </c>
      <c r="H69" s="228" t="s">
        <v>45</v>
      </c>
      <c r="I69" s="229"/>
      <c r="J69" s="227"/>
      <c r="K69" s="403">
        <v>42392</v>
      </c>
      <c r="L69" s="398">
        <f>Tabela13[[#This Row],[VALOR
 BRUTO ]]-Tabela13[[#This Row],[VALOR 
LIQUIDO ]]</f>
        <v>0</v>
      </c>
      <c r="M69" s="399">
        <f>Tabela13[[#This Row],[VALORES PAGOS 
(FORMA PAGTO)]]</f>
        <v>42392</v>
      </c>
      <c r="N69" s="227">
        <v>45739</v>
      </c>
      <c r="O69" s="384">
        <v>42392</v>
      </c>
      <c r="P69" s="229">
        <v>45776</v>
      </c>
      <c r="Q69" s="230" t="str" cm="1">
        <f t="array" aca="1" ref="Q69" ca="1">IF($P69&lt;&gt;"","PAGO",IF($N69&lt;TODAY(),"ATRASADO",IF($N69&gt;TODAY(),"NO PRAZO",IF($N69=TODAY(),"NO PRAZO",SE))))</f>
        <v>PAGO</v>
      </c>
      <c r="R69" s="150" t="str">
        <f t="shared" ca="1" si="0"/>
        <v/>
      </c>
      <c r="S69" s="229"/>
      <c r="T69" s="242"/>
      <c r="U69" s="263">
        <f ca="1">SUBTOTAL(3,Tabela13[[#This Row],[STATUS]])</f>
        <v>1</v>
      </c>
      <c r="V69" s="269"/>
    </row>
    <row r="70" spans="1:22" s="52" customFormat="1" ht="24" customHeight="1">
      <c r="A70" s="227">
        <v>45733</v>
      </c>
      <c r="B70" s="114" t="s">
        <v>126</v>
      </c>
      <c r="C70" s="688" t="str">
        <f>IFERROR(VLOOKUP(Tabela13[[#This Row],[CÓD. EMPRESA]],Tabela3[[CÓDIGO
 EMPRESA ]:[EMPRESA]],2,FALSE),"")</f>
        <v>LOOPINVEST BONSUCESSO</v>
      </c>
      <c r="D70" s="112" t="s">
        <v>426</v>
      </c>
      <c r="E70" s="112" t="s">
        <v>584</v>
      </c>
      <c r="F70" s="233">
        <v>3751</v>
      </c>
      <c r="G70" s="411">
        <v>268</v>
      </c>
      <c r="H70" s="228" t="s">
        <v>43</v>
      </c>
      <c r="I70" s="229">
        <v>45698</v>
      </c>
      <c r="J70" s="227">
        <v>45716</v>
      </c>
      <c r="K70" s="403">
        <v>236063.49</v>
      </c>
      <c r="L70" s="398">
        <f>Tabela13[[#This Row],[VALOR
 BRUTO ]]-Tabela13[[#This Row],[VALOR 
LIQUIDO ]]</f>
        <v>27619.42</v>
      </c>
      <c r="M70" s="399">
        <f>Tabela13[[#This Row],[VALORES PAGOS 
(FORMA PAGTO)]]</f>
        <v>208444.07</v>
      </c>
      <c r="N70" s="227">
        <v>45747</v>
      </c>
      <c r="O70" s="384">
        <v>208444.07</v>
      </c>
      <c r="P70" s="229">
        <v>45776</v>
      </c>
      <c r="Q70" s="230" t="str" cm="1">
        <f t="array" aca="1" ref="Q70" ca="1">IF($P70&lt;&gt;"","PAGO",IF($N70&lt;TODAY(),"ATRASADO",IF($N70&gt;TODAY(),"NO PRAZO",IF($N70=TODAY(),"NO PRAZO",SE))))</f>
        <v>PAGO</v>
      </c>
      <c r="R70" s="150" t="str">
        <f t="shared" ref="R70:R133" ca="1" si="1">IF(Q70="ATRASADO",N70-TODAY(),IF(Q70="NO PRAZO",N70-TODAY(),IF(Q70="PAGO","")))</f>
        <v/>
      </c>
      <c r="S70" s="147"/>
      <c r="T70" s="518"/>
      <c r="U70" s="263">
        <f ca="1">SUBTOTAL(3,Tabela13[[#This Row],[STATUS]])</f>
        <v>1</v>
      </c>
      <c r="V70" s="269"/>
    </row>
    <row r="71" spans="1:22" s="52" customFormat="1" ht="24" customHeight="1">
      <c r="A71" s="227">
        <v>45737</v>
      </c>
      <c r="B71" s="105">
        <v>69169</v>
      </c>
      <c r="C71" s="688" t="str">
        <f>IFERROR(VLOOKUP(Tabela13[[#This Row],[CÓD. EMPRESA]],Tabela3[[CÓDIGO
 EMPRESA ]:[EMPRESA]],2,FALSE),"")</f>
        <v>CECM PÂES LTDA</v>
      </c>
      <c r="D71" s="112" t="s">
        <v>429</v>
      </c>
      <c r="E71" s="112" t="s">
        <v>430</v>
      </c>
      <c r="F71" s="233">
        <v>3881</v>
      </c>
      <c r="G71" s="411">
        <v>19045</v>
      </c>
      <c r="H71" s="165" t="s">
        <v>46</v>
      </c>
      <c r="I71" s="229"/>
      <c r="J71" s="227"/>
      <c r="K71" s="401">
        <v>16763.400000000001</v>
      </c>
      <c r="L71" s="398">
        <f>Tabela13[[#This Row],[VALOR
 BRUTO ]]-Tabela13[[#This Row],[VALOR 
LIQUIDO ]]</f>
        <v>0</v>
      </c>
      <c r="M71" s="399">
        <f>Tabela13[[#This Row],[VALORES PAGOS 
(FORMA PAGTO)]]</f>
        <v>16763.400000000001</v>
      </c>
      <c r="N71" s="227">
        <v>45760</v>
      </c>
      <c r="O71" s="381">
        <v>16763.400000000001</v>
      </c>
      <c r="P71" s="229">
        <v>45790</v>
      </c>
      <c r="Q71" s="230" t="str" cm="1">
        <f t="array" aca="1" ref="Q71" ca="1">IF($P71&lt;&gt;"","PAGO",IF($N71&lt;TODAY(),"ATRASADO",IF($N71&gt;TODAY(),"NO PRAZO",IF($N71=TODAY(),"NO PRAZO",SE))))</f>
        <v>PAGO</v>
      </c>
      <c r="R71" s="150" t="str">
        <f t="shared" ca="1" si="1"/>
        <v/>
      </c>
      <c r="S71" s="229"/>
      <c r="T71" s="112"/>
      <c r="U71" s="263">
        <f ca="1">SUBTOTAL(3,Tabela13[[#This Row],[STATUS]])</f>
        <v>1</v>
      </c>
      <c r="V71" s="269"/>
    </row>
    <row r="72" spans="1:22" ht="24" customHeight="1">
      <c r="A72" s="227">
        <v>45737</v>
      </c>
      <c r="B72" s="105">
        <v>103747</v>
      </c>
      <c r="C72" s="688" t="str">
        <f>IFERROR(VLOOKUP(Tabela13[[#This Row],[CÓD. EMPRESA]],Tabela3[[CÓDIGO
 EMPRESA ]:[EMPRESA]],2,FALSE),"")</f>
        <v>CDR PEDREIRA CENTRO DE DISPOSIÇÃO DE RESÍDUOS LTDA</v>
      </c>
      <c r="D72" s="112" t="s">
        <v>334</v>
      </c>
      <c r="E72" s="112" t="s">
        <v>472</v>
      </c>
      <c r="F72" s="233">
        <v>3682</v>
      </c>
      <c r="G72" s="411">
        <v>3166</v>
      </c>
      <c r="H72" s="165" t="s">
        <v>45</v>
      </c>
      <c r="I72" s="229">
        <v>45689</v>
      </c>
      <c r="J72" s="227">
        <v>45716</v>
      </c>
      <c r="K72" s="403">
        <v>3160248.3</v>
      </c>
      <c r="L72" s="398">
        <f>Tabela13[[#This Row],[VALOR
 BRUTO ]]-Tabela13[[#This Row],[VALOR 
LIQUIDO ]]</f>
        <v>1932527.71</v>
      </c>
      <c r="M72" s="399">
        <f>Tabela13[[#This Row],[VALORES PAGOS 
(FORMA PAGTO)]]</f>
        <v>1227720.5900000001</v>
      </c>
      <c r="N72" s="227">
        <v>45744</v>
      </c>
      <c r="O72" s="384">
        <v>1227720.5900000001</v>
      </c>
      <c r="P72" s="229">
        <v>45762</v>
      </c>
      <c r="Q72" s="230" t="str" cm="1">
        <f t="array" aca="1" ref="Q72" ca="1">IF($P72&lt;&gt;"","PAGO",IF($N72&lt;TODAY(),"ATRASADO",IF($N72&gt;TODAY(),"NO PRAZO",IF($N72=TODAY(),"NO PRAZO",SE))))</f>
        <v>PAGO</v>
      </c>
      <c r="R72" s="150" t="str">
        <f t="shared" ca="1" si="1"/>
        <v/>
      </c>
      <c r="S72" s="229"/>
      <c r="T72" s="112"/>
      <c r="U72" s="263">
        <f ca="1">SUBTOTAL(3,Tabela13[[#This Row],[STATUS]])</f>
        <v>1</v>
      </c>
      <c r="V72" s="252"/>
    </row>
    <row r="73" spans="1:22" ht="24" customHeight="1">
      <c r="A73" s="738">
        <v>45737</v>
      </c>
      <c r="B73" s="12">
        <v>103747</v>
      </c>
      <c r="C73" s="688" t="str">
        <f>IFERROR(VLOOKUP(Tabela13[[#This Row],[CÓD. EMPRESA]],Tabela3[[CÓDIGO
 EMPRESA ]:[EMPRESA]],2,FALSE),"")</f>
        <v>CDR PEDREIRA CENTRO DE DISPOSIÇÃO DE RESÍDUOS LTDA</v>
      </c>
      <c r="D73" s="739" t="s">
        <v>454</v>
      </c>
      <c r="E73" s="112" t="s">
        <v>472</v>
      </c>
      <c r="F73" s="740">
        <v>4182</v>
      </c>
      <c r="G73" s="741">
        <v>3166</v>
      </c>
      <c r="H73" s="742" t="s">
        <v>45</v>
      </c>
      <c r="I73" s="743">
        <v>45689</v>
      </c>
      <c r="J73" s="738">
        <v>45716</v>
      </c>
      <c r="K73" s="744">
        <v>359838.6</v>
      </c>
      <c r="L73" s="745">
        <f>Tabela13[[#This Row],[VALOR
 BRUTO ]]-Tabela13[[#This Row],[VALOR 
LIQUIDO ]]</f>
        <v>0</v>
      </c>
      <c r="M73" s="746">
        <f>Tabela13[[#This Row],[VALORES PAGOS 
(FORMA PAGTO)]]</f>
        <v>359838.6</v>
      </c>
      <c r="N73" s="738">
        <v>45744</v>
      </c>
      <c r="O73" s="747">
        <v>359838.6</v>
      </c>
      <c r="P73" s="743">
        <v>45762</v>
      </c>
      <c r="Q73" s="748" t="str" cm="1">
        <f t="array" aca="1" ref="Q73" ca="1">IF($P73&lt;&gt;"","PAGO",IF($N73&lt;TODAY(),"ATRASADO",IF($N73&gt;TODAY(),"NO PRAZO",IF($N73=TODAY(),"NO PRAZO",SE))))</f>
        <v>PAGO</v>
      </c>
      <c r="R73" s="259" t="str">
        <f t="shared" ca="1" si="1"/>
        <v/>
      </c>
      <c r="S73" s="739"/>
      <c r="T73" s="739"/>
      <c r="U73" s="900">
        <f ca="1">SUBTOTAL(3,Tabela13[[#This Row],[STATUS]])</f>
        <v>1</v>
      </c>
      <c r="V73" s="252"/>
    </row>
    <row r="74" spans="1:22" ht="24" customHeight="1">
      <c r="A74" s="227">
        <v>45741</v>
      </c>
      <c r="B74" s="105">
        <v>58187</v>
      </c>
      <c r="C74" s="688" t="str">
        <f>IFERROR(VLOOKUP(Tabela13[[#This Row],[CÓD. EMPRESA]],Tabela3[[CÓDIGO
 EMPRESA ]:[EMPRESA]],2,FALSE),"")</f>
        <v>CETESB COMPANHIA AMBIENTAL DO ESTADO DE SAO PAULO</v>
      </c>
      <c r="D74" s="112" t="s">
        <v>433</v>
      </c>
      <c r="E74" s="112" t="s">
        <v>419</v>
      </c>
      <c r="F74" s="233">
        <v>6881</v>
      </c>
      <c r="G74" s="411">
        <v>15002102</v>
      </c>
      <c r="H74" s="228" t="s">
        <v>45</v>
      </c>
      <c r="I74" s="229"/>
      <c r="J74" s="227"/>
      <c r="K74" s="403">
        <v>12000</v>
      </c>
      <c r="L74" s="398">
        <f>Tabela13[[#This Row],[VALOR
 BRUTO ]]-Tabela13[[#This Row],[VALOR 
LIQUIDO ]]</f>
        <v>3600</v>
      </c>
      <c r="M74" s="399">
        <f>Tabela13[[#This Row],[VALORES PAGOS 
(FORMA PAGTO)]]</f>
        <v>8400</v>
      </c>
      <c r="N74" s="227">
        <v>45758</v>
      </c>
      <c r="O74" s="384">
        <v>8400</v>
      </c>
      <c r="P74" s="229">
        <v>45758</v>
      </c>
      <c r="Q74" s="230" t="str" cm="1">
        <f t="array" aca="1" ref="Q74" ca="1">IF($P74&lt;&gt;"","PAGO",IF($N74&lt;TODAY(),"ATRASADO",IF($N74&gt;TODAY(),"NO PRAZO",IF($N74=TODAY(),"NO PRAZO",SE))))</f>
        <v>PAGO</v>
      </c>
      <c r="R74" s="150" t="str">
        <f t="shared" ca="1" si="1"/>
        <v/>
      </c>
      <c r="S74" s="229"/>
      <c r="T74" s="112"/>
      <c r="U74" s="263">
        <f ca="1">SUBTOTAL(3,Tabela13[[#This Row],[STATUS]])</f>
        <v>1</v>
      </c>
      <c r="V74" s="252"/>
    </row>
    <row r="75" spans="1:22" ht="24" customHeight="1">
      <c r="A75" s="227">
        <v>45742</v>
      </c>
      <c r="B75" s="105">
        <v>73115</v>
      </c>
      <c r="C75" s="688" t="str">
        <f>IFERROR(VLOOKUP(Tabela13[[#This Row],[CÓD. EMPRESA]],Tabela3[[CÓDIGO
 EMPRESA ]:[EMPRESA]],2,FALSE),"")</f>
        <v>CONSORCIO LIMPA GUARULHOS</v>
      </c>
      <c r="D75" s="112" t="s">
        <v>350</v>
      </c>
      <c r="E75" s="112" t="s">
        <v>494</v>
      </c>
      <c r="F75" s="233">
        <v>3258</v>
      </c>
      <c r="G75" s="411">
        <v>70</v>
      </c>
      <c r="H75" s="228" t="s">
        <v>45</v>
      </c>
      <c r="I75" s="229">
        <v>45689</v>
      </c>
      <c r="J75" s="227">
        <v>45716</v>
      </c>
      <c r="K75" s="403">
        <v>8037389.1100000003</v>
      </c>
      <c r="L75" s="398">
        <v>1382430.93</v>
      </c>
      <c r="M75" s="399">
        <f>Tabela13[[#This Row],[VALORES PAGOS 
(FORMA PAGTO)]]</f>
        <v>3327479.09</v>
      </c>
      <c r="N75" s="227">
        <v>45742</v>
      </c>
      <c r="O75" s="384">
        <v>3327479.09</v>
      </c>
      <c r="P75" s="229">
        <v>45751</v>
      </c>
      <c r="Q75" s="230" t="str" cm="1">
        <f t="array" aca="1" ref="Q75" ca="1">IF($P75&lt;&gt;"","PAGO",IF($N75&lt;TODAY(),"ATRASADO",IF($N75&gt;TODAY(),"NO PRAZO",IF($N75=TODAY(),"NO PRAZO",SE))))</f>
        <v>PAGO</v>
      </c>
      <c r="R75" s="150" t="str">
        <f t="shared" ca="1" si="1"/>
        <v/>
      </c>
      <c r="S75" s="229"/>
      <c r="T75" s="112"/>
      <c r="U75" s="263">
        <f ca="1">SUBTOTAL(3,Tabela13[[#This Row],[STATUS]])</f>
        <v>1</v>
      </c>
      <c r="V75" s="252"/>
    </row>
    <row r="76" spans="1:22" ht="24" customHeight="1">
      <c r="A76" s="227">
        <v>45742</v>
      </c>
      <c r="B76" s="105">
        <v>73115</v>
      </c>
      <c r="C76" s="688" t="str">
        <f>IFERROR(VLOOKUP(Tabela13[[#This Row],[CÓD. EMPRESA]],Tabela3[[CÓDIGO
 EMPRESA ]:[EMPRESA]],2,FALSE),"")</f>
        <v>CONSORCIO LIMPA GUARULHOS</v>
      </c>
      <c r="D76" s="112" t="s">
        <v>350</v>
      </c>
      <c r="E76" s="112" t="s">
        <v>494</v>
      </c>
      <c r="F76" s="233">
        <v>3258</v>
      </c>
      <c r="G76" s="411">
        <v>70</v>
      </c>
      <c r="H76" s="165" t="s">
        <v>45</v>
      </c>
      <c r="I76" s="229">
        <v>45689</v>
      </c>
      <c r="J76" s="227">
        <v>45716</v>
      </c>
      <c r="K76" s="401"/>
      <c r="L76" s="398"/>
      <c r="M76" s="703">
        <f>Tabela13[[#This Row],[VALORES PAGOS 
(FORMA PAGTO)]]</f>
        <v>3327479.09</v>
      </c>
      <c r="N76" s="113">
        <v>45742</v>
      </c>
      <c r="O76" s="385">
        <v>3327479.09</v>
      </c>
      <c r="P76" s="147">
        <v>45762</v>
      </c>
      <c r="Q76" s="230" t="str" cm="1">
        <f t="array" aca="1" ref="Q76" ca="1">IF($P76&lt;&gt;"","PAGO",IF($N76&lt;TODAY(),"ATRASADO",IF($N76&gt;TODAY(),"NO PRAZO",IF($N76=TODAY(),"NO PRAZO",SE))))</f>
        <v>PAGO</v>
      </c>
      <c r="R76" s="150" t="str">
        <f t="shared" ca="1" si="1"/>
        <v/>
      </c>
      <c r="S76" s="147"/>
      <c r="T76" s="112"/>
      <c r="U76" s="259">
        <f ca="1">SUBTOTAL(3,Tabela13[[#This Row],[STATUS]])</f>
        <v>1</v>
      </c>
      <c r="V76" s="252"/>
    </row>
    <row r="77" spans="1:22" ht="24" customHeight="1">
      <c r="A77" s="227">
        <v>45742</v>
      </c>
      <c r="B77" s="105">
        <v>46674</v>
      </c>
      <c r="C77" s="688" t="str">
        <f>IFERROR(VLOOKUP(Tabela13[[#This Row],[CÓD. EMPRESA]],Tabela3[[CÓDIGO
 EMPRESA ]:[EMPRESA]],2,FALSE),"")</f>
        <v>NOA SERVICOS E LOCACAO LTDA</v>
      </c>
      <c r="D77" s="112" t="s">
        <v>324</v>
      </c>
      <c r="E77" s="112" t="s">
        <v>437</v>
      </c>
      <c r="F77" s="233">
        <v>3702</v>
      </c>
      <c r="G77" s="411">
        <v>1636</v>
      </c>
      <c r="H77" s="228" t="s">
        <v>45</v>
      </c>
      <c r="I77" s="229">
        <v>45689</v>
      </c>
      <c r="J77" s="227">
        <v>45716</v>
      </c>
      <c r="K77" s="403">
        <v>157172.04999999999</v>
      </c>
      <c r="L77" s="398">
        <f>Tabela13[[#This Row],[VALOR
 BRUTO ]]-Tabela13[[#This Row],[VALOR 
LIQUIDO ]]</f>
        <v>8172.94</v>
      </c>
      <c r="M77" s="399">
        <f>Tabela13[[#This Row],[VALORES PAGOS 
(FORMA PAGTO)]]</f>
        <v>148999.10999999999</v>
      </c>
      <c r="N77" s="227">
        <v>45770</v>
      </c>
      <c r="O77" s="384">
        <v>148999.10999999999</v>
      </c>
      <c r="P77" s="229">
        <v>45777</v>
      </c>
      <c r="Q77" s="230" t="str" cm="1">
        <f t="array" aca="1" ref="Q77" ca="1">IF($P77&lt;&gt;"","PAGO",IF($N77&lt;TODAY(),"ATRASADO",IF($N77&gt;TODAY(),"NO PRAZO",IF($N77=TODAY(),"NO PRAZO",SE))))</f>
        <v>PAGO</v>
      </c>
      <c r="R77" s="150" t="str">
        <f t="shared" ca="1" si="1"/>
        <v/>
      </c>
      <c r="S77" s="229"/>
      <c r="T77" s="112"/>
      <c r="U77" s="263">
        <f ca="1">SUBTOTAL(3,Tabela13[[#This Row],[STATUS]])</f>
        <v>1</v>
      </c>
      <c r="V77" s="252"/>
    </row>
    <row r="78" spans="1:22" ht="24" customHeight="1">
      <c r="A78" s="227">
        <v>45742</v>
      </c>
      <c r="B78" s="105">
        <v>46674</v>
      </c>
      <c r="C78" s="688" t="str">
        <f>IFERROR(VLOOKUP(Tabela13[[#This Row],[CÓD. EMPRESA]],Tabela3[[CÓDIGO
 EMPRESA ]:[EMPRESA]],2,FALSE),"")</f>
        <v>NOA SERVICOS E LOCACAO LTDA</v>
      </c>
      <c r="D78" s="112" t="s">
        <v>324</v>
      </c>
      <c r="E78" s="112" t="s">
        <v>437</v>
      </c>
      <c r="F78" s="233">
        <v>3702</v>
      </c>
      <c r="G78" s="411">
        <v>1638</v>
      </c>
      <c r="H78" s="228" t="s">
        <v>45</v>
      </c>
      <c r="I78" s="229">
        <v>45689</v>
      </c>
      <c r="J78" s="227">
        <v>45716</v>
      </c>
      <c r="K78" s="401">
        <v>2417.04</v>
      </c>
      <c r="L78" s="398">
        <f>Tabela13[[#This Row],[VALOR
 BRUTO ]]-Tabela13[[#This Row],[VALOR 
LIQUIDO ]]</f>
        <v>125.68</v>
      </c>
      <c r="M78" s="399">
        <f>Tabela13[[#This Row],[VALORES PAGOS 
(FORMA PAGTO)]]</f>
        <v>2291.36</v>
      </c>
      <c r="N78" s="227">
        <v>45770</v>
      </c>
      <c r="O78" s="384">
        <v>2291.36</v>
      </c>
      <c r="P78" s="229">
        <v>45777</v>
      </c>
      <c r="Q78" s="230" t="str" cm="1">
        <f t="array" aca="1" ref="Q78" ca="1">IF($P78&lt;&gt;"","PAGO",IF($N78&lt;TODAY(),"ATRASADO",IF($N78&gt;TODAY(),"NO PRAZO",IF($N78=TODAY(),"NO PRAZO",SE))))</f>
        <v>PAGO</v>
      </c>
      <c r="R78" s="150" t="str">
        <f t="shared" ca="1" si="1"/>
        <v/>
      </c>
      <c r="S78" s="229"/>
      <c r="T78" s="112"/>
      <c r="U78" s="263">
        <f ca="1">SUBTOTAL(3,Tabela13[[#This Row],[STATUS]])</f>
        <v>1</v>
      </c>
      <c r="V78" s="252"/>
    </row>
    <row r="79" spans="1:22" ht="24" customHeight="1">
      <c r="A79" s="227">
        <v>45747</v>
      </c>
      <c r="B79" s="105">
        <v>73402</v>
      </c>
      <c r="C79" s="688" t="str">
        <f>IFERROR(VLOOKUP(Tabela13[[#This Row],[CÓD. EMPRESA]],Tabela3[[CÓDIGO
 EMPRESA ]:[EMPRESA]],2,FALSE),"")</f>
        <v>NELSON TAKAO YOSHIDA</v>
      </c>
      <c r="D79" s="112" t="s">
        <v>414</v>
      </c>
      <c r="E79" s="112" t="s">
        <v>415</v>
      </c>
      <c r="F79" s="233">
        <v>2830</v>
      </c>
      <c r="G79" s="411">
        <v>128</v>
      </c>
      <c r="H79" s="165" t="s">
        <v>46</v>
      </c>
      <c r="I79" s="229"/>
      <c r="J79" s="227"/>
      <c r="K79" s="403">
        <v>14639.34</v>
      </c>
      <c r="L79" s="398">
        <f>Tabela13[[#This Row],[VALOR
 BRUTO ]]-Tabela13[[#This Row],[VALOR 
LIQUIDO ]]</f>
        <v>219.59</v>
      </c>
      <c r="M79" s="399">
        <f>Tabela13[[#This Row],[VALORES PAGOS 
(FORMA PAGTO)]]</f>
        <v>14419.75</v>
      </c>
      <c r="N79" s="227">
        <v>45764</v>
      </c>
      <c r="O79" s="384">
        <v>14419.75</v>
      </c>
      <c r="P79" s="229">
        <v>45790</v>
      </c>
      <c r="Q79" s="197" t="str" cm="1">
        <f t="array" aca="1" ref="Q79" ca="1">IF($P79&lt;&gt;"","PAGO",IF($N79&lt;TODAY(),"ATRASADO",IF($N79&gt;TODAY(),"NO PRAZO",IF($N79=TODAY(),"NO PRAZO",SE))))</f>
        <v>PAGO</v>
      </c>
      <c r="R79" s="150" t="str">
        <f t="shared" ca="1" si="1"/>
        <v/>
      </c>
      <c r="S79" s="147"/>
      <c r="T79" s="112"/>
      <c r="U79" s="263">
        <f ca="1">SUBTOTAL(3,Tabela13[[#This Row],[STATUS]])</f>
        <v>1</v>
      </c>
      <c r="V79" s="252"/>
    </row>
    <row r="80" spans="1:22" ht="24" customHeight="1">
      <c r="A80" s="110">
        <v>45747</v>
      </c>
      <c r="B80" s="105">
        <v>60979</v>
      </c>
      <c r="C80" s="688" t="str">
        <f>IFERROR(VLOOKUP(Tabela13[[#This Row],[CÓD. EMPRESA]],Tabela3[[CÓDIGO
 EMPRESA ]:[EMPRESA]],2,FALSE),"")</f>
        <v>SILCON AMBIENTAL S/A</v>
      </c>
      <c r="D80" s="112" t="s">
        <v>355</v>
      </c>
      <c r="E80" s="112" t="s">
        <v>463</v>
      </c>
      <c r="F80" s="196">
        <v>3679</v>
      </c>
      <c r="G80" s="411">
        <v>37144</v>
      </c>
      <c r="H80" s="165" t="s">
        <v>46</v>
      </c>
      <c r="I80" s="146">
        <v>45689</v>
      </c>
      <c r="J80" s="110">
        <v>45716</v>
      </c>
      <c r="K80" s="401">
        <v>3281.04</v>
      </c>
      <c r="L80" s="398">
        <f>Tabela13[[#This Row],[VALOR
 BRUTO ]]-Tabela13[[#This Row],[VALOR 
LIQUIDO ]]</f>
        <v>682.45</v>
      </c>
      <c r="M80" s="399">
        <f>Tabela13[[#This Row],[VALORES PAGOS 
(FORMA PAGTO)]]</f>
        <v>2598.59</v>
      </c>
      <c r="N80" s="110">
        <v>45773</v>
      </c>
      <c r="O80" s="414">
        <v>2598.59</v>
      </c>
      <c r="P80" s="146">
        <v>45777</v>
      </c>
      <c r="Q80" s="197" t="str" cm="1">
        <f t="array" aca="1" ref="Q80" ca="1">IF($P80&lt;&gt;"","PAGO",IF($N80&lt;TODAY(),"ATRASADO",IF($N80&gt;TODAY(),"NO PRAZO",IF($N80=TODAY(),"NO PRAZO",SE))))</f>
        <v>PAGO</v>
      </c>
      <c r="R80" s="150" t="str">
        <f t="shared" ca="1" si="1"/>
        <v/>
      </c>
      <c r="S80" s="241"/>
      <c r="T80" s="242"/>
      <c r="U80" s="264">
        <f ca="1">SUBTOTAL(3,Tabela13[[#This Row],[STATUS]])</f>
        <v>1</v>
      </c>
      <c r="V80" s="252"/>
    </row>
    <row r="81" spans="1:22" ht="24" customHeight="1">
      <c r="A81" s="546">
        <v>45747</v>
      </c>
      <c r="B81" s="105">
        <v>60979</v>
      </c>
      <c r="C81" s="688" t="str">
        <f>IFERROR(VLOOKUP(Tabela13[[#This Row],[CÓD. EMPRESA]],Tabela3[[CÓDIGO
 EMPRESA ]:[EMPRESA]],2,FALSE),"")</f>
        <v>SILCON AMBIENTAL S/A</v>
      </c>
      <c r="D81" s="112" t="s">
        <v>355</v>
      </c>
      <c r="E81" s="112" t="s">
        <v>463</v>
      </c>
      <c r="F81" s="547">
        <v>3679</v>
      </c>
      <c r="G81" s="548">
        <v>37143</v>
      </c>
      <c r="H81" s="561" t="s">
        <v>46</v>
      </c>
      <c r="I81" s="549">
        <v>45689</v>
      </c>
      <c r="J81" s="546">
        <v>45716</v>
      </c>
      <c r="K81" s="550">
        <v>4921.5600000000004</v>
      </c>
      <c r="L81" s="398">
        <f>Tabela13[[#This Row],[VALOR
 BRUTO ]]-Tabela13[[#This Row],[VALOR 
LIQUIDO ]]</f>
        <v>236.23</v>
      </c>
      <c r="M81" s="399">
        <f>Tabela13[[#This Row],[VALORES PAGOS 
(FORMA PAGTO)]]</f>
        <v>4685.33</v>
      </c>
      <c r="N81" s="546">
        <v>45773</v>
      </c>
      <c r="O81" s="551">
        <v>4685.33</v>
      </c>
      <c r="P81" s="549">
        <v>45777</v>
      </c>
      <c r="Q81" s="197" t="str" cm="1">
        <f t="array" aca="1" ref="Q81" ca="1">IF($P81&lt;&gt;"","PAGO",IF($N81&lt;TODAY(),"ATRASADO",IF($N81&gt;TODAY(),"NO PRAZO",IF($N81=TODAY(),"NO PRAZO",SE))))</f>
        <v>PAGO</v>
      </c>
      <c r="R81" s="150" t="str">
        <f t="shared" ca="1" si="1"/>
        <v/>
      </c>
      <c r="S81" s="729"/>
      <c r="T81" s="563"/>
      <c r="U81" s="817">
        <f ca="1">SUBTOTAL(3,Tabela13[[#This Row],[STATUS]])</f>
        <v>1</v>
      </c>
      <c r="V81" s="252"/>
    </row>
    <row r="82" spans="1:22" ht="24" customHeight="1">
      <c r="A82" s="319">
        <v>45747</v>
      </c>
      <c r="B82" s="105">
        <v>60979</v>
      </c>
      <c r="C82" s="688" t="str">
        <f>IFERROR(VLOOKUP(Tabela13[[#This Row],[CÓD. EMPRESA]],Tabela3[[CÓDIGO
 EMPRESA ]:[EMPRESA]],2,FALSE),"")</f>
        <v>SILCON AMBIENTAL S/A</v>
      </c>
      <c r="D82" s="112" t="s">
        <v>355</v>
      </c>
      <c r="E82" s="112" t="s">
        <v>463</v>
      </c>
      <c r="F82" s="320">
        <v>3679</v>
      </c>
      <c r="G82" s="411">
        <v>37142</v>
      </c>
      <c r="H82" s="321" t="s">
        <v>46</v>
      </c>
      <c r="I82" s="322">
        <v>45689</v>
      </c>
      <c r="J82" s="319">
        <v>45716</v>
      </c>
      <c r="K82" s="406">
        <v>313026.84000000003</v>
      </c>
      <c r="L82" s="398">
        <f>Tabela13[[#This Row],[VALOR
 BRUTO ]]-Tabela13[[#This Row],[VALOR 
LIQUIDO ]]</f>
        <v>15025.28</v>
      </c>
      <c r="M82" s="399">
        <f>Tabela13[[#This Row],[VALORES PAGOS 
(FORMA PAGTO)]]</f>
        <v>298001.56</v>
      </c>
      <c r="N82" s="319">
        <v>45773</v>
      </c>
      <c r="O82" s="384">
        <v>298001.56</v>
      </c>
      <c r="P82" s="322">
        <v>45777</v>
      </c>
      <c r="Q82" s="197" t="str" cm="1">
        <f t="array" aca="1" ref="Q82" ca="1">IF($P82&lt;&gt;"","PAGO",IF($N82&lt;TODAY(),"ATRASADO",IF($N82&gt;TODAY(),"NO PRAZO",IF($N82=TODAY(),"NO PRAZO",SE))))</f>
        <v>PAGO</v>
      </c>
      <c r="R82" s="150" t="str">
        <f t="shared" ca="1" si="1"/>
        <v/>
      </c>
      <c r="S82" s="715"/>
      <c r="T82" s="112"/>
      <c r="U82" s="819">
        <f ca="1">SUBTOTAL(3,Tabela13[[#This Row],[STATUS]])</f>
        <v>1</v>
      </c>
      <c r="V82" s="252"/>
    </row>
    <row r="83" spans="1:22" ht="24" customHeight="1">
      <c r="A83" s="319">
        <v>45747</v>
      </c>
      <c r="B83" s="105">
        <v>60979</v>
      </c>
      <c r="C83" s="688" t="str">
        <f>IFERROR(VLOOKUP(Tabela13[[#This Row],[CÓD. EMPRESA]],Tabela3[[CÓDIGO
 EMPRESA ]:[EMPRESA]],2,FALSE),"")</f>
        <v>SILCON AMBIENTAL S/A</v>
      </c>
      <c r="D83" s="112" t="s">
        <v>355</v>
      </c>
      <c r="E83" s="112" t="s">
        <v>463</v>
      </c>
      <c r="F83" s="320">
        <v>3679</v>
      </c>
      <c r="G83" s="411">
        <v>37141</v>
      </c>
      <c r="H83" s="321" t="s">
        <v>46</v>
      </c>
      <c r="I83" s="322">
        <v>45689</v>
      </c>
      <c r="J83" s="319">
        <v>45716</v>
      </c>
      <c r="K83" s="427">
        <v>208684.56</v>
      </c>
      <c r="L83" s="398">
        <f>Tabela13[[#This Row],[VALOR
 BRUTO ]]-Tabela13[[#This Row],[VALOR 
LIQUIDO ]]</f>
        <v>43406.39</v>
      </c>
      <c r="M83" s="399">
        <f>Tabela13[[#This Row],[VALORES PAGOS 
(FORMA PAGTO)]]</f>
        <v>165278.17000000001</v>
      </c>
      <c r="N83" s="319">
        <v>45773</v>
      </c>
      <c r="O83" s="384">
        <v>165278.17000000001</v>
      </c>
      <c r="P83" s="322">
        <v>45777</v>
      </c>
      <c r="Q83" s="197" t="str" cm="1">
        <f t="array" aca="1" ref="Q83" ca="1">IF($P83&lt;&gt;"","PAGO",IF($N83&lt;TODAY(),"ATRASADO",IF($N83&gt;TODAY(),"NO PRAZO",IF($N83=TODAY(),"NO PRAZO",SE))))</f>
        <v>PAGO</v>
      </c>
      <c r="R83" s="150" t="str">
        <f t="shared" ca="1" si="1"/>
        <v/>
      </c>
      <c r="S83" s="715"/>
      <c r="T83" s="112"/>
      <c r="U83" s="819">
        <f ca="1">SUBTOTAL(3,Tabela13[[#This Row],[STATUS]])</f>
        <v>1</v>
      </c>
      <c r="V83" s="252"/>
    </row>
    <row r="84" spans="1:22" ht="24" customHeight="1">
      <c r="A84" s="319">
        <v>45747</v>
      </c>
      <c r="B84" s="105">
        <v>67547</v>
      </c>
      <c r="C84" s="688" t="str">
        <f>IFERROR(VLOOKUP(Tabela13[[#This Row],[CÓD. EMPRESA]],Tabela3[[CÓDIGO
 EMPRESA ]:[EMPRESA]],2,FALSE),"")</f>
        <v>L.C. KLIEMANN</v>
      </c>
      <c r="D84" s="112" t="s">
        <v>424</v>
      </c>
      <c r="E84" s="112" t="s">
        <v>425</v>
      </c>
      <c r="F84" s="320">
        <v>6195</v>
      </c>
      <c r="G84" s="411">
        <v>4139</v>
      </c>
      <c r="H84" s="321" t="s">
        <v>46</v>
      </c>
      <c r="I84" s="322"/>
      <c r="J84" s="319"/>
      <c r="K84" s="406">
        <v>69800</v>
      </c>
      <c r="L84" s="398">
        <f>Tabela13[[#This Row],[VALOR
 BRUTO ]]-Tabela13[[#This Row],[VALOR 
LIQUIDO ]]</f>
        <v>0</v>
      </c>
      <c r="M84" s="399">
        <f>Tabela13[[#This Row],[VALORES PAGOS 
(FORMA PAGTO)]]</f>
        <v>69800</v>
      </c>
      <c r="N84" s="319">
        <v>45770</v>
      </c>
      <c r="O84" s="384">
        <v>69800</v>
      </c>
      <c r="P84" s="322">
        <v>45790</v>
      </c>
      <c r="Q84" s="197" t="str" cm="1">
        <f t="array" aca="1" ref="Q84" ca="1">IF($P84&lt;&gt;"","PAGO",IF($N84&lt;TODAY(),"ATRASADO",IF($N84&gt;TODAY(),"NO PRAZO",IF($N84=TODAY(),"NO PRAZO",SE))))</f>
        <v>PAGO</v>
      </c>
      <c r="R84" s="150" t="str">
        <f t="shared" ca="1" si="1"/>
        <v/>
      </c>
      <c r="S84" s="715"/>
      <c r="T84" s="112"/>
      <c r="U84" s="819">
        <f ca="1">SUBTOTAL(3,Tabela13[[#This Row],[STATUS]])</f>
        <v>1</v>
      </c>
      <c r="V84" s="252"/>
    </row>
    <row r="85" spans="1:22" ht="24" customHeight="1">
      <c r="A85" s="113">
        <v>45751</v>
      </c>
      <c r="B85" s="105">
        <v>73402</v>
      </c>
      <c r="C85" s="688" t="str">
        <f>IFERROR(VLOOKUP(Tabela13[[#This Row],[CÓD. EMPRESA]],Tabela3[[CÓDIGO
 EMPRESA ]:[EMPRESA]],2,FALSE),"")</f>
        <v>NELSON TAKAO YOSHIDA</v>
      </c>
      <c r="D85" s="112" t="s">
        <v>414</v>
      </c>
      <c r="E85" s="112" t="s">
        <v>415</v>
      </c>
      <c r="F85" s="140">
        <v>2830</v>
      </c>
      <c r="G85" s="411">
        <v>138</v>
      </c>
      <c r="H85" s="165" t="s">
        <v>46</v>
      </c>
      <c r="I85" s="147"/>
      <c r="J85" s="113"/>
      <c r="K85" s="401">
        <v>17771.22</v>
      </c>
      <c r="L85" s="398">
        <f>Tabela13[[#This Row],[VALOR
 BRUTO ]]-Tabela13[[#This Row],[VALOR 
LIQUIDO ]]</f>
        <v>266.57</v>
      </c>
      <c r="M85" s="399">
        <f>Tabela13[[#This Row],[VALORES PAGOS 
(FORMA PAGTO)]]</f>
        <v>17504.650000000001</v>
      </c>
      <c r="N85" s="113">
        <v>45778</v>
      </c>
      <c r="O85" s="385">
        <v>17504.650000000001</v>
      </c>
      <c r="P85" s="147">
        <v>45804</v>
      </c>
      <c r="Q85" s="197" t="str" cm="1">
        <f t="array" aca="1" ref="Q85" ca="1">IF($P85&lt;&gt;"","PAGO",IF($N85&lt;TODAY(),"ATRASADO",IF($N85&gt;TODAY(),"NO PRAZO",IF($N85=TODAY(),"NO PRAZO",SE))))</f>
        <v>PAGO</v>
      </c>
      <c r="R85" s="150" t="str">
        <f t="shared" ca="1" si="1"/>
        <v/>
      </c>
      <c r="S85" s="241"/>
      <c r="T85" s="112"/>
      <c r="U85" s="259">
        <f ca="1">SUBTOTAL(3,Tabela13[[#This Row],[STATUS]])</f>
        <v>1</v>
      </c>
    </row>
    <row r="86" spans="1:22" ht="24" customHeight="1">
      <c r="A86" s="307">
        <v>45751</v>
      </c>
      <c r="B86" s="105">
        <v>54615</v>
      </c>
      <c r="C86" s="688" t="str">
        <f>IFERROR(VLOOKUP(Tabela13[[#This Row],[CÓD. EMPRESA]],Tabela3[[CÓDIGO
 EMPRESA ]:[EMPRESA]],2,FALSE),"")</f>
        <v>NEO-TAGUS COMERCIO E ASSISTENCIA TECNICA LTDA</v>
      </c>
      <c r="D86" s="112" t="s">
        <v>133</v>
      </c>
      <c r="E86" s="112" t="s">
        <v>462</v>
      </c>
      <c r="F86" s="308">
        <v>2854</v>
      </c>
      <c r="G86" s="411">
        <v>9104</v>
      </c>
      <c r="H86" s="309" t="s">
        <v>46</v>
      </c>
      <c r="I86" s="310">
        <v>45716</v>
      </c>
      <c r="J86" s="307">
        <v>45743</v>
      </c>
      <c r="K86" s="404">
        <v>4233</v>
      </c>
      <c r="L86" s="398">
        <f>Tabela13[[#This Row],[VALOR
 BRUTO ]]-Tabela13[[#This Row],[VALOR 
LIQUIDO ]]</f>
        <v>203.18</v>
      </c>
      <c r="M86" s="399">
        <f>Tabela13[[#This Row],[VALORES PAGOS 
(FORMA PAGTO)]]</f>
        <v>4029.82</v>
      </c>
      <c r="N86" s="307">
        <v>45774</v>
      </c>
      <c r="O86" s="383">
        <v>4029.82</v>
      </c>
      <c r="P86" s="310">
        <v>45790</v>
      </c>
      <c r="Q86" s="197" t="str" cm="1">
        <f t="array" aca="1" ref="Q86" ca="1">IF($P86&lt;&gt;"","PAGO",IF($N86&lt;TODAY(),"ATRASADO",IF($N86&gt;TODAY(),"NO PRAZO",IF($N86=TODAY(),"NO PRAZO",SE))))</f>
        <v>PAGO</v>
      </c>
      <c r="R86" s="150" t="str">
        <f t="shared" ca="1" si="1"/>
        <v/>
      </c>
      <c r="S86" s="147"/>
      <c r="T86" s="112"/>
      <c r="U86" s="449">
        <f ca="1">SUBTOTAL(3,Tabela13[[#This Row],[STATUS]])</f>
        <v>1</v>
      </c>
    </row>
    <row r="87" spans="1:22" ht="30">
      <c r="A87" s="307">
        <v>45751</v>
      </c>
      <c r="B87" s="105">
        <v>118253</v>
      </c>
      <c r="C87" s="688" t="str">
        <f>IFERROR(VLOOKUP(Tabela13[[#This Row],[CÓD. EMPRESA]],Tabela3[[CÓDIGO
 EMPRESA ]:[EMPRESA]],2,FALSE),"")</f>
        <v>COOPERATIVA DE TRABALHO DOS CATADORES DA AREA DE MATERIAIS RECICLAVEIS DE GUARULHOS</v>
      </c>
      <c r="D87" s="112" t="s">
        <v>440</v>
      </c>
      <c r="E87" s="112" t="s">
        <v>441</v>
      </c>
      <c r="F87" s="308">
        <v>3692</v>
      </c>
      <c r="G87" s="411">
        <v>4</v>
      </c>
      <c r="H87" s="165" t="s">
        <v>46</v>
      </c>
      <c r="I87" s="310">
        <v>45658</v>
      </c>
      <c r="J87" s="307">
        <v>45688</v>
      </c>
      <c r="K87" s="404">
        <v>56756.22</v>
      </c>
      <c r="L87" s="398">
        <f>Tabela13[[#This Row],[VALOR
 BRUTO ]]-Tabela13[[#This Row],[VALOR 
LIQUIDO ]]</f>
        <v>2837.81</v>
      </c>
      <c r="M87" s="399">
        <f>Tabela13[[#This Row],[VALORES PAGOS 
(FORMA PAGTO)]]</f>
        <v>53918.41</v>
      </c>
      <c r="N87" s="307">
        <v>45774</v>
      </c>
      <c r="O87" s="383">
        <v>53918.41</v>
      </c>
      <c r="P87" s="310">
        <v>45790</v>
      </c>
      <c r="Q87" s="197" t="str" cm="1">
        <f t="array" aca="1" ref="Q87" ca="1">IF($P87&lt;&gt;"","PAGO",IF($N87&lt;TODAY(),"ATRASADO",IF($N87&gt;TODAY(),"NO PRAZO",IF($N87=TODAY(),"NO PRAZO",SE))))</f>
        <v>PAGO</v>
      </c>
      <c r="R87" s="150" t="str">
        <f t="shared" ca="1" si="1"/>
        <v/>
      </c>
      <c r="S87" s="714"/>
      <c r="T87" s="112"/>
      <c r="U87" s="449">
        <f ca="1">SUBTOTAL(3,Tabela13[[#This Row],[STATUS]])</f>
        <v>1</v>
      </c>
    </row>
    <row r="88" spans="1:22" ht="24" customHeight="1">
      <c r="A88" s="248">
        <v>45754</v>
      </c>
      <c r="B88" s="105">
        <v>2808</v>
      </c>
      <c r="C88" s="688" t="str">
        <f>IFERROR(VLOOKUP(Tabela13[[#This Row],[CÓD. EMPRESA]],Tabela3[[CÓDIGO
 EMPRESA ]:[EMPRESA]],2,FALSE),"")</f>
        <v>EMPRESA BRASILEIRA DE CORREIOS E TELEGRAFOS</v>
      </c>
      <c r="D88" s="112" t="s">
        <v>34</v>
      </c>
      <c r="E88" s="112" t="s">
        <v>443</v>
      </c>
      <c r="F88" s="249">
        <v>7398</v>
      </c>
      <c r="G88" s="411">
        <v>3534543</v>
      </c>
      <c r="H88" s="165" t="s">
        <v>46</v>
      </c>
      <c r="I88" s="250">
        <v>45717</v>
      </c>
      <c r="J88" s="248">
        <v>45747</v>
      </c>
      <c r="K88" s="665">
        <v>1867.09</v>
      </c>
      <c r="L88" s="398">
        <f>Tabela13[[#This Row],[VALOR
 BRUTO ]]-Tabela13[[#This Row],[VALOR 
LIQUIDO ]]</f>
        <v>0</v>
      </c>
      <c r="M88" s="399">
        <f>Tabela13[[#This Row],[VALORES PAGOS 
(FORMA PAGTO)]]</f>
        <v>1867.09</v>
      </c>
      <c r="N88" s="248">
        <v>45769</v>
      </c>
      <c r="O88" s="387">
        <v>1867.09</v>
      </c>
      <c r="P88" s="250">
        <v>45769</v>
      </c>
      <c r="Q88" s="197" t="str" cm="1">
        <f t="array" aca="1" ref="Q88" ca="1">IF($P88&lt;&gt;"","PAGO",IF($N88&lt;TODAY(),"ATRASADO",IF($N88&gt;TODAY(),"NO PRAZO",IF($N88=TODAY(),"NO PRAZO",SE))))</f>
        <v>PAGO</v>
      </c>
      <c r="R88" s="150" t="str">
        <f t="shared" ca="1" si="1"/>
        <v/>
      </c>
      <c r="S88" s="710"/>
      <c r="T88" s="112"/>
      <c r="U88" s="749">
        <f ca="1">SUBTOTAL(3,Tabela13[[#This Row],[STATUS]])</f>
        <v>1</v>
      </c>
    </row>
    <row r="89" spans="1:22" ht="24" customHeight="1">
      <c r="A89" s="248">
        <v>45754</v>
      </c>
      <c r="B89" s="105">
        <v>37621</v>
      </c>
      <c r="C89" s="688" t="str">
        <f>IFERROR(VLOOKUP(Tabela13[[#This Row],[CÓD. EMPRESA]],Tabela3[[CÓDIGO
 EMPRESA ]:[EMPRESA]],2,FALSE),"")</f>
        <v>ABEX SUPPLY IMPORTACAO E EXPORTACAO LTDA</v>
      </c>
      <c r="D89" s="112" t="s">
        <v>444</v>
      </c>
      <c r="E89" s="112" t="s">
        <v>445</v>
      </c>
      <c r="F89" s="249">
        <v>2888</v>
      </c>
      <c r="G89" s="411">
        <v>4234</v>
      </c>
      <c r="H89" s="165" t="s">
        <v>46</v>
      </c>
      <c r="I89" s="250"/>
      <c r="J89" s="248"/>
      <c r="K89" s="665">
        <v>2680</v>
      </c>
      <c r="L89" s="398">
        <f>Tabela13[[#This Row],[VALOR
 BRUTO ]]-Tabela13[[#This Row],[VALOR 
LIQUIDO ]]</f>
        <v>32.159999999999997</v>
      </c>
      <c r="M89" s="399">
        <f>Tabela13[[#This Row],[VALORES PAGOS 
(FORMA PAGTO)]]</f>
        <v>2647.84</v>
      </c>
      <c r="N89" s="248">
        <v>45754</v>
      </c>
      <c r="O89" s="387">
        <v>2647.84</v>
      </c>
      <c r="P89" s="250">
        <v>45790</v>
      </c>
      <c r="Q89" s="197" t="str" cm="1">
        <f t="array" aca="1" ref="Q89" ca="1">IF($P89&lt;&gt;"","PAGO",IF($N89&lt;TODAY(),"ATRASADO",IF($N89&gt;TODAY(),"NO PRAZO",IF($N89=TODAY(),"NO PRAZO",SE))))</f>
        <v>PAGO</v>
      </c>
      <c r="R89" s="150" t="str">
        <f t="shared" ca="1" si="1"/>
        <v/>
      </c>
      <c r="S89" s="710"/>
      <c r="T89" s="112"/>
      <c r="U89" s="749">
        <f ca="1">SUBTOTAL(3,Tabela13[[#This Row],[STATUS]])</f>
        <v>1</v>
      </c>
    </row>
    <row r="90" spans="1:22" ht="24" customHeight="1">
      <c r="A90" s="113">
        <v>45755</v>
      </c>
      <c r="B90" s="105">
        <v>61861</v>
      </c>
      <c r="C90" s="688" t="str">
        <f>IFERROR(VLOOKUP(Tabela13[[#This Row],[CÓD. EMPRESA]],Tabela3[[CÓDIGO
 EMPRESA ]:[EMPRESA]],2,FALSE),"")</f>
        <v>RAFER INDÚSTRIA COMÉRCIO DE ARTEFATOS DE MADEIRA LTDA</v>
      </c>
      <c r="D90" s="112" t="s">
        <v>447</v>
      </c>
      <c r="E90" s="112" t="s">
        <v>448</v>
      </c>
      <c r="F90" s="249">
        <v>3891</v>
      </c>
      <c r="G90" s="411">
        <v>12680</v>
      </c>
      <c r="H90" s="165" t="s">
        <v>46</v>
      </c>
      <c r="I90" s="147"/>
      <c r="J90" s="113"/>
      <c r="K90" s="665">
        <v>29319</v>
      </c>
      <c r="L90" s="398">
        <f>Tabela13[[#This Row],[VALOR
 BRUTO ]]-Tabela13[[#This Row],[VALOR 
LIQUIDO ]]</f>
        <v>351.83</v>
      </c>
      <c r="M90" s="399">
        <f>Tabela13[[#This Row],[VALORES PAGOS 
(FORMA PAGTO)]]</f>
        <v>28967.17</v>
      </c>
      <c r="N90" s="113">
        <v>45777</v>
      </c>
      <c r="O90" s="387">
        <v>28967.17</v>
      </c>
      <c r="P90" s="147">
        <v>45790</v>
      </c>
      <c r="Q90" s="197" t="str" cm="1">
        <f t="array" aca="1" ref="Q90" ca="1">IF($P90&lt;&gt;"","PAGO",IF($N90&lt;TODAY(),"ATRASADO",IF($N90&gt;TODAY(),"NO PRAZO",IF($N90=TODAY(),"NO PRAZO",SE))))</f>
        <v>PAGO</v>
      </c>
      <c r="R90" s="150" t="str">
        <f t="shared" ca="1" si="1"/>
        <v/>
      </c>
      <c r="S90" s="241"/>
      <c r="T90" s="112"/>
      <c r="U90" s="259">
        <f ca="1">SUBTOTAL(3,Tabela13[[#This Row],[STATUS]])</f>
        <v>1</v>
      </c>
    </row>
    <row r="91" spans="1:22" ht="24" customHeight="1">
      <c r="A91" s="113">
        <v>45755</v>
      </c>
      <c r="B91" s="105">
        <v>121973</v>
      </c>
      <c r="C91" s="688" t="str">
        <f>IFERROR(VLOOKUP(Tabela13[[#This Row],[CÓD. EMPRESA]],Tabela3[[CÓDIGO
 EMPRESA ]:[EMPRESA]],2,FALSE),"")</f>
        <v>CONSORCIO CENTRO DE TRATAMENTO DE RESIDUOS GUARULHOS</v>
      </c>
      <c r="D91" s="112" t="s">
        <v>446</v>
      </c>
      <c r="E91" s="112" t="s">
        <v>461</v>
      </c>
      <c r="F91" s="196">
        <v>3681</v>
      </c>
      <c r="G91" s="411">
        <v>2</v>
      </c>
      <c r="H91" s="165" t="s">
        <v>46</v>
      </c>
      <c r="I91" s="147">
        <v>45689</v>
      </c>
      <c r="J91" s="113">
        <v>45716</v>
      </c>
      <c r="K91" s="401">
        <v>284509.59000000003</v>
      </c>
      <c r="L91" s="398">
        <f>Tabela13[[#This Row],[VALOR
 BRUTO ]]-Tabela13[[#This Row],[VALOR 
LIQUIDO ]]</f>
        <v>46243.1</v>
      </c>
      <c r="M91" s="399">
        <f>Tabela13[[#This Row],[VALORES PAGOS 
(FORMA PAGTO)]]</f>
        <v>238266.49</v>
      </c>
      <c r="N91" s="113">
        <v>45777</v>
      </c>
      <c r="O91" s="385">
        <v>238266.49</v>
      </c>
      <c r="P91" s="147">
        <v>45793</v>
      </c>
      <c r="Q91" s="197" t="str" cm="1">
        <f t="array" aca="1" ref="Q91" ca="1">IF($P91&lt;&gt;"","PAGO",IF($N91&lt;TODAY(),"ATRASADO",IF($N91&gt;TODAY(),"NO PRAZO",IF($N91=TODAY(),"NO PRAZO",SE))))</f>
        <v>PAGO</v>
      </c>
      <c r="R91" s="150" t="str">
        <f t="shared" ca="1" si="1"/>
        <v/>
      </c>
      <c r="S91" s="241"/>
      <c r="T91" s="112"/>
      <c r="U91" s="259">
        <f ca="1">SUBTOTAL(3,Tabela13[[#This Row],[STATUS]])</f>
        <v>1</v>
      </c>
    </row>
    <row r="92" spans="1:22" ht="24" customHeight="1">
      <c r="A92" s="592">
        <v>45758</v>
      </c>
      <c r="B92" s="105">
        <v>69169</v>
      </c>
      <c r="C92" s="688" t="str">
        <f>IFERROR(VLOOKUP(Tabela13[[#This Row],[CÓD. EMPRESA]],Tabela3[[CÓDIGO
 EMPRESA ]:[EMPRESA]],2,FALSE),"")</f>
        <v>CECM PÂES LTDA</v>
      </c>
      <c r="D92" s="112" t="s">
        <v>429</v>
      </c>
      <c r="E92" s="112" t="s">
        <v>450</v>
      </c>
      <c r="F92" s="249">
        <v>3881</v>
      </c>
      <c r="G92" s="411">
        <v>19117</v>
      </c>
      <c r="H92" s="165" t="s">
        <v>47</v>
      </c>
      <c r="I92" s="596"/>
      <c r="J92" s="592"/>
      <c r="K92" s="665">
        <v>7389.9</v>
      </c>
      <c r="L92" s="398"/>
      <c r="M92" s="399">
        <f>Tabela13[[#This Row],[VALORES PAGOS 
(FORMA PAGTO)]]</f>
        <v>7389.9</v>
      </c>
      <c r="N92" s="592">
        <v>45785</v>
      </c>
      <c r="O92" s="665">
        <f>Tabela13[[#This Row],[VALOR
 BRUTO ]]</f>
        <v>7389.9</v>
      </c>
      <c r="P92" s="596">
        <v>45804</v>
      </c>
      <c r="Q92" s="197" t="str" cm="1">
        <f t="array" aca="1" ref="Q92" ca="1">IF($P92&lt;&gt;"","PAGO",IF($N92&lt;TODAY(),"ATRASADO",IF($N92&gt;TODAY(),"NO PRAZO",IF($N92=TODAY(),"NO PRAZO",SE))))</f>
        <v>PAGO</v>
      </c>
      <c r="R92" s="150" t="str">
        <f t="shared" ca="1" si="1"/>
        <v/>
      </c>
      <c r="S92" s="711"/>
      <c r="T92" s="112"/>
      <c r="U92" s="599">
        <f ca="1">SUBTOTAL(3,Tabela13[[#This Row],[STATUS]])</f>
        <v>1</v>
      </c>
    </row>
    <row r="93" spans="1:22" ht="24" customHeight="1">
      <c r="A93" s="113">
        <v>45758</v>
      </c>
      <c r="B93" s="105">
        <v>58778</v>
      </c>
      <c r="C93" s="688" t="str">
        <f>IFERROR(VLOOKUP(Tabela13[[#This Row],[CÓD. EMPRESA]],Tabela3[[CÓDIGO
 EMPRESA ]:[EMPRESA]],2,FALSE),"")</f>
        <v>ATTEND AMBIENTAL S.A</v>
      </c>
      <c r="D93" s="112" t="s">
        <v>335</v>
      </c>
      <c r="E93" s="112" t="s">
        <v>451</v>
      </c>
      <c r="F93" s="196">
        <v>3261</v>
      </c>
      <c r="G93" s="411">
        <v>46482</v>
      </c>
      <c r="H93" s="165" t="s">
        <v>46</v>
      </c>
      <c r="I93" s="147">
        <v>45717</v>
      </c>
      <c r="J93" s="113">
        <v>45747</v>
      </c>
      <c r="K93" s="401">
        <v>115539.93</v>
      </c>
      <c r="L93" s="398">
        <f>Tabela13[[#This Row],[VALOR
 BRUTO ]]-Tabela13[[#This Row],[VALOR 
LIQUIDO ]]</f>
        <v>5545.92</v>
      </c>
      <c r="M93" s="399">
        <f>Tabela13[[#This Row],[VALORES PAGOS 
(FORMA PAGTO)]]</f>
        <v>109994.01</v>
      </c>
      <c r="N93" s="113">
        <v>45777</v>
      </c>
      <c r="O93" s="385">
        <v>109994.01</v>
      </c>
      <c r="P93" s="147">
        <v>45793</v>
      </c>
      <c r="Q93" s="197" t="str" cm="1">
        <f t="array" aca="1" ref="Q93" ca="1">IF($P93&lt;&gt;"","PAGO",IF($N93&lt;TODAY(),"ATRASADO",IF($N93&gt;TODAY(),"NO PRAZO",IF($N93=TODAY(),"NO PRAZO",SE))))</f>
        <v>PAGO</v>
      </c>
      <c r="R93" s="150" t="str">
        <f t="shared" ca="1" si="1"/>
        <v/>
      </c>
      <c r="S93" s="241"/>
      <c r="T93" s="112"/>
      <c r="U93" s="259">
        <f ca="1">SUBTOTAL(3,Tabela13[[#This Row],[STATUS]])</f>
        <v>1</v>
      </c>
    </row>
    <row r="94" spans="1:22" ht="24" customHeight="1">
      <c r="A94" s="113">
        <v>45758</v>
      </c>
      <c r="B94" s="105">
        <v>117936</v>
      </c>
      <c r="C94" s="688" t="str">
        <f>IFERROR(VLOOKUP(Tabela13[[#This Row],[CÓD. EMPRESA]],Tabela3[[CÓDIGO
 EMPRESA ]:[EMPRESA]],2,FALSE),"")</f>
        <v>LOPES SAAB ENGENHARIA LTDA</v>
      </c>
      <c r="D94" s="112" t="s">
        <v>449</v>
      </c>
      <c r="E94" s="112" t="s">
        <v>452</v>
      </c>
      <c r="F94" s="196">
        <v>2929</v>
      </c>
      <c r="G94" s="411">
        <v>147</v>
      </c>
      <c r="H94" s="165" t="s">
        <v>46</v>
      </c>
      <c r="I94" s="147">
        <v>45689</v>
      </c>
      <c r="J94" s="113">
        <v>45716</v>
      </c>
      <c r="K94" s="401">
        <v>18500</v>
      </c>
      <c r="L94" s="398">
        <f>Tabela13[[#This Row],[VALOR
 BRUTO ]]-Tabela13[[#This Row],[VALOR 
LIQUIDO ]]</f>
        <v>0</v>
      </c>
      <c r="M94" s="399">
        <f>Tabela13[[#This Row],[VALORES PAGOS 
(FORMA PAGTO)]]</f>
        <v>18500</v>
      </c>
      <c r="N94" s="113">
        <v>45780</v>
      </c>
      <c r="O94" s="393">
        <v>18500</v>
      </c>
      <c r="P94" s="147">
        <v>45804</v>
      </c>
      <c r="Q94" s="197" t="str" cm="1">
        <f t="array" aca="1" ref="Q94" ca="1">IF($P94&lt;&gt;"","PAGO",IF($N94&lt;TODAY(),"ATRASADO",IF($N94&gt;TODAY(),"NO PRAZO",IF($N94=TODAY(),"NO PRAZO",SE))))</f>
        <v>PAGO</v>
      </c>
      <c r="R94" s="150" t="str">
        <f t="shared" ca="1" si="1"/>
        <v/>
      </c>
      <c r="S94" s="241"/>
      <c r="T94" s="112"/>
      <c r="U94" s="259">
        <f ca="1">SUBTOTAL(3,Tabela13[[#This Row],[STATUS]])</f>
        <v>1</v>
      </c>
    </row>
    <row r="95" spans="1:22" ht="24" customHeight="1">
      <c r="A95" s="288">
        <v>45761</v>
      </c>
      <c r="B95" s="105">
        <v>41807</v>
      </c>
      <c r="C95" s="688" t="str">
        <f>IFERROR(VLOOKUP(Tabela13[[#This Row],[CÓD. EMPRESA]],Tabela3[[CÓDIGO
 EMPRESA ]:[EMPRESA]],2,FALSE),"")</f>
        <v>BIGNOTTO INDUSTRIA E COMERCIO LTDA</v>
      </c>
      <c r="D95" s="112" t="s">
        <v>416</v>
      </c>
      <c r="E95" s="112" t="s">
        <v>417</v>
      </c>
      <c r="F95" s="249">
        <v>6191</v>
      </c>
      <c r="G95" s="411">
        <v>76803</v>
      </c>
      <c r="H95" s="165" t="s">
        <v>47</v>
      </c>
      <c r="I95" s="290"/>
      <c r="J95" s="288"/>
      <c r="K95" s="407">
        <v>65800</v>
      </c>
      <c r="L95" s="398">
        <f>Tabela13[[#This Row],[VALOR
 BRUTO ]]-Tabela13[[#This Row],[VALOR 
LIQUIDO ]]</f>
        <v>789.6</v>
      </c>
      <c r="M95" s="399">
        <f>Tabela13[[#This Row],[VALORES PAGOS 
(FORMA PAGTO)]]</f>
        <v>65010.400000000001</v>
      </c>
      <c r="N95" s="288">
        <v>45784</v>
      </c>
      <c r="O95" s="391">
        <v>65010.400000000001</v>
      </c>
      <c r="P95" s="290">
        <v>45804</v>
      </c>
      <c r="Q95" s="197" t="str" cm="1">
        <f t="array" aca="1" ref="Q95" ca="1">IF($P95&lt;&gt;"","PAGO",IF($N95&lt;TODAY(),"ATRASADO",IF($N95&gt;TODAY(),"NO PRAZO",IF($N95=TODAY(),"NO PRAZO",SE))))</f>
        <v>PAGO</v>
      </c>
      <c r="R95" s="150" t="str">
        <f t="shared" ca="1" si="1"/>
        <v/>
      </c>
      <c r="S95" s="712"/>
      <c r="T95" s="112"/>
      <c r="U95" s="291">
        <f ca="1">SUBTOTAL(3,Tabela13[[#This Row],[STATUS]])</f>
        <v>1</v>
      </c>
    </row>
    <row r="96" spans="1:22" ht="24" customHeight="1">
      <c r="A96" s="113">
        <v>45761</v>
      </c>
      <c r="B96" s="105">
        <v>76116</v>
      </c>
      <c r="C96" s="688" t="str">
        <f>IFERROR(VLOOKUP(Tabela13[[#This Row],[CÓD. EMPRESA]],Tabela3[[CÓDIGO
 EMPRESA ]:[EMPRESA]],2,FALSE),"")</f>
        <v>ALVORADA SISTEMA AMBIENTAL EIRELI</v>
      </c>
      <c r="D96" s="112" t="s">
        <v>342</v>
      </c>
      <c r="E96" s="112" t="s">
        <v>460</v>
      </c>
      <c r="F96" s="233">
        <v>3256</v>
      </c>
      <c r="G96" s="411">
        <v>13511</v>
      </c>
      <c r="H96" s="165" t="s">
        <v>46</v>
      </c>
      <c r="I96" s="147">
        <v>45717</v>
      </c>
      <c r="J96" s="113">
        <v>45747</v>
      </c>
      <c r="K96" s="401">
        <v>125056.65</v>
      </c>
      <c r="L96" s="398">
        <f>Tabela13[[#This Row],[VALOR
 BRUTO ]]-Tabela13[[#This Row],[VALOR 
LIQUIDO ]]</f>
        <v>12255.55</v>
      </c>
      <c r="M96" s="399">
        <f>Tabela13[[#This Row],[VALORES PAGOS 
(FORMA PAGTO)]]</f>
        <v>112801.1</v>
      </c>
      <c r="N96" s="113">
        <v>45777</v>
      </c>
      <c r="O96" s="385">
        <v>112801.1</v>
      </c>
      <c r="P96" s="147">
        <v>45793</v>
      </c>
      <c r="Q96" s="197" t="str" cm="1">
        <f t="array" aca="1" ref="Q96" ca="1">IF($P96&lt;&gt;"","PAGO",IF($N96&lt;TODAY(),"ATRASADO",IF($N96&gt;TODAY(),"NO PRAZO",IF($N96=TODAY(),"NO PRAZO",SE))))</f>
        <v>PAGO</v>
      </c>
      <c r="R96" s="150" t="str">
        <f t="shared" ca="1" si="1"/>
        <v/>
      </c>
      <c r="S96" s="241"/>
      <c r="T96" s="112"/>
      <c r="U96" s="259">
        <f ca="1">SUBTOTAL(3,Tabela13[[#This Row],[STATUS]])</f>
        <v>1</v>
      </c>
    </row>
    <row r="97" spans="1:21" ht="24" customHeight="1">
      <c r="A97" s="299">
        <v>45761</v>
      </c>
      <c r="B97" s="105">
        <v>46901</v>
      </c>
      <c r="C97" s="688" t="str">
        <f>IFERROR(VLOOKUP(Tabela13[[#This Row],[CÓD. EMPRESA]],Tabela3[[CÓDIGO
 EMPRESA ]:[EMPRESA]],2,FALSE),"")</f>
        <v>LAVANDERIA PAULISTA LTDA</v>
      </c>
      <c r="D97" s="112" t="s">
        <v>421</v>
      </c>
      <c r="E97" s="112" t="s">
        <v>453</v>
      </c>
      <c r="F97" s="300">
        <v>4802</v>
      </c>
      <c r="G97" s="411">
        <v>27675</v>
      </c>
      <c r="H97" s="301" t="s">
        <v>47</v>
      </c>
      <c r="I97" s="302">
        <v>45717</v>
      </c>
      <c r="J97" s="299">
        <v>45747</v>
      </c>
      <c r="K97" s="405">
        <v>25594.799999999999</v>
      </c>
      <c r="L97" s="398">
        <f>Tabela13[[#This Row],[VALOR
 BRUTO ]]-Tabela13[[#This Row],[VALOR 
LIQUIDO ]]</f>
        <v>1164.56</v>
      </c>
      <c r="M97" s="399">
        <f>Tabela13[[#This Row],[VALORES PAGOS 
(FORMA PAGTO)]]</f>
        <v>24430.240000000002</v>
      </c>
      <c r="N97" s="299">
        <v>45780</v>
      </c>
      <c r="O97" s="386">
        <v>24430.240000000002</v>
      </c>
      <c r="P97" s="302">
        <v>45804</v>
      </c>
      <c r="Q97" s="197" t="str" cm="1">
        <f t="array" aca="1" ref="Q97" ca="1">IF($P97&lt;&gt;"","PAGO",IF($N97&lt;TODAY(),"ATRASADO",IF($N97&gt;TODAY(),"NO PRAZO",IF($N97=TODAY(),"NO PRAZO",SE))))</f>
        <v>PAGO</v>
      </c>
      <c r="R97" s="150" t="str">
        <f t="shared" ca="1" si="1"/>
        <v/>
      </c>
      <c r="S97" s="713"/>
      <c r="T97" s="112"/>
      <c r="U97" s="451">
        <f ca="1">SUBTOTAL(3,Tabela13[[#This Row],[STATUS]])</f>
        <v>1</v>
      </c>
    </row>
    <row r="98" spans="1:21" ht="24" customHeight="1">
      <c r="A98" s="288">
        <v>45763</v>
      </c>
      <c r="B98" s="105">
        <v>61861</v>
      </c>
      <c r="C98" s="688" t="str">
        <f>IFERROR(VLOOKUP(Tabela13[[#This Row],[CÓD. EMPRESA]],Tabela3[[CÓDIGO
 EMPRESA ]:[EMPRESA]],2,FALSE),"")</f>
        <v>RAFER INDÚSTRIA COMÉRCIO DE ARTEFATOS DE MADEIRA LTDA</v>
      </c>
      <c r="D98" s="112" t="s">
        <v>664</v>
      </c>
      <c r="E98" s="112" t="s">
        <v>448</v>
      </c>
      <c r="F98" s="463">
        <v>3891</v>
      </c>
      <c r="G98" s="411">
        <v>12684</v>
      </c>
      <c r="H98" s="165" t="s">
        <v>47</v>
      </c>
      <c r="I98" s="290"/>
      <c r="J98" s="288"/>
      <c r="K98" s="407">
        <v>23440</v>
      </c>
      <c r="L98" s="398">
        <f>Tabela13[[#This Row],[VALOR
 BRUTO ]]-Tabela13[[#This Row],[VALOR 
LIQUIDO ]]</f>
        <v>281.27999999999997</v>
      </c>
      <c r="M98" s="399">
        <f>Tabela13[[#This Row],[VALORES PAGOS 
(FORMA PAGTO)]]</f>
        <v>23158.720000000001</v>
      </c>
      <c r="N98" s="288">
        <v>45780</v>
      </c>
      <c r="O98" s="391">
        <v>23158.720000000001</v>
      </c>
      <c r="P98" s="290">
        <v>45804</v>
      </c>
      <c r="Q98" s="197" t="str" cm="1">
        <f t="array" aca="1" ref="Q98" ca="1">IF($P98&lt;&gt;"","PAGO",IF($N98&lt;TODAY(),"ATRASADO",IF($N98&gt;TODAY(),"NO PRAZO",IF($N98=TODAY(),"NO PRAZO",SE))))</f>
        <v>PAGO</v>
      </c>
      <c r="R98" s="150" t="str">
        <f t="shared" ca="1" si="1"/>
        <v/>
      </c>
      <c r="S98" s="712"/>
      <c r="T98" s="112"/>
      <c r="U98" s="291">
        <f ca="1">SUBTOTAL(3,Tabela13[[#This Row],[STATUS]])</f>
        <v>1</v>
      </c>
    </row>
    <row r="99" spans="1:21" ht="24" customHeight="1">
      <c r="A99" s="113">
        <v>45763</v>
      </c>
      <c r="B99" s="105">
        <v>61861</v>
      </c>
      <c r="C99" s="688" t="str">
        <f>IFERROR(VLOOKUP(Tabela13[[#This Row],[CÓD. EMPRESA]],Tabela3[[CÓDIGO
 EMPRESA ]:[EMPRESA]],2,FALSE),"")</f>
        <v>RAFER INDÚSTRIA COMÉRCIO DE ARTEFATOS DE MADEIRA LTDA</v>
      </c>
      <c r="D99" s="112" t="s">
        <v>664</v>
      </c>
      <c r="E99" s="112" t="s">
        <v>448</v>
      </c>
      <c r="F99" s="196">
        <v>3891</v>
      </c>
      <c r="G99" s="411">
        <v>12685</v>
      </c>
      <c r="H99" s="165" t="s">
        <v>47</v>
      </c>
      <c r="I99" s="147"/>
      <c r="J99" s="113"/>
      <c r="K99" s="401">
        <v>4981</v>
      </c>
      <c r="L99" s="398">
        <f>Tabela13[[#This Row],[VALOR
 BRUTO ]]-Tabela13[[#This Row],[VALOR 
LIQUIDO ]]</f>
        <v>59.77</v>
      </c>
      <c r="M99" s="399">
        <f>Tabela13[[#This Row],[VALORES PAGOS 
(FORMA PAGTO)]]</f>
        <v>4921.2299999999996</v>
      </c>
      <c r="N99" s="113">
        <v>45783</v>
      </c>
      <c r="O99" s="385">
        <v>4921.2299999999996</v>
      </c>
      <c r="P99" s="147">
        <v>45804</v>
      </c>
      <c r="Q99" s="197" t="str" cm="1">
        <f t="array" aca="1" ref="Q99" ca="1">IF($P99&lt;&gt;"","PAGO",IF($N99&lt;TODAY(),"ATRASADO",IF($N99&gt;TODAY(),"NO PRAZO",IF($N99=TODAY(),"NO PRAZO",SE))))</f>
        <v>PAGO</v>
      </c>
      <c r="R99" s="150" t="str">
        <f t="shared" ca="1" si="1"/>
        <v/>
      </c>
      <c r="S99" s="241"/>
      <c r="T99" s="112"/>
      <c r="U99" s="259">
        <f ca="1">SUBTOTAL(3,Tabela13[[#This Row],[STATUS]])</f>
        <v>1</v>
      </c>
    </row>
    <row r="100" spans="1:21" ht="24" customHeight="1">
      <c r="A100" s="113">
        <v>45763</v>
      </c>
      <c r="B100" s="105">
        <v>67547</v>
      </c>
      <c r="C100" s="688" t="str">
        <f>IFERROR(VLOOKUP(Tabela13[[#This Row],[CÓD. EMPRESA]],Tabela3[[CÓDIGO
 EMPRESA ]:[EMPRESA]],2,FALSE),"")</f>
        <v>L.C. KLIEMANN</v>
      </c>
      <c r="D100" s="112" t="s">
        <v>424</v>
      </c>
      <c r="E100" s="112" t="s">
        <v>425</v>
      </c>
      <c r="F100" s="196">
        <v>6195</v>
      </c>
      <c r="G100" s="411">
        <v>4143</v>
      </c>
      <c r="H100" s="165" t="s">
        <v>47</v>
      </c>
      <c r="I100" s="147"/>
      <c r="J100" s="113"/>
      <c r="K100" s="401">
        <v>88640</v>
      </c>
      <c r="L100" s="398">
        <f>Tabela13[[#This Row],[VALOR
 BRUTO ]]-Tabela13[[#This Row],[VALOR 
LIQUIDO ]]</f>
        <v>0</v>
      </c>
      <c r="M100" s="399">
        <f>Tabela13[[#This Row],[VALORES PAGOS 
(FORMA PAGTO)]]</f>
        <v>88640</v>
      </c>
      <c r="N100" s="113">
        <v>45779</v>
      </c>
      <c r="O100" s="385">
        <v>88640</v>
      </c>
      <c r="P100" s="147">
        <v>45804</v>
      </c>
      <c r="Q100" s="197" t="str" cm="1">
        <f t="array" aca="1" ref="Q100" ca="1">IF($P100&lt;&gt;"","PAGO",IF($N100&lt;TODAY(),"ATRASADO",IF($N100&gt;TODAY(),"NO PRAZO",IF($N100=TODAY(),"NO PRAZO",SE))))</f>
        <v>PAGO</v>
      </c>
      <c r="R100" s="150" t="str">
        <f t="shared" ca="1" si="1"/>
        <v/>
      </c>
      <c r="S100" s="241"/>
      <c r="T100" s="112"/>
      <c r="U100" s="259">
        <f ca="1">SUBTOTAL(3,Tabela13[[#This Row],[STATUS]])</f>
        <v>1</v>
      </c>
    </row>
    <row r="101" spans="1:21" ht="24" customHeight="1">
      <c r="A101" s="113">
        <v>45763</v>
      </c>
      <c r="B101" s="105">
        <v>67547</v>
      </c>
      <c r="C101" s="688" t="str">
        <f>IFERROR(VLOOKUP(Tabela13[[#This Row],[CÓD. EMPRESA]],Tabela3[[CÓDIGO
 EMPRESA ]:[EMPRESA]],2,FALSE),"")</f>
        <v>L.C. KLIEMANN</v>
      </c>
      <c r="D101" s="112" t="s">
        <v>424</v>
      </c>
      <c r="E101" s="112" t="s">
        <v>425</v>
      </c>
      <c r="F101" s="196">
        <v>6195</v>
      </c>
      <c r="G101" s="411">
        <v>4144</v>
      </c>
      <c r="H101" s="165" t="s">
        <v>47</v>
      </c>
      <c r="I101" s="147"/>
      <c r="J101" s="113"/>
      <c r="K101" s="401">
        <v>6200</v>
      </c>
      <c r="L101" s="398">
        <f>Tabela13[[#This Row],[VALOR
 BRUTO ]]-Tabela13[[#This Row],[VALOR 
LIQUIDO ]]</f>
        <v>0</v>
      </c>
      <c r="M101" s="399">
        <f>Tabela13[[#This Row],[VALORES PAGOS 
(FORMA PAGTO)]]</f>
        <v>6200</v>
      </c>
      <c r="N101" s="113">
        <v>45779</v>
      </c>
      <c r="O101" s="385">
        <v>6200</v>
      </c>
      <c r="P101" s="147">
        <v>45804</v>
      </c>
      <c r="Q101" s="197" t="str" cm="1">
        <f t="array" aca="1" ref="Q101" ca="1">IF($P101&lt;&gt;"","PAGO",IF($N101&lt;TODAY(),"ATRASADO",IF($N101&gt;TODAY(),"NO PRAZO",IF($N101=TODAY(),"NO PRAZO",SE))))</f>
        <v>PAGO</v>
      </c>
      <c r="R101" s="150" t="str">
        <f t="shared" ca="1" si="1"/>
        <v/>
      </c>
      <c r="S101" s="241"/>
      <c r="T101" s="112"/>
      <c r="U101" s="259">
        <f ca="1">SUBTOTAL(3,Tabela13[[#This Row],[STATUS]])</f>
        <v>1</v>
      </c>
    </row>
    <row r="102" spans="1:21" ht="24" customHeight="1">
      <c r="A102" s="288">
        <v>45763</v>
      </c>
      <c r="B102" s="105">
        <v>67547</v>
      </c>
      <c r="C102" s="688" t="str">
        <f>IFERROR(VLOOKUP(Tabela13[[#This Row],[CÓD. EMPRESA]],Tabela3[[CÓDIGO
 EMPRESA ]:[EMPRESA]],2,FALSE),"")</f>
        <v>L.C. KLIEMANN</v>
      </c>
      <c r="D102" s="112" t="s">
        <v>424</v>
      </c>
      <c r="E102" s="112" t="s">
        <v>425</v>
      </c>
      <c r="F102" s="289">
        <v>6192</v>
      </c>
      <c r="G102" s="411">
        <v>4146</v>
      </c>
      <c r="H102" s="456" t="s">
        <v>47</v>
      </c>
      <c r="I102" s="290"/>
      <c r="J102" s="288"/>
      <c r="K102" s="407">
        <v>16182</v>
      </c>
      <c r="L102" s="398">
        <f>Tabela13[[#This Row],[VALOR
 BRUTO ]]-Tabela13[[#This Row],[VALOR 
LIQUIDO ]]</f>
        <v>0</v>
      </c>
      <c r="M102" s="399">
        <f>Tabela13[[#This Row],[VALORES PAGOS 
(FORMA PAGTO)]]</f>
        <v>16182</v>
      </c>
      <c r="N102" s="288">
        <v>45779</v>
      </c>
      <c r="O102" s="382">
        <v>16182</v>
      </c>
      <c r="P102" s="290">
        <v>45804</v>
      </c>
      <c r="Q102" s="197" t="str" cm="1">
        <f t="array" aca="1" ref="Q102" ca="1">IF($P102&lt;&gt;"","PAGO",IF($N102&lt;TODAY(),"ATRASADO",IF($N102&gt;TODAY(),"NO PRAZO",IF($N102=TODAY(),"NO PRAZO",SE))))</f>
        <v>PAGO</v>
      </c>
      <c r="R102" s="150" t="str">
        <f t="shared" ca="1" si="1"/>
        <v/>
      </c>
      <c r="S102" s="712"/>
      <c r="T102" s="112"/>
      <c r="U102" s="291">
        <f ca="1">SUBTOTAL(3,Tabela13[[#This Row],[STATUS]])</f>
        <v>1</v>
      </c>
    </row>
    <row r="103" spans="1:21" ht="24" customHeight="1">
      <c r="A103" s="288">
        <v>45763</v>
      </c>
      <c r="B103" s="105">
        <v>122083</v>
      </c>
      <c r="C103" s="688" t="str">
        <f>IFERROR(VLOOKUP(Tabela13[[#This Row],[CÓD. EMPRESA]],Tabela3[[CÓDIGO
 EMPRESA ]:[EMPRESA]],2,FALSE),"")</f>
        <v>S H MACIEL LOPES LTDA</v>
      </c>
      <c r="D103" s="112" t="s">
        <v>458</v>
      </c>
      <c r="E103" s="112" t="s">
        <v>459</v>
      </c>
      <c r="F103" s="289">
        <v>2835</v>
      </c>
      <c r="G103" s="411">
        <v>5275</v>
      </c>
      <c r="H103" s="456" t="s">
        <v>46</v>
      </c>
      <c r="I103" s="290"/>
      <c r="J103" s="288"/>
      <c r="K103" s="407">
        <v>60500</v>
      </c>
      <c r="L103" s="398">
        <f>Tabela13[[#This Row],[VALOR
 BRUTO ]]-Tabela13[[#This Row],[VALOR 
LIQUIDO ]]</f>
        <v>831.6</v>
      </c>
      <c r="M103" s="399">
        <f>Tabela13[[#This Row],[VALORES PAGOS 
(FORMA PAGTO)]]</f>
        <v>59668.4</v>
      </c>
      <c r="N103" s="288">
        <v>45772</v>
      </c>
      <c r="O103" s="391">
        <v>59668.4</v>
      </c>
      <c r="P103" s="229">
        <v>45790</v>
      </c>
      <c r="Q103" s="197" t="str" cm="1">
        <f t="array" aca="1" ref="Q103" ca="1">IF($P103&lt;&gt;"","PAGO",IF($N103&lt;TODAY(),"ATRASADO",IF($N103&gt;TODAY(),"NO PRAZO",IF($N103=TODAY(),"NO PRAZO",SE))))</f>
        <v>PAGO</v>
      </c>
      <c r="R103" s="150" t="str">
        <f t="shared" ca="1" si="1"/>
        <v/>
      </c>
      <c r="S103" s="712"/>
      <c r="T103" s="112"/>
      <c r="U103" s="291">
        <f ca="1">SUBTOTAL(3,Tabela13[[#This Row],[STATUS]])</f>
        <v>1</v>
      </c>
    </row>
    <row r="104" spans="1:21" ht="24" customHeight="1">
      <c r="A104" s="288">
        <v>45763</v>
      </c>
      <c r="B104" s="105">
        <v>122083</v>
      </c>
      <c r="C104" s="688" t="str">
        <f>IFERROR(VLOOKUP(Tabela13[[#This Row],[CÓD. EMPRESA]],Tabela3[[CÓDIGO
 EMPRESA ]:[EMPRESA]],2,FALSE),"")</f>
        <v>S H MACIEL LOPES LTDA</v>
      </c>
      <c r="D104" s="112" t="s">
        <v>458</v>
      </c>
      <c r="E104" s="112" t="s">
        <v>459</v>
      </c>
      <c r="F104" s="289">
        <v>2836</v>
      </c>
      <c r="G104" s="411">
        <v>5275</v>
      </c>
      <c r="H104" s="456" t="s">
        <v>46</v>
      </c>
      <c r="I104" s="290"/>
      <c r="J104" s="288"/>
      <c r="K104" s="407">
        <v>8800</v>
      </c>
      <c r="L104" s="398">
        <f>Tabela13[[#This Row],[VALOR
 BRUTO ]]-Tabela13[[#This Row],[VALOR 
LIQUIDO ]]</f>
        <v>0</v>
      </c>
      <c r="M104" s="399">
        <f>Tabela13[[#This Row],[VALORES PAGOS 
(FORMA PAGTO)]]</f>
        <v>8800</v>
      </c>
      <c r="N104" s="288">
        <v>45772</v>
      </c>
      <c r="O104" s="382">
        <v>8800</v>
      </c>
      <c r="P104" s="290">
        <v>45790</v>
      </c>
      <c r="Q104" s="197" t="str" cm="1">
        <f t="array" aca="1" ref="Q104" ca="1">IF($P104&lt;&gt;"","PAGO",IF($N104&lt;TODAY(),"ATRASADO",IF($N104&gt;TODAY(),"NO PRAZO",IF($N104=TODAY(),"NO PRAZO",SE))))</f>
        <v>PAGO</v>
      </c>
      <c r="R104" s="150" t="str">
        <f t="shared" ca="1" si="1"/>
        <v/>
      </c>
      <c r="S104" s="712"/>
      <c r="T104" s="112"/>
      <c r="U104" s="291">
        <f ca="1">SUBTOTAL(3,Tabela13[[#This Row],[STATUS]])</f>
        <v>1</v>
      </c>
    </row>
    <row r="105" spans="1:21" ht="24" customHeight="1">
      <c r="A105" s="288">
        <v>45763</v>
      </c>
      <c r="B105" s="105">
        <v>122083</v>
      </c>
      <c r="C105" s="688" t="str">
        <f>IFERROR(VLOOKUP(Tabela13[[#This Row],[CÓD. EMPRESA]],Tabela3[[CÓDIGO
 EMPRESA ]:[EMPRESA]],2,FALSE),"")</f>
        <v>S H MACIEL LOPES LTDA</v>
      </c>
      <c r="D105" s="112" t="s">
        <v>458</v>
      </c>
      <c r="E105" s="112" t="s">
        <v>459</v>
      </c>
      <c r="F105" s="289">
        <v>6804</v>
      </c>
      <c r="G105" s="411">
        <v>5360</v>
      </c>
      <c r="H105" s="456" t="s">
        <v>47</v>
      </c>
      <c r="I105" s="290"/>
      <c r="J105" s="288"/>
      <c r="K105" s="407">
        <v>2400</v>
      </c>
      <c r="L105" s="398">
        <f>Tabela13[[#This Row],[VALOR
 BRUTO ]]-Tabela13[[#This Row],[VALOR 
LIQUIDO ]]</f>
        <v>55.2</v>
      </c>
      <c r="M105" s="399">
        <f>Tabela13[[#This Row],[VALORES PAGOS 
(FORMA PAGTO)]]</f>
        <v>2344.8000000000002</v>
      </c>
      <c r="N105" s="288">
        <v>45783</v>
      </c>
      <c r="O105" s="391">
        <v>2344.8000000000002</v>
      </c>
      <c r="P105" s="229">
        <v>45804</v>
      </c>
      <c r="Q105" s="197" t="str" cm="1">
        <f t="array" aca="1" ref="Q105" ca="1">IF($P105&lt;&gt;"","PAGO",IF($N105&lt;TODAY(),"ATRASADO",IF($N105&gt;TODAY(),"NO PRAZO",IF($N105=TODAY(),"NO PRAZO",SE))))</f>
        <v>PAGO</v>
      </c>
      <c r="R105" s="150" t="str">
        <f t="shared" ca="1" si="1"/>
        <v/>
      </c>
      <c r="S105" s="712"/>
      <c r="T105" s="112"/>
      <c r="U105" s="291">
        <f ca="1">SUBTOTAL(3,Tabela13[[#This Row],[STATUS]])</f>
        <v>1</v>
      </c>
    </row>
    <row r="106" spans="1:21" ht="24" customHeight="1">
      <c r="A106" s="113">
        <v>45763</v>
      </c>
      <c r="B106" s="105">
        <v>122083</v>
      </c>
      <c r="C106" s="688" t="str">
        <f>IFERROR(VLOOKUP(Tabela13[[#This Row],[CÓD. EMPRESA]],Tabela3[[CÓDIGO
 EMPRESA ]:[EMPRESA]],2,FALSE),"")</f>
        <v>S H MACIEL LOPES LTDA</v>
      </c>
      <c r="D106" s="112" t="s">
        <v>458</v>
      </c>
      <c r="E106" s="112" t="s">
        <v>459</v>
      </c>
      <c r="F106" s="233">
        <v>6802</v>
      </c>
      <c r="G106" s="411">
        <v>5360</v>
      </c>
      <c r="H106" s="165" t="s">
        <v>47</v>
      </c>
      <c r="I106" s="147"/>
      <c r="J106" s="113"/>
      <c r="K106" s="895">
        <v>2200</v>
      </c>
      <c r="L106" s="398">
        <f>Tabela13[[#This Row],[VALOR
 BRUTO ]]-Tabela13[[#This Row],[VALOR 
LIQUIDO ]]</f>
        <v>0</v>
      </c>
      <c r="M106" s="399">
        <f>Tabela13[[#This Row],[VALORES PAGOS 
(FORMA PAGTO)]]</f>
        <v>2200</v>
      </c>
      <c r="N106" s="113">
        <v>45783</v>
      </c>
      <c r="O106" s="385">
        <v>2200</v>
      </c>
      <c r="P106" s="147">
        <v>45804</v>
      </c>
      <c r="Q106" s="197" t="str" cm="1">
        <f t="array" aca="1" ref="Q106" ca="1">IF($P106&lt;&gt;"","PAGO",IF($N106&lt;TODAY(),"ATRASADO",IF($N106&gt;TODAY(),"NO PRAZO",IF($N106=TODAY(),"NO PRAZO",SE))))</f>
        <v>PAGO</v>
      </c>
      <c r="R106" s="150" t="str">
        <f t="shared" ca="1" si="1"/>
        <v/>
      </c>
      <c r="S106" s="241"/>
      <c r="T106" s="112"/>
      <c r="U106" s="259">
        <f ca="1">SUBTOTAL(3,Tabela13[[#This Row],[STATUS]])</f>
        <v>1</v>
      </c>
    </row>
    <row r="107" spans="1:21" ht="24" customHeight="1">
      <c r="A107" s="319">
        <v>45769</v>
      </c>
      <c r="B107" s="105">
        <v>103747</v>
      </c>
      <c r="C107" s="688" t="str">
        <f>IFERROR(VLOOKUP(Tabela13[[#This Row],[CÓD. EMPRESA]],Tabela3[[CÓDIGO
 EMPRESA ]:[EMPRESA]],2,FALSE),"")</f>
        <v>CDR PEDREIRA CENTRO DE DISPOSIÇÃO DE RESÍDUOS LTDA</v>
      </c>
      <c r="D107" s="112" t="s">
        <v>334</v>
      </c>
      <c r="E107" s="112" t="s">
        <v>472</v>
      </c>
      <c r="F107" s="320">
        <v>4182</v>
      </c>
      <c r="G107" s="411">
        <v>3282</v>
      </c>
      <c r="H107" s="321" t="s">
        <v>45</v>
      </c>
      <c r="I107" s="322">
        <v>45717</v>
      </c>
      <c r="J107" s="319">
        <v>45747</v>
      </c>
      <c r="K107" s="406">
        <v>109810.5</v>
      </c>
      <c r="L107" s="398">
        <f>Tabela13[[#This Row],[VALOR
 BRUTO ]]-Tabela13[[#This Row],[VALOR 
LIQUIDO ]]</f>
        <v>0</v>
      </c>
      <c r="M107" s="399">
        <f>Tabela13[[#This Row],[VALORES PAGOS 
(FORMA PAGTO)]]</f>
        <v>109810.5</v>
      </c>
      <c r="N107" s="319">
        <v>45792</v>
      </c>
      <c r="O107" s="384">
        <v>109810.5</v>
      </c>
      <c r="P107" s="322">
        <v>45793</v>
      </c>
      <c r="Q107" s="197" t="str" cm="1">
        <f t="array" aca="1" ref="Q107" ca="1">IF($P107&lt;&gt;"","PAGO",IF($N107&lt;TODAY(),"ATRASADO",IF($N107&gt;TODAY(),"NO PRAZO",IF($N107=TODAY(),"NO PRAZO",SE))))</f>
        <v>PAGO</v>
      </c>
      <c r="R107" s="150" t="str">
        <f t="shared" ca="1" si="1"/>
        <v/>
      </c>
      <c r="S107" s="715"/>
      <c r="T107" s="112"/>
      <c r="U107" s="323">
        <f ca="1">SUBTOTAL(3,Tabela13[[#This Row],[STATUS]])</f>
        <v>1</v>
      </c>
    </row>
    <row r="108" spans="1:21" ht="24" customHeight="1">
      <c r="A108" s="319">
        <v>45769</v>
      </c>
      <c r="B108" s="105">
        <v>103747</v>
      </c>
      <c r="C108" s="688" t="str">
        <f>IFERROR(VLOOKUP(Tabela13[[#This Row],[CÓD. EMPRESA]],Tabela3[[CÓDIGO
 EMPRESA ]:[EMPRESA]],2,FALSE),"")</f>
        <v>CDR PEDREIRA CENTRO DE DISPOSIÇÃO DE RESÍDUOS LTDA</v>
      </c>
      <c r="D108" s="112" t="s">
        <v>334</v>
      </c>
      <c r="E108" s="112" t="s">
        <v>472</v>
      </c>
      <c r="F108" s="320">
        <v>7003</v>
      </c>
      <c r="G108" s="411">
        <v>3282</v>
      </c>
      <c r="H108" s="321" t="s">
        <v>46</v>
      </c>
      <c r="I108" s="322">
        <v>45717</v>
      </c>
      <c r="J108" s="319">
        <v>45747</v>
      </c>
      <c r="K108" s="406">
        <v>3600000</v>
      </c>
      <c r="L108" s="398">
        <f>Tabela13[[#This Row],[VALOR
 BRUTO ]]-Tabela13[[#This Row],[VALORES PAGOS 
(FORMA PAGTO)]]-O109</f>
        <v>363561.43</v>
      </c>
      <c r="M108" s="399">
        <f>Tabela13[[#This Row],[VALORES PAGOS 
(FORMA PAGTO)]]</f>
        <v>1673124.54</v>
      </c>
      <c r="N108" s="319">
        <v>45792</v>
      </c>
      <c r="O108" s="414">
        <v>1673124.54</v>
      </c>
      <c r="P108" s="322">
        <v>45782</v>
      </c>
      <c r="Q108" s="197" t="str" cm="1">
        <f t="array" aca="1" ref="Q108" ca="1">IF($P108&lt;&gt;"","PAGO",IF($N108&lt;TODAY(),"ATRASADO",IF($N108&gt;TODAY(),"NO PRAZO",IF($N108=TODAY(),"NO PRAZO",SE))))</f>
        <v>PAGO</v>
      </c>
      <c r="R108" s="150" t="str">
        <f t="shared" ca="1" si="1"/>
        <v/>
      </c>
      <c r="S108" s="715"/>
      <c r="T108" s="112"/>
      <c r="U108" s="323">
        <f ca="1">SUBTOTAL(3,Tabela13[[#This Row],[STATUS]])</f>
        <v>1</v>
      </c>
    </row>
    <row r="109" spans="1:21" ht="24" customHeight="1">
      <c r="A109" s="319">
        <v>45769</v>
      </c>
      <c r="B109" s="105">
        <v>103747</v>
      </c>
      <c r="C109" s="758" t="str">
        <f>IFERROR(VLOOKUP(Tabela13[[#This Row],[CÓD. EMPRESA]],Tabela3[[CÓDIGO
 EMPRESA ]:[EMPRESA]],2,FALSE),"")</f>
        <v>CDR PEDREIRA CENTRO DE DISPOSIÇÃO DE RESÍDUOS LTDA</v>
      </c>
      <c r="D109" s="112" t="s">
        <v>334</v>
      </c>
      <c r="E109" s="112" t="s">
        <v>472</v>
      </c>
      <c r="F109" s="320">
        <v>7003</v>
      </c>
      <c r="G109" s="411">
        <v>3282</v>
      </c>
      <c r="H109" s="321" t="s">
        <v>46</v>
      </c>
      <c r="I109" s="322">
        <v>45717</v>
      </c>
      <c r="J109" s="319">
        <v>45747</v>
      </c>
      <c r="K109" s="764"/>
      <c r="L109" s="765"/>
      <c r="M109" s="766">
        <f>Tabela13[[#This Row],[VALORES PAGOS 
(FORMA PAGTO)]]</f>
        <v>1563314.03</v>
      </c>
      <c r="N109" s="756">
        <v>45792</v>
      </c>
      <c r="O109" s="767">
        <v>1563314.03</v>
      </c>
      <c r="P109" s="763">
        <v>45793</v>
      </c>
      <c r="Q109" s="768" t="str" cm="1">
        <f t="array" aca="1" ref="Q109" ca="1">IF($P109&lt;&gt;"","PAGO",IF($N109&lt;TODAY(),"ATRASADO",IF($N109&gt;TODAY(),"NO PRAZO",IF($N109=TODAY(),"NO PRAZO",SE))))</f>
        <v>PAGO</v>
      </c>
      <c r="R109" s="259" t="str">
        <f t="shared" ca="1" si="1"/>
        <v/>
      </c>
      <c r="S109" s="763"/>
      <c r="T109" s="759"/>
      <c r="U109" s="769">
        <f ca="1">SUBTOTAL(3,Tabela13[[#This Row],[STATUS]])</f>
        <v>1</v>
      </c>
    </row>
    <row r="110" spans="1:21" ht="24" customHeight="1">
      <c r="A110" s="113">
        <v>45769</v>
      </c>
      <c r="B110" s="105">
        <v>73115</v>
      </c>
      <c r="C110" s="688" t="str">
        <f>IFERROR(VLOOKUP(Tabela13[[#This Row],[CÓD. EMPRESA]],Tabela3[[CÓDIGO
 EMPRESA ]:[EMPRESA]],2,FALSE),"")</f>
        <v>CONSORCIO LIMPA GUARULHOS</v>
      </c>
      <c r="D110" s="112" t="s">
        <v>350</v>
      </c>
      <c r="E110" s="112" t="s">
        <v>494</v>
      </c>
      <c r="F110" s="491">
        <v>7019</v>
      </c>
      <c r="G110" s="109">
        <v>71</v>
      </c>
      <c r="H110" s="165" t="s">
        <v>46</v>
      </c>
      <c r="I110" s="147">
        <v>45352</v>
      </c>
      <c r="J110" s="113">
        <v>45747</v>
      </c>
      <c r="K110" s="401">
        <v>8140322.7599999998</v>
      </c>
      <c r="L110" s="398">
        <f>Tabela13[[#This Row],[VALOR
 BRUTO ]]-Tabela13[[#This Row],[VALORES PAGOS 
(FORMA PAGTO)]]-O111</f>
        <v>1400135.51</v>
      </c>
      <c r="M110" s="399">
        <f>Tabela13[[#This Row],[VALORES PAGOS 
(FORMA PAGTO)]]</f>
        <v>3370273.63</v>
      </c>
      <c r="N110" s="113">
        <v>45769</v>
      </c>
      <c r="O110" s="385">
        <v>3370273.63</v>
      </c>
      <c r="P110" s="147">
        <v>45782</v>
      </c>
      <c r="Q110" s="197" t="str" cm="1">
        <f t="array" aca="1" ref="Q110" ca="1">IF($P110&lt;&gt;"","PAGO",IF($N110&lt;TODAY(),"ATRASADO",IF($N110&gt;TODAY(),"NO PRAZO",IF($N110=TODAY(),"NO PRAZO",SE))))</f>
        <v>PAGO</v>
      </c>
      <c r="R110" s="150" t="str">
        <f t="shared" ca="1" si="1"/>
        <v/>
      </c>
      <c r="S110" s="241"/>
      <c r="T110" s="112"/>
      <c r="U110" s="259">
        <f ca="1">SUBTOTAL(3,Tabela13[[#This Row],[STATUS]])</f>
        <v>1</v>
      </c>
    </row>
    <row r="111" spans="1:21" ht="24" customHeight="1">
      <c r="A111" s="756">
        <v>45769</v>
      </c>
      <c r="B111" s="757">
        <v>73115</v>
      </c>
      <c r="C111" s="758" t="s">
        <v>29</v>
      </c>
      <c r="D111" s="759" t="s">
        <v>350</v>
      </c>
      <c r="E111" s="112" t="s">
        <v>494</v>
      </c>
      <c r="F111" s="760">
        <v>7019</v>
      </c>
      <c r="G111" s="761">
        <v>71</v>
      </c>
      <c r="H111" s="762" t="s">
        <v>46</v>
      </c>
      <c r="I111" s="763">
        <v>45352</v>
      </c>
      <c r="J111" s="756">
        <v>45747</v>
      </c>
      <c r="K111" s="764"/>
      <c r="L111" s="765"/>
      <c r="M111" s="766">
        <f>Tabela13[[#This Row],[VALORES PAGOS 
(FORMA PAGTO)]]</f>
        <v>3369913.62</v>
      </c>
      <c r="N111" s="756">
        <v>45769</v>
      </c>
      <c r="O111" s="767">
        <v>3369913.62</v>
      </c>
      <c r="P111" s="763">
        <v>45793</v>
      </c>
      <c r="Q111" s="768" t="str" cm="1">
        <f t="array" aca="1" ref="Q111" ca="1">IF($P111&lt;&gt;"","PAGO",IF($N111&lt;TODAY(),"ATRASADO",IF($N111&gt;TODAY(),"NO PRAZO",IF($N111=TODAY(),"NO PRAZO",SE))))</f>
        <v>PAGO</v>
      </c>
      <c r="R111" s="259" t="str">
        <f t="shared" ca="1" si="1"/>
        <v/>
      </c>
      <c r="S111" s="763"/>
      <c r="T111" s="759"/>
      <c r="U111" s="769">
        <f ca="1">SUBTOTAL(3,Tabela13[[#This Row],[STATUS]])</f>
        <v>1</v>
      </c>
    </row>
    <row r="112" spans="1:21" ht="24" customHeight="1">
      <c r="A112" s="319">
        <v>45770</v>
      </c>
      <c r="B112" s="105">
        <v>73402</v>
      </c>
      <c r="C112" s="688" t="str">
        <f>IFERROR(VLOOKUP(Tabela13[[#This Row],[CÓD. EMPRESA]],Tabela3[[CÓDIGO
 EMPRESA ]:[EMPRESA]],2,FALSE),"")</f>
        <v>NELSON TAKAO YOSHIDA</v>
      </c>
      <c r="D112" s="112" t="s">
        <v>414</v>
      </c>
      <c r="E112" s="112" t="s">
        <v>415</v>
      </c>
      <c r="F112" s="196">
        <v>2830</v>
      </c>
      <c r="G112" s="411">
        <v>142</v>
      </c>
      <c r="H112" s="165" t="s">
        <v>47</v>
      </c>
      <c r="I112" s="322"/>
      <c r="J112" s="319"/>
      <c r="K112" s="406">
        <v>14595.99</v>
      </c>
      <c r="L112" s="398">
        <f>Tabela13[[#This Row],[VALOR
 BRUTO ]]-Tabela13[[#This Row],[VALOR 
LIQUIDO ]]</f>
        <v>218.94</v>
      </c>
      <c r="M112" s="399">
        <f>Tabela13[[#This Row],[VALORES PAGOS 
(FORMA PAGTO)]]</f>
        <v>14377.05</v>
      </c>
      <c r="N112" s="319">
        <v>45792</v>
      </c>
      <c r="O112" s="390">
        <v>14377.05</v>
      </c>
      <c r="P112" s="322">
        <v>45804</v>
      </c>
      <c r="Q112" s="197" t="str" cm="1">
        <f t="array" aca="1" ref="Q112" ca="1">IF($P112&lt;&gt;"","PAGO",IF($N112&lt;TODAY(),"ATRASADO",IF($N112&gt;TODAY(),"NO PRAZO",IF($N112=TODAY(),"NO PRAZO",SE))))</f>
        <v>PAGO</v>
      </c>
      <c r="R112" s="150" t="str">
        <f t="shared" ca="1" si="1"/>
        <v/>
      </c>
      <c r="S112" s="715"/>
      <c r="T112" s="112"/>
      <c r="U112" s="323">
        <f ca="1">SUBTOTAL(3,Tabela13[[#This Row],[STATUS]])</f>
        <v>1</v>
      </c>
    </row>
    <row r="113" spans="1:21" ht="24" customHeight="1">
      <c r="A113" s="307">
        <v>45771</v>
      </c>
      <c r="B113" s="105">
        <v>46674</v>
      </c>
      <c r="C113" s="688" t="str">
        <f>IFERROR(VLOOKUP(Tabela13[[#This Row],[CÓD. EMPRESA]],Tabela3[[CÓDIGO
 EMPRESA ]:[EMPRESA]],2,FALSE),"")</f>
        <v>NOA SERVICOS E LOCACAO LTDA</v>
      </c>
      <c r="D113" s="112" t="s">
        <v>324</v>
      </c>
      <c r="E113" s="112" t="s">
        <v>437</v>
      </c>
      <c r="F113" s="308">
        <v>4177</v>
      </c>
      <c r="G113" s="411">
        <v>1649</v>
      </c>
      <c r="H113" s="309" t="s">
        <v>46</v>
      </c>
      <c r="I113" s="310">
        <v>45717</v>
      </c>
      <c r="J113" s="307">
        <v>45747</v>
      </c>
      <c r="K113" s="404">
        <v>125906.29</v>
      </c>
      <c r="L113" s="398">
        <f>Tabela13[[#This Row],[VALOR
 BRUTO ]]-Tabela13[[#This Row],[VALOR 
LIQUIDO ]]</f>
        <v>6547.13</v>
      </c>
      <c r="M113" s="399">
        <f>Tabela13[[#This Row],[VALORES PAGOS 
(FORMA PAGTO)]]</f>
        <v>119359.16</v>
      </c>
      <c r="N113" s="307">
        <v>45793</v>
      </c>
      <c r="O113" s="383">
        <v>119359.16</v>
      </c>
      <c r="P113" s="310">
        <v>45800</v>
      </c>
      <c r="Q113" s="197" t="str" cm="1">
        <f t="array" aca="1" ref="Q113" ca="1">IF($P113&lt;&gt;"","PAGO",IF($N113&lt;TODAY(),"ATRASADO",IF($N113&gt;TODAY(),"NO PRAZO",IF($N113=TODAY(),"NO PRAZO",SE))))</f>
        <v>PAGO</v>
      </c>
      <c r="R113" s="150" t="str">
        <f t="shared" ca="1" si="1"/>
        <v/>
      </c>
      <c r="S113" s="714"/>
      <c r="T113" s="112"/>
      <c r="U113" s="449">
        <f ca="1">SUBTOTAL(3,Tabela13[[#This Row],[STATUS]])</f>
        <v>1</v>
      </c>
    </row>
    <row r="114" spans="1:21" ht="24.95" customHeight="1">
      <c r="A114" s="307">
        <v>45771</v>
      </c>
      <c r="B114" s="105">
        <v>120456</v>
      </c>
      <c r="C114" s="688" t="str">
        <f>IFERROR(VLOOKUP(Tabela13[[#This Row],[CÓD. EMPRESA]],Tabela3[[CÓDIGO
 EMPRESA ]:[EMPRESA]],2,FALSE),"")</f>
        <v>48.063.131 CLAYTON DE JESUS GONCALVES</v>
      </c>
      <c r="D114" s="112" t="s">
        <v>388</v>
      </c>
      <c r="E114" s="112" t="s">
        <v>485</v>
      </c>
      <c r="F114" s="329">
        <v>9491</v>
      </c>
      <c r="G114" s="411">
        <v>127</v>
      </c>
      <c r="H114" s="165" t="s">
        <v>46</v>
      </c>
      <c r="I114" s="331"/>
      <c r="J114" s="328"/>
      <c r="K114" s="402">
        <v>7829.9</v>
      </c>
      <c r="L114" s="398">
        <f>Tabela13[[#This Row],[VALOR
 BRUTO ]]-Tabela13[[#This Row],[VALOR 
LIQUIDO ]]</f>
        <v>0</v>
      </c>
      <c r="M114" s="399">
        <f>Tabela13[[#This Row],[VALORES PAGOS 
(FORMA PAGTO)]]</f>
        <v>7829.9</v>
      </c>
      <c r="N114" s="227">
        <v>45771</v>
      </c>
      <c r="O114" s="388">
        <v>7829.9</v>
      </c>
      <c r="P114" s="331">
        <v>45790</v>
      </c>
      <c r="Q114" s="197" t="str" cm="1">
        <f t="array" aca="1" ref="Q114" ca="1">IF($P114&lt;&gt;"","PAGO",IF($N114&lt;TODAY(),"ATRASADO",IF($N114&gt;TODAY(),"NO PRAZO",IF($N114=TODAY(),"NO PRAZO",SE))))</f>
        <v>PAGO</v>
      </c>
      <c r="R114" s="150" t="str">
        <f t="shared" ca="1" si="1"/>
        <v/>
      </c>
      <c r="S114" s="716"/>
      <c r="T114" s="112"/>
      <c r="U114" s="332">
        <f ca="1">SUBTOTAL(3,Tabela13[[#This Row],[STATUS]])</f>
        <v>1</v>
      </c>
    </row>
    <row r="115" spans="1:21" ht="24" customHeight="1">
      <c r="A115" s="307">
        <v>45771</v>
      </c>
      <c r="B115" s="105">
        <v>69169</v>
      </c>
      <c r="C115" s="688" t="str">
        <f>IFERROR(VLOOKUP(Tabela13[[#This Row],[CÓD. EMPRESA]],Tabela3[[CÓDIGO
 EMPRESA ]:[EMPRESA]],2,FALSE),"")</f>
        <v>CECM PÂES LTDA</v>
      </c>
      <c r="D115" s="112" t="s">
        <v>486</v>
      </c>
      <c r="E115" s="112" t="s">
        <v>450</v>
      </c>
      <c r="F115" s="329">
        <v>9473</v>
      </c>
      <c r="G115" s="411" t="s">
        <v>487</v>
      </c>
      <c r="H115" s="165" t="s">
        <v>46</v>
      </c>
      <c r="I115" s="331"/>
      <c r="J115" s="328"/>
      <c r="K115" s="402">
        <v>18282.599999999999</v>
      </c>
      <c r="L115" s="398"/>
      <c r="M115" s="399">
        <f>Tabela13[[#This Row],[VALORES PAGOS 
(FORMA PAGTO)]]</f>
        <v>18282.599999999999</v>
      </c>
      <c r="N115" s="328">
        <v>45771</v>
      </c>
      <c r="O115" s="382">
        <v>18282.599999999999</v>
      </c>
      <c r="P115" s="331">
        <v>45790</v>
      </c>
      <c r="Q115" s="197" t="str" cm="1">
        <f t="array" aca="1" ref="Q115" ca="1">IF($P115&lt;&gt;"","PAGO",IF($N115&lt;TODAY(),"ATRASADO",IF($N115&gt;TODAY(),"NO PRAZO",IF($N115=TODAY(),"NO PRAZO",SE))))</f>
        <v>PAGO</v>
      </c>
      <c r="R115" s="150" t="str">
        <f t="shared" ca="1" si="1"/>
        <v/>
      </c>
      <c r="S115" s="716"/>
      <c r="T115" s="112"/>
      <c r="U115" s="332">
        <f ca="1">SUBTOTAL(3,Tabela13[[#This Row],[STATUS]])</f>
        <v>1</v>
      </c>
    </row>
    <row r="116" spans="1:21" ht="24" customHeight="1">
      <c r="A116" s="227">
        <v>45771</v>
      </c>
      <c r="B116" s="114" t="s">
        <v>125</v>
      </c>
      <c r="C116" s="688" t="str">
        <f>IFERROR(VLOOKUP(Tabela13[[#This Row],[CÓD. EMPRESA]],Tabela3[[CÓDIGO
 EMPRESA ]:[EMPRESA]],2,FALSE),"")</f>
        <v>LOOPINVEST CAMPO SANTO</v>
      </c>
      <c r="D116" s="112" t="s">
        <v>413</v>
      </c>
      <c r="E116" s="112" t="s">
        <v>473</v>
      </c>
      <c r="F116" s="233">
        <v>3674</v>
      </c>
      <c r="G116" s="411">
        <v>274</v>
      </c>
      <c r="H116" s="165" t="s">
        <v>46</v>
      </c>
      <c r="I116" s="229">
        <v>45717</v>
      </c>
      <c r="J116" s="227">
        <v>45747</v>
      </c>
      <c r="K116" s="403">
        <v>405051.32</v>
      </c>
      <c r="L116" s="398">
        <f>Tabela13[[#This Row],[VALOR
 BRUTO ]]-Tabela13[[#This Row],[VALOR 
LIQUIDO ]]</f>
        <v>47391</v>
      </c>
      <c r="M116" s="399">
        <f>Tabela13[[#This Row],[VALORES PAGOS 
(FORMA PAGTO)]]</f>
        <v>357660.32</v>
      </c>
      <c r="N116" s="227">
        <v>45793</v>
      </c>
      <c r="O116" s="385">
        <v>357660.32</v>
      </c>
      <c r="P116" s="229">
        <v>45807</v>
      </c>
      <c r="Q116" s="197" t="str" cm="1">
        <f t="array" aca="1" ref="Q116" ca="1">IF($P116&lt;&gt;"","PAGO",IF($N116&lt;TODAY(),"ATRASADO",IF($N116&gt;TODAY(),"NO PRAZO",IF($N116=TODAY(),"NO PRAZO",SE))))</f>
        <v>PAGO</v>
      </c>
      <c r="R116" s="150" t="str">
        <f t="shared" ca="1" si="1"/>
        <v/>
      </c>
      <c r="S116" s="709"/>
      <c r="T116" s="112"/>
      <c r="U116" s="366">
        <f ca="1">SUBTOTAL(3,Tabela13[[#This Row],[STATUS]])</f>
        <v>1</v>
      </c>
    </row>
    <row r="117" spans="1:21" ht="24" customHeight="1">
      <c r="A117" s="227">
        <v>45771</v>
      </c>
      <c r="B117" s="105">
        <v>67538</v>
      </c>
      <c r="C117" s="688" t="str">
        <f>IFERROR(VLOOKUP(Tabela13[[#This Row],[CÓD. EMPRESA]],Tabela3[[CÓDIGO
 EMPRESA ]:[EMPRESA]],2,FALSE),"")</f>
        <v>IGM2 METROLOGIA E MANUTENCAO LTDA</v>
      </c>
      <c r="D117" s="112" t="s">
        <v>344</v>
      </c>
      <c r="E117" s="112" t="s">
        <v>614</v>
      </c>
      <c r="F117" s="329">
        <v>9486</v>
      </c>
      <c r="G117" s="109">
        <v>1299</v>
      </c>
      <c r="H117" s="165" t="s">
        <v>46</v>
      </c>
      <c r="I117" s="331"/>
      <c r="J117" s="328"/>
      <c r="K117" s="402">
        <v>1535.16</v>
      </c>
      <c r="L117" s="398">
        <f>Tabela13[[#This Row],[VALOR
 BRUTO ]]-Tabela13[[#This Row],[VALOR 
LIQUIDO ]]</f>
        <v>0</v>
      </c>
      <c r="M117" s="399">
        <f>Tabela13[[#This Row],[VALORES PAGOS 
(FORMA PAGTO)]]</f>
        <v>1535.16</v>
      </c>
      <c r="N117" s="328">
        <v>45771</v>
      </c>
      <c r="O117" s="382">
        <v>1535.16</v>
      </c>
      <c r="P117" s="331">
        <v>45790</v>
      </c>
      <c r="Q117" s="197" t="str" cm="1">
        <f t="array" aca="1" ref="Q117" ca="1">IF($P117&lt;&gt;"","PAGO",IF($N117&lt;TODAY(),"ATRASADO",IF($N117&gt;TODAY(),"NO PRAZO",IF($N117=TODAY(),"NO PRAZO",SE))))</f>
        <v>PAGO</v>
      </c>
      <c r="R117" s="150" t="str">
        <f t="shared" ca="1" si="1"/>
        <v/>
      </c>
      <c r="S117" s="147"/>
      <c r="T117" s="242" t="s">
        <v>389</v>
      </c>
      <c r="U117" s="332">
        <f ca="1">SUBTOTAL(3,Tabela13[[#This Row],[STATUS]])</f>
        <v>1</v>
      </c>
    </row>
    <row r="118" spans="1:21" ht="24" customHeight="1">
      <c r="A118" s="227">
        <v>45772</v>
      </c>
      <c r="B118" s="105">
        <v>68004</v>
      </c>
      <c r="C118" s="688" t="str">
        <f>IFERROR(VLOOKUP(Tabela13[[#This Row],[CÓD. EMPRESA]],Tabela3[[CÓDIGO
 EMPRESA ]:[EMPRESA]],2,FALSE),"")</f>
        <v>VB AMBIENTAL CONSULTORIA E PROJETOS LTDA-ME</v>
      </c>
      <c r="D118" s="112" t="s">
        <v>349</v>
      </c>
      <c r="E118" s="112" t="s">
        <v>489</v>
      </c>
      <c r="F118" s="329">
        <v>2927</v>
      </c>
      <c r="G118" s="411">
        <v>1991</v>
      </c>
      <c r="H118" s="330" t="s">
        <v>46</v>
      </c>
      <c r="I118" s="331">
        <v>45717</v>
      </c>
      <c r="J118" s="328">
        <v>45747</v>
      </c>
      <c r="K118" s="402">
        <v>5430.18</v>
      </c>
      <c r="L118" s="398">
        <f>Tabela13[[#This Row],[VALOR
 BRUTO ]]-Tabela13[[#This Row],[VALOR 
LIQUIDO ]]</f>
        <v>260.64999999999998</v>
      </c>
      <c r="M118" s="399">
        <f>Tabela13[[#This Row],[VALORES PAGOS 
(FORMA PAGTO)]]</f>
        <v>5169.53</v>
      </c>
      <c r="N118" s="328">
        <v>45799</v>
      </c>
      <c r="O118" s="382">
        <v>5169.53</v>
      </c>
      <c r="P118" s="331">
        <v>45807</v>
      </c>
      <c r="Q118" s="197" t="str" cm="1">
        <f t="array" aca="1" ref="Q118" ca="1">IF($P118&lt;&gt;"","PAGO",IF($N118&lt;TODAY(),"ATRASADO",IF($N118&gt;TODAY(),"NO PRAZO",IF($N118=TODAY(),"NO PRAZO",SE))))</f>
        <v>PAGO</v>
      </c>
      <c r="R118" s="150" t="str">
        <f t="shared" ca="1" si="1"/>
        <v/>
      </c>
      <c r="S118" s="716"/>
      <c r="T118" s="112"/>
      <c r="U118" s="332">
        <f ca="1">SUBTOTAL(3,Tabela13[[#This Row],[STATUS]])</f>
        <v>1</v>
      </c>
    </row>
    <row r="119" spans="1:21" ht="24" customHeight="1">
      <c r="A119" s="328">
        <v>45772</v>
      </c>
      <c r="B119" s="105">
        <v>61861</v>
      </c>
      <c r="C119" s="688" t="str">
        <f>IFERROR(VLOOKUP(Tabela13[[#This Row],[CÓD. EMPRESA]],Tabela3[[CÓDIGO
 EMPRESA ]:[EMPRESA]],2,FALSE),"")</f>
        <v>RAFER INDÚSTRIA COMÉRCIO DE ARTEFATOS DE MADEIRA LTDA</v>
      </c>
      <c r="D119" s="112" t="s">
        <v>663</v>
      </c>
      <c r="E119" s="112" t="s">
        <v>448</v>
      </c>
      <c r="F119" s="329">
        <v>3891</v>
      </c>
      <c r="G119" s="411">
        <v>12689</v>
      </c>
      <c r="H119" s="165" t="s">
        <v>47</v>
      </c>
      <c r="I119" s="331"/>
      <c r="J119" s="328"/>
      <c r="K119" s="402">
        <v>26663</v>
      </c>
      <c r="L119" s="398">
        <f>Tabela13[[#This Row],[VALOR
 BRUTO ]]-Tabela13[[#This Row],[VALOR 
LIQUIDO ]]</f>
        <v>319.95999999999998</v>
      </c>
      <c r="M119" s="399">
        <f>Tabela13[[#This Row],[VALORES PAGOS 
(FORMA PAGTO)]]</f>
        <v>26343.040000000001</v>
      </c>
      <c r="N119" s="328">
        <v>45787</v>
      </c>
      <c r="O119" s="382">
        <v>26343.040000000001</v>
      </c>
      <c r="P119" s="331">
        <v>45804</v>
      </c>
      <c r="Q119" s="197" t="str" cm="1">
        <f t="array" aca="1" ref="Q119" ca="1">IF($P119&lt;&gt;"","PAGO",IF($N119&lt;TODAY(),"ATRASADO",IF($N119&gt;TODAY(),"NO PRAZO",IF($N119=TODAY(),"NO PRAZO",SE))))</f>
        <v>PAGO</v>
      </c>
      <c r="R119" s="150" t="str">
        <f t="shared" ca="1" si="1"/>
        <v/>
      </c>
      <c r="S119" s="716"/>
      <c r="T119" s="112"/>
      <c r="U119" s="332">
        <f ca="1">SUBTOTAL(3,Tabela13[[#This Row],[STATUS]])</f>
        <v>1</v>
      </c>
    </row>
    <row r="120" spans="1:21" ht="24" customHeight="1">
      <c r="A120" s="328">
        <v>45772</v>
      </c>
      <c r="B120" s="105">
        <v>61861</v>
      </c>
      <c r="C120" s="688" t="str">
        <f>IFERROR(VLOOKUP(Tabela13[[#This Row],[CÓD. EMPRESA]],Tabela3[[CÓDIGO
 EMPRESA ]:[EMPRESA]],2,FALSE),"")</f>
        <v>RAFER INDÚSTRIA COMÉRCIO DE ARTEFATOS DE MADEIRA LTDA</v>
      </c>
      <c r="D120" s="112" t="s">
        <v>663</v>
      </c>
      <c r="E120" s="112" t="s">
        <v>448</v>
      </c>
      <c r="F120" s="329">
        <v>3891</v>
      </c>
      <c r="G120" s="411">
        <v>12691</v>
      </c>
      <c r="H120" s="165" t="s">
        <v>47</v>
      </c>
      <c r="I120" s="331"/>
      <c r="J120" s="328"/>
      <c r="K120" s="402">
        <v>43186</v>
      </c>
      <c r="L120" s="398">
        <f>Tabela13[[#This Row],[VALOR
 BRUTO ]]-Tabela13[[#This Row],[VALOR 
LIQUIDO ]]</f>
        <v>518.23</v>
      </c>
      <c r="M120" s="399">
        <f>Tabela13[[#This Row],[VALORES PAGOS 
(FORMA PAGTO)]]</f>
        <v>42667.77</v>
      </c>
      <c r="N120" s="328">
        <v>45787</v>
      </c>
      <c r="O120" s="897">
        <v>42667.77</v>
      </c>
      <c r="P120" s="331">
        <v>45804</v>
      </c>
      <c r="Q120" s="197" t="str" cm="1">
        <f t="array" aca="1" ref="Q120" ca="1">IF($P120&lt;&gt;"","PAGO",IF($N120&lt;TODAY(),"ATRASADO",IF($N120&gt;TODAY(),"NO PRAZO",IF($N120=TODAY(),"NO PRAZO",SE))))</f>
        <v>PAGO</v>
      </c>
      <c r="R120" s="150" t="str">
        <f t="shared" ca="1" si="1"/>
        <v/>
      </c>
      <c r="S120" s="716"/>
      <c r="T120" s="112"/>
      <c r="U120" s="332">
        <f ca="1">SUBTOTAL(3,Tabela13[[#This Row],[STATUS]])</f>
        <v>1</v>
      </c>
    </row>
    <row r="121" spans="1:21" ht="24" customHeight="1">
      <c r="A121" s="113">
        <v>45776</v>
      </c>
      <c r="B121" s="105">
        <v>41807</v>
      </c>
      <c r="C121" s="688" t="str">
        <f>IFERROR(VLOOKUP(Tabela13[[#This Row],[CÓD. EMPRESA]],Tabela3[[CÓDIGO
 EMPRESA ]:[EMPRESA]],2,FALSE),"")</f>
        <v>BIGNOTTO INDUSTRIA E COMERCIO LTDA</v>
      </c>
      <c r="D121" s="112" t="s">
        <v>416</v>
      </c>
      <c r="E121" s="112" t="s">
        <v>417</v>
      </c>
      <c r="F121" s="196">
        <v>6191</v>
      </c>
      <c r="G121" s="411">
        <v>76853</v>
      </c>
      <c r="H121" s="165" t="s">
        <v>47</v>
      </c>
      <c r="I121" s="147"/>
      <c r="J121" s="113"/>
      <c r="K121" s="401">
        <v>79080</v>
      </c>
      <c r="L121" s="398">
        <f>Tabela13[[#This Row],[VALOR
 BRUTO ]]-Tabela13[[#This Row],[VALOR 
LIQUIDO ]]</f>
        <v>948.96</v>
      </c>
      <c r="M121" s="399">
        <f>Tabela13[[#This Row],[VALORES PAGOS 
(FORMA PAGTO)]]</f>
        <v>78131.039999999994</v>
      </c>
      <c r="N121" s="113">
        <v>45792</v>
      </c>
      <c r="O121" s="385">
        <v>78131.039999999994</v>
      </c>
      <c r="P121" s="147">
        <v>45804</v>
      </c>
      <c r="Q121" s="197" t="str" cm="1">
        <f t="array" aca="1" ref="Q121" ca="1">IF($P121&lt;&gt;"","PAGO",IF($N121&lt;TODAY(),"ATRASADO",IF($N121&gt;TODAY(),"NO PRAZO",IF($N121=TODAY(),"NO PRAZO",SE))))</f>
        <v>PAGO</v>
      </c>
      <c r="R121" s="150" t="str">
        <f t="shared" ca="1" si="1"/>
        <v/>
      </c>
      <c r="S121" s="241"/>
      <c r="T121" s="112"/>
      <c r="U121" s="259">
        <f ca="1">SUBTOTAL(3,Tabela13[[#This Row],[STATUS]])</f>
        <v>1</v>
      </c>
    </row>
    <row r="122" spans="1:21" ht="24" customHeight="1">
      <c r="A122" s="328">
        <v>45776</v>
      </c>
      <c r="B122" s="105">
        <v>41807</v>
      </c>
      <c r="C122" s="688" t="str">
        <f>IFERROR(VLOOKUP(Tabela13[[#This Row],[CÓD. EMPRESA]],Tabela3[[CÓDIGO
 EMPRESA ]:[EMPRESA]],2,FALSE),"")</f>
        <v>BIGNOTTO INDUSTRIA E COMERCIO LTDA</v>
      </c>
      <c r="D122" s="112" t="s">
        <v>416</v>
      </c>
      <c r="E122" s="112" t="s">
        <v>417</v>
      </c>
      <c r="F122" s="329">
        <v>6191</v>
      </c>
      <c r="G122" s="411">
        <v>76875</v>
      </c>
      <c r="H122" s="165" t="s">
        <v>47</v>
      </c>
      <c r="I122" s="331"/>
      <c r="J122" s="328"/>
      <c r="K122" s="402">
        <v>15000</v>
      </c>
      <c r="L122" s="398">
        <f>Tabela13[[#This Row],[VALOR
 BRUTO ]]-Tabela13[[#This Row],[VALOR 
LIQUIDO ]]</f>
        <v>180</v>
      </c>
      <c r="M122" s="399">
        <f>Tabela13[[#This Row],[VALORES PAGOS 
(FORMA PAGTO)]]</f>
        <v>14820</v>
      </c>
      <c r="N122" s="328">
        <v>45798</v>
      </c>
      <c r="O122" s="382">
        <v>14820</v>
      </c>
      <c r="P122" s="331">
        <v>45807</v>
      </c>
      <c r="Q122" s="197" t="str" cm="1">
        <f t="array" aca="1" ref="Q122" ca="1">IF($P122&lt;&gt;"","PAGO",IF($N122&lt;TODAY(),"ATRASADO",IF($N122&gt;TODAY(),"NO PRAZO",IF($N122=TODAY(),"NO PRAZO",SE))))</f>
        <v>PAGO</v>
      </c>
      <c r="R122" s="150" t="str">
        <f t="shared" ca="1" si="1"/>
        <v/>
      </c>
      <c r="S122" s="716"/>
      <c r="T122" s="112"/>
      <c r="U122" s="332">
        <f ca="1">SUBTOTAL(3,Tabela13[[#This Row],[STATUS]])</f>
        <v>1</v>
      </c>
    </row>
    <row r="123" spans="1:21" ht="24.95" customHeight="1">
      <c r="A123" s="328">
        <v>45776</v>
      </c>
      <c r="B123" s="105">
        <v>43964</v>
      </c>
      <c r="C123" s="688" t="str">
        <f>IFERROR(VLOOKUP(Tabela13[[#This Row],[CÓD. EMPRESA]],Tabela3[[CÓDIGO
 EMPRESA ]:[EMPRESA]],2,FALSE),"")</f>
        <v>A3 TERRAPLENAGEM E ENGENHARIA LTDA</v>
      </c>
      <c r="D123" s="112" t="s">
        <v>410</v>
      </c>
      <c r="E123" s="112" t="s">
        <v>418</v>
      </c>
      <c r="F123" s="329">
        <v>3675</v>
      </c>
      <c r="G123" s="574">
        <v>6113</v>
      </c>
      <c r="H123" s="455" t="s">
        <v>47</v>
      </c>
      <c r="I123" s="331">
        <v>45689</v>
      </c>
      <c r="J123" s="328">
        <v>45714</v>
      </c>
      <c r="K123" s="402">
        <v>5149.54</v>
      </c>
      <c r="L123" s="398">
        <f>Tabela13[[#This Row],[VALOR
 BRUTO ]]-Tabela13[[#This Row],[VALOR 
LIQUIDO ]]</f>
        <v>0</v>
      </c>
      <c r="M123" s="399">
        <f>Tabela13[[#This Row],[VALORES PAGOS 
(FORMA PAGTO)]]</f>
        <v>5149.54</v>
      </c>
      <c r="N123" s="328">
        <v>45804</v>
      </c>
      <c r="O123" s="382">
        <v>5149.54</v>
      </c>
      <c r="P123" s="331"/>
      <c r="Q123" s="197" t="str" cm="1">
        <f t="array" aca="1" ref="Q123" ca="1">IF($P123&lt;&gt;"","PAGO",IF($N123&lt;TODAY(),"ATRASADO",IF($N123&gt;TODAY(),"NO PRAZO",IF($N123=TODAY(),"NO PRAZO",SE))))</f>
        <v>ATRASADO</v>
      </c>
      <c r="R123" s="150">
        <f t="shared" ca="1" si="1"/>
        <v>-259</v>
      </c>
      <c r="S123" s="147"/>
      <c r="T123" s="112"/>
      <c r="U123" s="332">
        <f ca="1">SUBTOTAL(3,Tabela13[[#This Row],[STATUS]])</f>
        <v>1</v>
      </c>
    </row>
    <row r="124" spans="1:21" ht="24.95" customHeight="1">
      <c r="A124" s="328">
        <v>45776</v>
      </c>
      <c r="B124" s="105">
        <v>43964</v>
      </c>
      <c r="C124" s="688" t="str">
        <f>IFERROR(VLOOKUP(Tabela13[[#This Row],[CÓD. EMPRESA]],Tabela3[[CÓDIGO
 EMPRESA ]:[EMPRESA]],2,FALSE),"")</f>
        <v>A3 TERRAPLENAGEM E ENGENHARIA LTDA</v>
      </c>
      <c r="D124" s="112" t="s">
        <v>410</v>
      </c>
      <c r="E124" s="112" t="s">
        <v>418</v>
      </c>
      <c r="F124" s="329">
        <v>3675</v>
      </c>
      <c r="G124" s="574">
        <v>6093</v>
      </c>
      <c r="H124" s="455" t="s">
        <v>47</v>
      </c>
      <c r="I124" s="331">
        <v>45689</v>
      </c>
      <c r="J124" s="328">
        <v>45716</v>
      </c>
      <c r="K124" s="402">
        <v>93445.95</v>
      </c>
      <c r="L124" s="398">
        <f>Tabela13[[#This Row],[VALOR
 BRUTO ]]-Tabela13[[#This Row],[VALOR 
LIQUIDO ]]</f>
        <v>0</v>
      </c>
      <c r="M124" s="399">
        <f>Tabela13[[#This Row],[VALORES PAGOS 
(FORMA PAGTO)]]</f>
        <v>93445.95</v>
      </c>
      <c r="N124" s="328">
        <v>45804</v>
      </c>
      <c r="O124" s="382">
        <v>93445.95</v>
      </c>
      <c r="P124" s="331"/>
      <c r="Q124" s="197" t="str" cm="1">
        <f t="array" aca="1" ref="Q124" ca="1">IF($P124&lt;&gt;"","PAGO",IF($N124&lt;TODAY(),"ATRASADO",IF($N124&gt;TODAY(),"NO PRAZO",IF($N124=TODAY(),"NO PRAZO",SE))))</f>
        <v>ATRASADO</v>
      </c>
      <c r="R124" s="150">
        <f t="shared" ca="1" si="1"/>
        <v>-259</v>
      </c>
      <c r="S124" s="147"/>
      <c r="T124" s="112"/>
      <c r="U124" s="332">
        <f ca="1">SUBTOTAL(3,Tabela13[[#This Row],[STATUS]])</f>
        <v>1</v>
      </c>
    </row>
    <row r="125" spans="1:21" ht="24.95" customHeight="1">
      <c r="A125" s="328">
        <v>45777</v>
      </c>
      <c r="B125" s="105">
        <v>61861</v>
      </c>
      <c r="C125" s="688" t="str">
        <f>IFERROR(VLOOKUP(Tabela13[[#This Row],[CÓD. EMPRESA]],Tabela3[[CÓDIGO
 EMPRESA ]:[EMPRESA]],2,FALSE),"")</f>
        <v>RAFER INDÚSTRIA COMÉRCIO DE ARTEFATOS DE MADEIRA LTDA</v>
      </c>
      <c r="D125" s="112" t="s">
        <v>663</v>
      </c>
      <c r="E125" s="112" t="s">
        <v>448</v>
      </c>
      <c r="F125" s="329">
        <v>3891</v>
      </c>
      <c r="G125" s="411">
        <v>12693</v>
      </c>
      <c r="H125" s="330" t="s">
        <v>47</v>
      </c>
      <c r="I125" s="331"/>
      <c r="J125" s="328"/>
      <c r="K125" s="402">
        <v>58307</v>
      </c>
      <c r="L125" s="398">
        <f>Tabela13[[#This Row],[VALOR
 BRUTO ]]-Tabela13[[#This Row],[VALOR 
LIQUIDO ]]</f>
        <v>699.68</v>
      </c>
      <c r="M125" s="399">
        <f>Tabela13[[#This Row],[VALORES PAGOS 
(FORMA PAGTO)]]</f>
        <v>57607.32</v>
      </c>
      <c r="N125" s="328">
        <v>45793</v>
      </c>
      <c r="O125" s="382">
        <v>57607.32</v>
      </c>
      <c r="P125" s="331">
        <v>45807</v>
      </c>
      <c r="Q125" s="197" t="str" cm="1">
        <f t="array" aca="1" ref="Q125" ca="1">IF($P125&lt;&gt;"","PAGO",IF($N125&lt;TODAY(),"ATRASADO",IF($N125&gt;TODAY(),"NO PRAZO",IF($N125=TODAY(),"NO PRAZO",SE))))</f>
        <v>PAGO</v>
      </c>
      <c r="R125" s="150" t="str">
        <f t="shared" ca="1" si="1"/>
        <v/>
      </c>
      <c r="S125" s="716"/>
      <c r="T125" s="112"/>
      <c r="U125" s="332">
        <f ca="1">SUBTOTAL(3,Tabela13[[#This Row],[STATUS]])</f>
        <v>1</v>
      </c>
    </row>
    <row r="126" spans="1:21" ht="24.95" customHeight="1">
      <c r="A126" s="328">
        <v>45777</v>
      </c>
      <c r="B126" s="105">
        <v>60979</v>
      </c>
      <c r="C126" s="688" t="str">
        <f>IFERROR(VLOOKUP(Tabela13[[#This Row],[CÓD. EMPRESA]],Tabela3[[CÓDIGO
 EMPRESA ]:[EMPRESA]],2,FALSE),"")</f>
        <v>SILCON AMBIENTAL S/A</v>
      </c>
      <c r="D126" s="112" t="s">
        <v>355</v>
      </c>
      <c r="E126" s="112" t="s">
        <v>490</v>
      </c>
      <c r="F126" s="329">
        <v>3679</v>
      </c>
      <c r="G126" s="411">
        <v>37726</v>
      </c>
      <c r="H126" s="165" t="s">
        <v>47</v>
      </c>
      <c r="I126" s="331">
        <v>45717</v>
      </c>
      <c r="J126" s="328">
        <v>45747</v>
      </c>
      <c r="K126" s="469">
        <v>229829.04</v>
      </c>
      <c r="L126" s="398">
        <f>Tabela13[[#This Row],[VALOR
 BRUTO ]]-Tabela13[[#This Row],[VALOR 
LIQUIDO ]]</f>
        <v>47804.43</v>
      </c>
      <c r="M126" s="399">
        <f>Tabela13[[#This Row],[VALORES PAGOS 
(FORMA PAGTO)]]</f>
        <v>182024.61</v>
      </c>
      <c r="N126" s="464">
        <v>45800</v>
      </c>
      <c r="O126" s="470">
        <v>182024.61</v>
      </c>
      <c r="P126" s="468">
        <v>45807</v>
      </c>
      <c r="Q126" s="197" t="str" cm="1">
        <f t="array" aca="1" ref="Q126" ca="1">IF($P126&lt;&gt;"","PAGO",IF($N126&lt;TODAY(),"ATRASADO",IF($N126&gt;TODAY(),"NO PRAZO",IF($N126=TODAY(),"NO PRAZO",SE))))</f>
        <v>PAGO</v>
      </c>
      <c r="R126" s="150" t="str">
        <f t="shared" ca="1" si="1"/>
        <v/>
      </c>
      <c r="S126" s="724"/>
      <c r="T126" s="465"/>
      <c r="U126" s="471">
        <f ca="1">SUBTOTAL(3,Tabela13[[#This Row],[STATUS]])</f>
        <v>1</v>
      </c>
    </row>
    <row r="127" spans="1:21" ht="24.95" customHeight="1">
      <c r="A127" s="328">
        <v>45777</v>
      </c>
      <c r="B127" s="105">
        <v>60979</v>
      </c>
      <c r="C127" s="688" t="str">
        <f>IFERROR(VLOOKUP(Tabela13[[#This Row],[CÓD. EMPRESA]],Tabela3[[CÓDIGO
 EMPRESA ]:[EMPRESA]],2,FALSE),"")</f>
        <v>SILCON AMBIENTAL S/A</v>
      </c>
      <c r="D127" s="112" t="s">
        <v>355</v>
      </c>
      <c r="E127" s="112" t="s">
        <v>490</v>
      </c>
      <c r="F127" s="329">
        <v>3679</v>
      </c>
      <c r="G127" s="574">
        <v>37727</v>
      </c>
      <c r="H127" s="455" t="s">
        <v>47</v>
      </c>
      <c r="I127" s="331">
        <v>45717</v>
      </c>
      <c r="J127" s="328">
        <v>45747</v>
      </c>
      <c r="K127" s="402">
        <v>344743.56</v>
      </c>
      <c r="L127" s="398">
        <f>Tabela13[[#This Row],[VALOR
 BRUTO ]]-Tabela13[[#This Row],[VALOR 
LIQUIDO ]]</f>
        <v>16547.689999999999</v>
      </c>
      <c r="M127" s="399">
        <f>Tabela13[[#This Row],[VALORES PAGOS 
(FORMA PAGTO)]]</f>
        <v>328195.87</v>
      </c>
      <c r="N127" s="328">
        <v>45800</v>
      </c>
      <c r="O127" s="382">
        <v>328195.87</v>
      </c>
      <c r="P127" s="331">
        <v>45807</v>
      </c>
      <c r="Q127" s="197" t="str" cm="1">
        <f t="array" aca="1" ref="Q127" ca="1">IF($P127&lt;&gt;"","PAGO",IF($N127&lt;TODAY(),"ATRASADO",IF($N127&gt;TODAY(),"NO PRAZO",IF($N127=TODAY(),"NO PRAZO",SE))))</f>
        <v>PAGO</v>
      </c>
      <c r="R127" s="150" t="str">
        <f t="shared" ca="1" si="1"/>
        <v/>
      </c>
      <c r="S127" s="716"/>
      <c r="T127" s="112"/>
      <c r="U127" s="332">
        <f ca="1">SUBTOTAL(3,Tabela13[[#This Row],[STATUS]])</f>
        <v>1</v>
      </c>
    </row>
    <row r="128" spans="1:21" ht="24.95" customHeight="1">
      <c r="A128" s="328">
        <v>45777</v>
      </c>
      <c r="B128" s="105">
        <v>60979</v>
      </c>
      <c r="C128" s="688" t="str">
        <f>IFERROR(VLOOKUP(Tabela13[[#This Row],[CÓD. EMPRESA]],Tabela3[[CÓDIGO
 EMPRESA ]:[EMPRESA]],2,FALSE),"")</f>
        <v>SILCON AMBIENTAL S/A</v>
      </c>
      <c r="D128" s="112" t="s">
        <v>355</v>
      </c>
      <c r="E128" s="112" t="s">
        <v>490</v>
      </c>
      <c r="F128" s="329">
        <v>3679</v>
      </c>
      <c r="G128" s="411">
        <v>37728</v>
      </c>
      <c r="H128" s="455" t="s">
        <v>47</v>
      </c>
      <c r="I128" s="331">
        <v>45717</v>
      </c>
      <c r="J128" s="328">
        <v>45747</v>
      </c>
      <c r="K128" s="402">
        <v>4023.18</v>
      </c>
      <c r="L128" s="398">
        <f>Tabela13[[#This Row],[VALOR
 BRUTO ]]-Tabela13[[#This Row],[VALOR 
LIQUIDO ]]</f>
        <v>193.11</v>
      </c>
      <c r="M128" s="399">
        <f>Tabela13[[#This Row],[VALORES PAGOS 
(FORMA PAGTO)]]</f>
        <v>3830.07</v>
      </c>
      <c r="N128" s="328">
        <v>45800</v>
      </c>
      <c r="O128" s="382">
        <v>3830.07</v>
      </c>
      <c r="P128" s="331">
        <v>45807</v>
      </c>
      <c r="Q128" s="197" t="str" cm="1">
        <f t="array" aca="1" ref="Q128" ca="1">IF($P128&lt;&gt;"","PAGO",IF($N128&lt;TODAY(),"ATRASADO",IF($N128&gt;TODAY(),"NO PRAZO",IF($N128=TODAY(),"NO PRAZO",SE))))</f>
        <v>PAGO</v>
      </c>
      <c r="R128" s="150" t="str">
        <f t="shared" ca="1" si="1"/>
        <v/>
      </c>
      <c r="S128" s="716"/>
      <c r="T128" s="112"/>
      <c r="U128" s="332">
        <f ca="1">SUBTOTAL(3,Tabela13[[#This Row],[STATUS]])</f>
        <v>1</v>
      </c>
    </row>
    <row r="129" spans="1:21" ht="25.5" customHeight="1">
      <c r="A129" s="519">
        <v>45777</v>
      </c>
      <c r="B129" s="105">
        <v>60979</v>
      </c>
      <c r="C129" s="688" t="str">
        <f>IFERROR(VLOOKUP(Tabela13[[#This Row],[CÓD. EMPRESA]],Tabela3[[CÓDIGO
 EMPRESA ]:[EMPRESA]],2,FALSE),"")</f>
        <v>SILCON AMBIENTAL S/A</v>
      </c>
      <c r="D129" s="112" t="s">
        <v>355</v>
      </c>
      <c r="E129" s="112" t="s">
        <v>490</v>
      </c>
      <c r="F129" s="520">
        <v>3679</v>
      </c>
      <c r="G129" s="575">
        <v>37729</v>
      </c>
      <c r="H129" s="165" t="s">
        <v>47</v>
      </c>
      <c r="I129" s="521">
        <v>45717</v>
      </c>
      <c r="J129" s="519">
        <v>45747</v>
      </c>
      <c r="K129" s="522">
        <v>2682.12</v>
      </c>
      <c r="L129" s="398">
        <f>Tabela13[[#This Row],[VALOR
 BRUTO ]]-Tabela13[[#This Row],[VALOR 
LIQUIDO ]]</f>
        <v>557.88</v>
      </c>
      <c r="M129" s="399">
        <f>Tabela13[[#This Row],[VALORES PAGOS 
(FORMA PAGTO)]]</f>
        <v>2124.2399999999998</v>
      </c>
      <c r="N129" s="519">
        <v>45800</v>
      </c>
      <c r="O129" s="382">
        <v>2124.2399999999998</v>
      </c>
      <c r="P129" s="521">
        <v>45807</v>
      </c>
      <c r="Q129" s="197" t="str" cm="1">
        <f t="array" aca="1" ref="Q129" ca="1">IF($P129&lt;&gt;"","PAGO",IF($N129&lt;TODAY(),"ATRASADO",IF($N129&gt;TODAY(),"NO PRAZO",IF($N129=TODAY(),"NO PRAZO",SE))))</f>
        <v>PAGO</v>
      </c>
      <c r="R129" s="150" t="str">
        <f t="shared" ca="1" si="1"/>
        <v/>
      </c>
      <c r="S129" s="717"/>
      <c r="T129" s="112"/>
      <c r="U129" s="524">
        <f ca="1">SUBTOTAL(3,Tabela13[[#This Row],[STATUS]])</f>
        <v>1</v>
      </c>
    </row>
    <row r="130" spans="1:21" ht="24.75" customHeight="1">
      <c r="A130" s="113">
        <v>45777</v>
      </c>
      <c r="B130" s="105">
        <v>61861</v>
      </c>
      <c r="C130" s="688" t="str">
        <f>IFERROR(VLOOKUP(Tabela13[[#This Row],[CÓD. EMPRESA]],Tabela3[[CÓDIGO
 EMPRESA ]:[EMPRESA]],2,FALSE),"")</f>
        <v>RAFER INDÚSTRIA COMÉRCIO DE ARTEFATOS DE MADEIRA LTDA</v>
      </c>
      <c r="D130" s="112" t="s">
        <v>663</v>
      </c>
      <c r="E130" s="112" t="s">
        <v>448</v>
      </c>
      <c r="F130" s="140">
        <v>3891</v>
      </c>
      <c r="G130" s="411">
        <v>12695</v>
      </c>
      <c r="H130" s="165" t="s">
        <v>47</v>
      </c>
      <c r="I130" s="147"/>
      <c r="J130" s="113"/>
      <c r="K130" s="401">
        <v>71785</v>
      </c>
      <c r="L130" s="398">
        <f>Tabela13[[#This Row],[VALOR
 BRUTO ]]-Tabela13[[#This Row],[VALOR 
LIQUIDO ]]</f>
        <v>861.42</v>
      </c>
      <c r="M130" s="399">
        <f>Tabela13[[#This Row],[VALORES PAGOS 
(FORMA PAGTO)]]</f>
        <v>70923.58</v>
      </c>
      <c r="N130" s="113">
        <v>45800</v>
      </c>
      <c r="O130" s="385">
        <v>70923.58</v>
      </c>
      <c r="P130" s="147">
        <v>45807</v>
      </c>
      <c r="Q130" s="197" t="str" cm="1">
        <f t="array" aca="1" ref="Q130" ca="1">IF($P130&lt;&gt;"","PAGO",IF($N130&lt;TODAY(),"ATRASADO",IF($N130&gt;TODAY(),"NO PRAZO",IF($N130=TODAY(),"NO PRAZO",SE))))</f>
        <v>PAGO</v>
      </c>
      <c r="R130" s="150" t="str">
        <f t="shared" ca="1" si="1"/>
        <v/>
      </c>
      <c r="S130" s="241"/>
      <c r="T130" s="298"/>
      <c r="U130" s="259">
        <f ca="1">SUBTOTAL(3,Tabela13[[#This Row],[STATUS]])</f>
        <v>1</v>
      </c>
    </row>
    <row r="131" spans="1:21" ht="24.75" customHeight="1">
      <c r="A131" s="328">
        <v>45783</v>
      </c>
      <c r="B131" s="105">
        <v>73402</v>
      </c>
      <c r="C131" s="688" t="str">
        <f>IFERROR(VLOOKUP(Tabela13[[#This Row],[CÓD. EMPRESA]],Tabela3[[CÓDIGO
 EMPRESA ]:[EMPRESA]],2,FALSE),"")</f>
        <v>NELSON TAKAO YOSHIDA</v>
      </c>
      <c r="D131" s="112" t="s">
        <v>414</v>
      </c>
      <c r="E131" s="112" t="s">
        <v>415</v>
      </c>
      <c r="F131" s="329">
        <v>2830</v>
      </c>
      <c r="G131" s="411">
        <v>151</v>
      </c>
      <c r="H131" s="330" t="s">
        <v>47</v>
      </c>
      <c r="I131" s="331"/>
      <c r="J131" s="328"/>
      <c r="K131" s="402">
        <v>21034.29</v>
      </c>
      <c r="L131" s="398">
        <f>Tabela13[[#This Row],[VALOR
 BRUTO ]]-Tabela13[[#This Row],[VALOR 
LIQUIDO ]]</f>
        <v>315.51</v>
      </c>
      <c r="M131" s="399">
        <f>Tabela13[[#This Row],[VALORES PAGOS 
(FORMA PAGTO)]]</f>
        <v>20718.78</v>
      </c>
      <c r="N131" s="328">
        <v>45809</v>
      </c>
      <c r="O131" s="419">
        <v>20718.78</v>
      </c>
      <c r="P131" s="331">
        <v>45832</v>
      </c>
      <c r="Q131" s="197" t="str" cm="1">
        <f t="array" aca="1" ref="Q131" ca="1">IF($P131&lt;&gt;"","PAGO",IF($N131&lt;TODAY(),"ATRASADO",IF($N131&gt;TODAY(),"NO PRAZO",IF($N131=TODAY(),"NO PRAZO",SE))))</f>
        <v>PAGO</v>
      </c>
      <c r="R131" s="150" t="str">
        <f t="shared" ca="1" si="1"/>
        <v/>
      </c>
      <c r="S131" s="716"/>
      <c r="T131" s="112"/>
      <c r="U131" s="332">
        <f ca="1">SUBTOTAL(3,Tabela13[[#This Row],[STATUS]])</f>
        <v>1</v>
      </c>
    </row>
    <row r="132" spans="1:21" ht="24.95" customHeight="1">
      <c r="A132" s="328">
        <v>45783</v>
      </c>
      <c r="B132" s="105">
        <v>46901</v>
      </c>
      <c r="C132" s="688" t="str">
        <f>IFERROR(VLOOKUP(Tabela13[[#This Row],[CÓD. EMPRESA]],Tabela3[[CÓDIGO
 EMPRESA ]:[EMPRESA]],2,FALSE),"")</f>
        <v>LAVANDERIA PAULISTA LTDA</v>
      </c>
      <c r="D132" s="112" t="s">
        <v>421</v>
      </c>
      <c r="E132" s="112" t="s">
        <v>453</v>
      </c>
      <c r="F132" s="329">
        <v>10388</v>
      </c>
      <c r="G132" s="411">
        <v>27962</v>
      </c>
      <c r="H132" s="330" t="s">
        <v>47</v>
      </c>
      <c r="I132" s="331">
        <v>45748</v>
      </c>
      <c r="J132" s="328">
        <v>45777</v>
      </c>
      <c r="K132" s="402">
        <v>25594.799999999999</v>
      </c>
      <c r="L132" s="398">
        <f>Tabela13[[#This Row],[VALOR
 BRUTO ]]-Tabela13[[#This Row],[VALOR 
LIQUIDO ]]</f>
        <v>1164.56</v>
      </c>
      <c r="M132" s="399">
        <f>Tabela13[[#This Row],[VALORES PAGOS 
(FORMA PAGTO)]]</f>
        <v>24430.240000000002</v>
      </c>
      <c r="N132" s="328">
        <v>45816</v>
      </c>
      <c r="O132" s="382">
        <v>24430.240000000002</v>
      </c>
      <c r="P132" s="331">
        <v>45831</v>
      </c>
      <c r="Q132" s="197" t="str" cm="1">
        <f t="array" aca="1" ref="Q132" ca="1">IF($P132&lt;&gt;"","PAGO",IF($N132&lt;TODAY(),"ATRASADO",IF($N132&gt;TODAY(),"NO PRAZO",IF($N132=TODAY(),"NO PRAZO",SE))))</f>
        <v>PAGO</v>
      </c>
      <c r="R132" s="150" t="str">
        <f t="shared" ca="1" si="1"/>
        <v/>
      </c>
      <c r="S132" s="147"/>
      <c r="T132" s="112"/>
      <c r="U132" s="332">
        <f ca="1">SUBTOTAL(3,Tabela13[[#This Row],[STATUS]])</f>
        <v>1</v>
      </c>
    </row>
    <row r="133" spans="1:21" ht="24.95" customHeight="1">
      <c r="A133" s="328">
        <v>45784</v>
      </c>
      <c r="B133" s="105">
        <v>2808</v>
      </c>
      <c r="C133" s="688" t="str">
        <f>IFERROR(VLOOKUP(Tabela13[[#This Row],[CÓD. EMPRESA]],Tabela3[[CÓDIGO
 EMPRESA ]:[EMPRESA]],2,FALSE),"")</f>
        <v>EMPRESA BRASILEIRA DE CORREIOS E TELEGRAFOS</v>
      </c>
      <c r="D133" s="112" t="s">
        <v>34</v>
      </c>
      <c r="E133" s="112" t="s">
        <v>496</v>
      </c>
      <c r="F133" s="329">
        <v>9359</v>
      </c>
      <c r="G133" s="411">
        <v>3560693</v>
      </c>
      <c r="H133" s="165" t="s">
        <v>47</v>
      </c>
      <c r="I133" s="331">
        <v>45749</v>
      </c>
      <c r="J133" s="328">
        <v>45762</v>
      </c>
      <c r="K133" s="402">
        <v>589.98</v>
      </c>
      <c r="L133" s="398">
        <f>Tabela13[[#This Row],[VALOR
 BRUTO ]]-Tabela13[[#This Row],[VALOR 
LIQUIDO ]]</f>
        <v>0</v>
      </c>
      <c r="M133" s="399">
        <f>Tabela13[[#This Row],[VALORES PAGOS 
(FORMA PAGTO)]]</f>
        <v>589.98</v>
      </c>
      <c r="N133" s="328">
        <v>45798</v>
      </c>
      <c r="O133" s="382">
        <v>589.98</v>
      </c>
      <c r="P133" s="331">
        <v>45798</v>
      </c>
      <c r="Q133" s="197" t="str" cm="1">
        <f t="array" aca="1" ref="Q133" ca="1">IF($P133&lt;&gt;"","PAGO",IF($N133&lt;TODAY(),"ATRASADO",IF($N133&gt;TODAY(),"NO PRAZO",IF($N133=TODAY(),"NO PRAZO",SE))))</f>
        <v>PAGO</v>
      </c>
      <c r="R133" s="150" t="str">
        <f t="shared" ca="1" si="1"/>
        <v/>
      </c>
      <c r="S133" s="241"/>
      <c r="T133" s="112"/>
      <c r="U133" s="332">
        <f ca="1">SUBTOTAL(3,Tabela13[[#This Row],[STATUS]])</f>
        <v>1</v>
      </c>
    </row>
    <row r="134" spans="1:21" ht="24.95" customHeight="1">
      <c r="A134" s="328">
        <v>45784</v>
      </c>
      <c r="B134" s="105">
        <v>51481</v>
      </c>
      <c r="C134" s="688" t="str">
        <f>IFERROR(VLOOKUP(Tabela13[[#This Row],[CÓD. EMPRESA]],Tabela3[[CÓDIGO
 EMPRESA ]:[EMPRESA]],2,FALSE),"")</f>
        <v>LIGA INDUSTRIA E COMÉRCIO DE MATERIAL PARA CONSTRUÇÃO LTDA .</v>
      </c>
      <c r="D134" s="112" t="s">
        <v>662</v>
      </c>
      <c r="E134" s="112" t="s">
        <v>495</v>
      </c>
      <c r="F134" s="329">
        <v>9462</v>
      </c>
      <c r="G134" s="411">
        <v>18679</v>
      </c>
      <c r="H134" s="330" t="s">
        <v>47</v>
      </c>
      <c r="I134" s="331"/>
      <c r="J134" s="328"/>
      <c r="K134" s="402">
        <v>2946.24</v>
      </c>
      <c r="L134" s="398">
        <f>Tabela13[[#This Row],[VALOR
 BRUTO ]]-Tabela13[[#This Row],[VALOR 
LIQUIDO ]]</f>
        <v>35.35</v>
      </c>
      <c r="M134" s="399">
        <f>Tabela13[[#This Row],[VALORES PAGOS 
(FORMA PAGTO)]]</f>
        <v>2910.89</v>
      </c>
      <c r="N134" s="328">
        <v>45805</v>
      </c>
      <c r="O134" s="382">
        <v>2910.89</v>
      </c>
      <c r="P134" s="328">
        <v>45807</v>
      </c>
      <c r="Q134" s="197" t="str" cm="1">
        <f t="array" aca="1" ref="Q134" ca="1">IF($P134&lt;&gt;"","PAGO",IF($N134&lt;TODAY(),"ATRASADO",IF($N134&gt;TODAY(),"NO PRAZO",IF($N134=TODAY(),"NO PRAZO",SE))))</f>
        <v>PAGO</v>
      </c>
      <c r="R134" s="150" t="str">
        <f t="shared" ref="R134:R197" ca="1" si="2">IF(Q134="ATRASADO",N134-TODAY(),IF(Q134="NO PRAZO",N134-TODAY(),IF(Q134="PAGO","")))</f>
        <v/>
      </c>
      <c r="S134" s="716"/>
      <c r="T134" s="112"/>
      <c r="U134" s="332">
        <f ca="1">SUBTOTAL(3,Tabela13[[#This Row],[STATUS]])</f>
        <v>1</v>
      </c>
    </row>
    <row r="135" spans="1:21" ht="24.75" customHeight="1">
      <c r="A135" s="328">
        <v>45784</v>
      </c>
      <c r="B135" s="105">
        <v>51481</v>
      </c>
      <c r="C135" s="688" t="str">
        <f>IFERROR(VLOOKUP(Tabela13[[#This Row],[CÓD. EMPRESA]],Tabela3[[CÓDIGO
 EMPRESA ]:[EMPRESA]],2,FALSE),"")</f>
        <v>LIGA INDUSTRIA E COMÉRCIO DE MATERIAL PARA CONSTRUÇÃO LTDA .</v>
      </c>
      <c r="D135" s="112" t="s">
        <v>662</v>
      </c>
      <c r="E135" s="112" t="s">
        <v>495</v>
      </c>
      <c r="F135" s="329">
        <v>9462</v>
      </c>
      <c r="G135" s="411">
        <v>18680</v>
      </c>
      <c r="H135" s="330" t="s">
        <v>47</v>
      </c>
      <c r="I135" s="331"/>
      <c r="J135" s="328"/>
      <c r="K135" s="402">
        <v>2993.76</v>
      </c>
      <c r="L135" s="398">
        <f>Tabela13[[#This Row],[VALOR
 BRUTO ]]-Tabela13[[#This Row],[VALOR 
LIQUIDO ]]</f>
        <v>35.93</v>
      </c>
      <c r="M135" s="399">
        <f>Tabela13[[#This Row],[VALORES PAGOS 
(FORMA PAGTO)]]</f>
        <v>2957.83</v>
      </c>
      <c r="N135" s="328">
        <v>45805</v>
      </c>
      <c r="O135" s="382">
        <v>2957.83</v>
      </c>
      <c r="P135" s="331">
        <v>45807</v>
      </c>
      <c r="Q135" s="197" t="str" cm="1">
        <f t="array" aca="1" ref="Q135" ca="1">IF($P135&lt;&gt;"","PAGO",IF($N135&lt;TODAY(),"ATRASADO",IF($N135&gt;TODAY(),"NO PRAZO",IF($N135=TODAY(),"NO PRAZO",SE))))</f>
        <v>PAGO</v>
      </c>
      <c r="R135" s="150" t="str">
        <f t="shared" ca="1" si="2"/>
        <v/>
      </c>
      <c r="S135" s="716"/>
      <c r="T135" s="112"/>
      <c r="U135" s="332">
        <f ca="1">SUBTOTAL(3,Tabela13[[#This Row],[STATUS]])</f>
        <v>1</v>
      </c>
    </row>
    <row r="136" spans="1:21" ht="24.75" customHeight="1">
      <c r="A136" s="328">
        <v>45786</v>
      </c>
      <c r="B136" s="105">
        <v>58778</v>
      </c>
      <c r="C136" s="688" t="str">
        <f>IFERROR(VLOOKUP(Tabela13[[#This Row],[CÓD. EMPRESA]],Tabela3[[CÓDIGO
 EMPRESA ]:[EMPRESA]],2,FALSE),"")</f>
        <v>ATTEND AMBIENTAL S.A</v>
      </c>
      <c r="D136" s="112" t="s">
        <v>335</v>
      </c>
      <c r="E136" s="112" t="s">
        <v>642</v>
      </c>
      <c r="F136" s="329">
        <v>4189</v>
      </c>
      <c r="G136" s="411">
        <v>46968</v>
      </c>
      <c r="H136" s="330" t="s">
        <v>47</v>
      </c>
      <c r="I136" s="331">
        <v>45748</v>
      </c>
      <c r="J136" s="328">
        <v>45777</v>
      </c>
      <c r="K136" s="402">
        <v>97096.57</v>
      </c>
      <c r="L136" s="398">
        <f>Tabela13[[#This Row],[VALOR
 BRUTO ]]-Tabela13[[#This Row],[VALOR 
LIQUIDO ]]</f>
        <v>0</v>
      </c>
      <c r="M136" s="399">
        <f>Tabela13[[#This Row],[VALORES PAGOS 
(FORMA PAGTO)]]</f>
        <v>97096.57</v>
      </c>
      <c r="N136" s="328">
        <v>45812</v>
      </c>
      <c r="O136" s="382">
        <v>97096.57</v>
      </c>
      <c r="P136" s="331">
        <v>45831</v>
      </c>
      <c r="Q136" s="197" t="str" cm="1">
        <f t="array" aca="1" ref="Q136" ca="1">IF($P136&lt;&gt;"","PAGO",IF($N136&lt;TODAY(),"ATRASADO",IF($N136&gt;TODAY(),"NO PRAZO",IF($N136=TODAY(),"NO PRAZO",SE))))</f>
        <v>PAGO</v>
      </c>
      <c r="R136" s="150" t="str">
        <f t="shared" ca="1" si="2"/>
        <v/>
      </c>
      <c r="S136" s="147"/>
      <c r="T136" s="112"/>
      <c r="U136" s="332">
        <f ca="1">SUBTOTAL(3,Tabela13[[#This Row],[STATUS]])</f>
        <v>1</v>
      </c>
    </row>
    <row r="137" spans="1:21" ht="24.95" customHeight="1">
      <c r="A137" s="328">
        <v>45786</v>
      </c>
      <c r="B137" s="105">
        <v>58778</v>
      </c>
      <c r="C137" s="688" t="str">
        <f>IFERROR(VLOOKUP(Tabela13[[#This Row],[CÓD. EMPRESA]],Tabela3[[CÓDIGO
 EMPRESA ]:[EMPRESA]],2,FALSE),"")</f>
        <v>ATTEND AMBIENTAL S.A</v>
      </c>
      <c r="D137" s="112" t="s">
        <v>335</v>
      </c>
      <c r="E137" s="112" t="s">
        <v>642</v>
      </c>
      <c r="F137" s="329">
        <v>3261</v>
      </c>
      <c r="G137" s="411">
        <v>46968</v>
      </c>
      <c r="H137" s="330" t="s">
        <v>47</v>
      </c>
      <c r="I137" s="331">
        <v>45717</v>
      </c>
      <c r="J137" s="328">
        <v>45747</v>
      </c>
      <c r="K137" s="402">
        <v>185677.23</v>
      </c>
      <c r="L137" s="398">
        <f>Tabela13[[#This Row],[VALOR
 BRUTO ]]-Tabela13[[#This Row],[VALOR 
LIQUIDO ]]</f>
        <v>13573.14</v>
      </c>
      <c r="M137" s="399">
        <f>Tabela13[[#This Row],[VALORES PAGOS 
(FORMA PAGTO)]]</f>
        <v>172104.09</v>
      </c>
      <c r="N137" s="328">
        <v>45812</v>
      </c>
      <c r="O137" s="382">
        <v>172104.09</v>
      </c>
      <c r="P137" s="331">
        <v>45831</v>
      </c>
      <c r="Q137" s="197" t="str" cm="1">
        <f t="array" aca="1" ref="Q137" ca="1">IF($P137&lt;&gt;"","PAGO",IF($N137&lt;TODAY(),"ATRASADO",IF($N137&gt;TODAY(),"NO PRAZO",IF($N137=TODAY(),"NO PRAZO",SE))))</f>
        <v>PAGO</v>
      </c>
      <c r="R137" s="150" t="str">
        <f t="shared" ca="1" si="2"/>
        <v/>
      </c>
      <c r="S137" s="147"/>
      <c r="T137" s="112"/>
      <c r="U137" s="332">
        <f ca="1">SUBTOTAL(3,Tabela13[[#This Row],[STATUS]])</f>
        <v>1</v>
      </c>
    </row>
    <row r="138" spans="1:21" ht="24.95" customHeight="1">
      <c r="A138" s="328">
        <v>45786</v>
      </c>
      <c r="B138" s="105">
        <v>117936</v>
      </c>
      <c r="C138" s="688" t="str">
        <f>IFERROR(VLOOKUP(Tabela13[[#This Row],[CÓD. EMPRESA]],Tabela3[[CÓDIGO
 EMPRESA ]:[EMPRESA]],2,FALSE),"")</f>
        <v>LOPES SAAB ENGENHARIA LTDA</v>
      </c>
      <c r="D138" s="112" t="s">
        <v>449</v>
      </c>
      <c r="E138" s="112" t="s">
        <v>631</v>
      </c>
      <c r="F138" s="329">
        <v>2929</v>
      </c>
      <c r="G138" s="411">
        <v>149</v>
      </c>
      <c r="H138" s="330" t="s">
        <v>47</v>
      </c>
      <c r="I138" s="331">
        <v>45717</v>
      </c>
      <c r="J138" s="328">
        <v>45747</v>
      </c>
      <c r="K138" s="402">
        <v>18500</v>
      </c>
      <c r="L138" s="398">
        <f>Tabela13[[#This Row],[VALOR
 BRUTO ]]-Tabela13[[#This Row],[VALOR 
LIQUIDO ]]</f>
        <v>0</v>
      </c>
      <c r="M138" s="399">
        <f>Tabela13[[#This Row],[VALORES PAGOS 
(FORMA PAGTO)]]</f>
        <v>18500</v>
      </c>
      <c r="N138" s="328">
        <v>45814</v>
      </c>
      <c r="O138" s="382">
        <v>18500</v>
      </c>
      <c r="P138" s="331">
        <v>45831</v>
      </c>
      <c r="Q138" s="197" t="str" cm="1">
        <f t="array" aca="1" ref="Q138" ca="1">IF($P138&lt;&gt;"","PAGO",IF($N138&lt;TODAY(),"ATRASADO",IF($N138&gt;TODAY(),"NO PRAZO",IF($N138=TODAY(),"NO PRAZO",SE))))</f>
        <v>PAGO</v>
      </c>
      <c r="R138" s="150" t="str">
        <f t="shared" ca="1" si="2"/>
        <v/>
      </c>
      <c r="S138" s="716"/>
      <c r="T138" s="112"/>
      <c r="U138" s="332">
        <f ca="1">SUBTOTAL(3,Tabela13[[#This Row],[STATUS]])</f>
        <v>1</v>
      </c>
    </row>
    <row r="139" spans="1:21" ht="24" customHeight="1">
      <c r="A139" s="373">
        <v>45786</v>
      </c>
      <c r="B139" s="105">
        <v>121973</v>
      </c>
      <c r="C139" s="688" t="str">
        <f>IFERROR(VLOOKUP(Tabela13[[#This Row],[CÓD. EMPRESA]],Tabela3[[CÓDIGO
 EMPRESA ]:[EMPRESA]],2,FALSE),"")</f>
        <v>CONSORCIO CENTRO DE TRATAMENTO DE RESIDUOS GUARULHOS</v>
      </c>
      <c r="D139" s="112" t="s">
        <v>446</v>
      </c>
      <c r="E139" s="112" t="s">
        <v>461</v>
      </c>
      <c r="F139" s="374">
        <v>3681</v>
      </c>
      <c r="G139" s="411">
        <v>4</v>
      </c>
      <c r="H139" s="375" t="s">
        <v>47</v>
      </c>
      <c r="I139" s="376">
        <v>45717</v>
      </c>
      <c r="J139" s="373">
        <v>45747</v>
      </c>
      <c r="K139" s="402">
        <v>254419.69</v>
      </c>
      <c r="L139" s="398">
        <f>Tabela13[[#This Row],[VALOR
 BRUTO ]]-Tabela13[[#This Row],[VALOR 
LIQUIDO ]]</f>
        <v>38926.21</v>
      </c>
      <c r="M139" s="399">
        <f>Tabela13[[#This Row],[VALORES PAGOS 
(FORMA PAGTO)]]</f>
        <v>215493.48</v>
      </c>
      <c r="N139" s="373">
        <v>45813</v>
      </c>
      <c r="O139" s="414">
        <v>215493.48</v>
      </c>
      <c r="P139" s="376">
        <v>45831</v>
      </c>
      <c r="Q139" s="197" t="str" cm="1">
        <f t="array" aca="1" ref="Q139" ca="1">IF($P139&lt;&gt;"","PAGO",IF($N139&lt;TODAY(),"ATRASADO",IF($N139&gt;TODAY(),"NO PRAZO",IF($N139=TODAY(),"NO PRAZO",SE))))</f>
        <v>PAGO</v>
      </c>
      <c r="R139" s="150" t="str">
        <f t="shared" ca="1" si="2"/>
        <v/>
      </c>
      <c r="S139" s="716"/>
      <c r="T139" s="112"/>
      <c r="U139" s="450">
        <f ca="1">SUBTOTAL(3,Tabela13[[#This Row],[STATUS]])</f>
        <v>1</v>
      </c>
    </row>
    <row r="140" spans="1:21" ht="24" customHeight="1">
      <c r="A140" s="328">
        <v>45789</v>
      </c>
      <c r="B140" s="105">
        <v>119162</v>
      </c>
      <c r="C140" s="688" t="str">
        <f>IFERROR(VLOOKUP(Tabela13[[#This Row],[CÓD. EMPRESA]],Tabela3[[CÓDIGO
 EMPRESA ]:[EMPRESA]],2,FALSE),"")</f>
        <v>COOPERATIVA DE TRABALHO COLETA TRIAGEM BENEFICIAMENTO E COMERCIO DE MATERIAIS RECICLAVEIS NOVO CICLO</v>
      </c>
      <c r="D140" s="112" t="s">
        <v>343</v>
      </c>
      <c r="E140" s="112" t="s">
        <v>499</v>
      </c>
      <c r="F140" s="329">
        <v>3689</v>
      </c>
      <c r="G140" s="411">
        <v>3</v>
      </c>
      <c r="H140" s="330" t="s">
        <v>47</v>
      </c>
      <c r="I140" s="331">
        <v>45689</v>
      </c>
      <c r="J140" s="328">
        <v>45716</v>
      </c>
      <c r="K140" s="402">
        <v>12395.1</v>
      </c>
      <c r="L140" s="398">
        <f>Tabela13[[#This Row],[VALOR
 BRUTO ]]-Tabela13[[#This Row],[VALOR 
LIQUIDO ]]</f>
        <v>619.76</v>
      </c>
      <c r="M140" s="399">
        <f>Tabela13[[#This Row],[VALORES PAGOS 
(FORMA PAGTO)]]</f>
        <v>11775.34</v>
      </c>
      <c r="N140" s="328">
        <v>45789</v>
      </c>
      <c r="O140" s="414">
        <v>11775.34</v>
      </c>
      <c r="P140" s="331">
        <v>45804</v>
      </c>
      <c r="Q140" s="197" t="str" cm="1">
        <f t="array" aca="1" ref="Q140" ca="1">IF($P140&lt;&gt;"","PAGO",IF($N140&lt;TODAY(),"ATRASADO",IF($N140&gt;TODAY(),"NO PRAZO",IF($N140=TODAY(),"NO PRAZO",SE))))</f>
        <v>PAGO</v>
      </c>
      <c r="R140" s="150" t="str">
        <f t="shared" ca="1" si="2"/>
        <v/>
      </c>
      <c r="S140" s="716"/>
      <c r="T140" s="112"/>
      <c r="U140" s="332">
        <f ca="1">SUBTOTAL(3,Tabela13[[#This Row],[STATUS]])</f>
        <v>1</v>
      </c>
    </row>
    <row r="141" spans="1:21" ht="24.95" customHeight="1">
      <c r="A141" s="113">
        <v>45789</v>
      </c>
      <c r="B141" s="105">
        <v>118253</v>
      </c>
      <c r="C141" s="688" t="str">
        <f>IFERROR(VLOOKUP(Tabela13[[#This Row],[CÓD. EMPRESA]],Tabela3[[CÓDIGO
 EMPRESA ]:[EMPRESA]],2,FALSE),"")</f>
        <v>COOPERATIVA DE TRABALHO DOS CATADORES DA AREA DE MATERIAIS RECICLAVEIS DE GUARULHOS</v>
      </c>
      <c r="D141" s="112" t="s">
        <v>440</v>
      </c>
      <c r="E141" s="112" t="s">
        <v>441</v>
      </c>
      <c r="F141" s="374">
        <v>7076</v>
      </c>
      <c r="G141" s="411">
        <v>5</v>
      </c>
      <c r="H141" s="375" t="s">
        <v>47</v>
      </c>
      <c r="I141" s="376">
        <v>45689</v>
      </c>
      <c r="J141" s="373">
        <v>45716</v>
      </c>
      <c r="K141" s="408">
        <v>3331.44</v>
      </c>
      <c r="L141" s="398">
        <f>Tabela13[[#This Row],[VALOR
 BRUTO ]]-Tabela13[[#This Row],[VALOR 
LIQUIDO ]]</f>
        <v>0</v>
      </c>
      <c r="M141" s="399">
        <f>Tabela13[[#This Row],[VALORES PAGOS 
(FORMA PAGTO)]]</f>
        <v>3331.44</v>
      </c>
      <c r="N141" s="373">
        <v>45789</v>
      </c>
      <c r="O141" s="393">
        <v>3331.44</v>
      </c>
      <c r="P141" s="376">
        <v>45804</v>
      </c>
      <c r="Q141" s="197" t="str" cm="1">
        <f t="array" aca="1" ref="Q141" ca="1">IF($P141&lt;&gt;"","PAGO",IF($N141&lt;TODAY(),"ATRASADO",IF($N141&gt;TODAY(),"NO PRAZO",IF($N141=TODAY(),"NO PRAZO",SE))))</f>
        <v>PAGO</v>
      </c>
      <c r="R141" s="150" t="str">
        <f t="shared" ca="1" si="2"/>
        <v/>
      </c>
      <c r="S141" s="718"/>
      <c r="T141" s="112"/>
      <c r="U141" s="450">
        <f ca="1">SUBTOTAL(3,Tabela13[[#This Row],[STATUS]])</f>
        <v>1</v>
      </c>
    </row>
    <row r="142" spans="1:21" ht="24.95" customHeight="1">
      <c r="A142" s="373">
        <v>45789</v>
      </c>
      <c r="B142" s="105">
        <v>118253</v>
      </c>
      <c r="C142" s="688" t="str">
        <f>IFERROR(VLOOKUP(Tabela13[[#This Row],[CÓD. EMPRESA]],Tabela3[[CÓDIGO
 EMPRESA ]:[EMPRESA]],2,FALSE),"")</f>
        <v>COOPERATIVA DE TRABALHO DOS CATADORES DA AREA DE MATERIAIS RECICLAVEIS DE GUARULHOS</v>
      </c>
      <c r="D142" s="112" t="s">
        <v>440</v>
      </c>
      <c r="E142" s="112" t="s">
        <v>441</v>
      </c>
      <c r="F142" s="374">
        <v>3692</v>
      </c>
      <c r="G142" s="411">
        <v>5</v>
      </c>
      <c r="H142" s="375" t="s">
        <v>47</v>
      </c>
      <c r="I142" s="376">
        <v>45689</v>
      </c>
      <c r="J142" s="373">
        <v>45716</v>
      </c>
      <c r="K142" s="408">
        <v>18505.38</v>
      </c>
      <c r="L142" s="398">
        <f>Tabela13[[#This Row],[VALOR
 BRUTO ]]-Tabela13[[#This Row],[VALOR 
LIQUIDO ]]</f>
        <v>1091.8399999999999</v>
      </c>
      <c r="M142" s="399">
        <f>Tabela13[[#This Row],[VALORES PAGOS 
(FORMA PAGTO)]]</f>
        <v>17413.54</v>
      </c>
      <c r="N142" s="373">
        <v>45789</v>
      </c>
      <c r="O142" s="394">
        <v>17413.54</v>
      </c>
      <c r="P142" s="376">
        <v>45804</v>
      </c>
      <c r="Q142" s="197" t="str" cm="1">
        <f t="array" aca="1" ref="Q142" ca="1">IF($P142&lt;&gt;"","PAGO",IF($N142&lt;TODAY(),"ATRASADO",IF($N142&gt;TODAY(),"NO PRAZO",IF($N142=TODAY(),"NO PRAZO",SE))))</f>
        <v>PAGO</v>
      </c>
      <c r="R142" s="150" t="str">
        <f t="shared" ca="1" si="2"/>
        <v/>
      </c>
      <c r="S142" s="718"/>
      <c r="T142" s="112"/>
      <c r="U142" s="450">
        <f ca="1">SUBTOTAL(3,Tabela13[[#This Row],[STATUS]])</f>
        <v>1</v>
      </c>
    </row>
    <row r="143" spans="1:21" ht="24.95" customHeight="1">
      <c r="A143" s="373">
        <v>45789</v>
      </c>
      <c r="B143" s="105">
        <v>119166</v>
      </c>
      <c r="C143" s="688" t="str">
        <f>IFERROR(VLOOKUP(Tabela13[[#This Row],[CÓD. EMPRESA]],Tabela3[[CÓDIGO
 EMPRESA ]:[EMPRESA]],2,FALSE),"")</f>
        <v>COOPERATIVA DE TRABALHO DE CATADORES E CATADORAS DE MATERIAL DE RECICLAGEM VILA RENATA CRV</v>
      </c>
      <c r="D143" s="112" t="s">
        <v>347</v>
      </c>
      <c r="E143" s="112" t="s">
        <v>497</v>
      </c>
      <c r="F143" s="374">
        <v>3683</v>
      </c>
      <c r="G143" s="411">
        <v>4</v>
      </c>
      <c r="H143" s="375" t="s">
        <v>47</v>
      </c>
      <c r="I143" s="376">
        <v>45689</v>
      </c>
      <c r="J143" s="373">
        <v>45716</v>
      </c>
      <c r="K143" s="408">
        <v>18003.25</v>
      </c>
      <c r="L143" s="398">
        <f>Tabela13[[#This Row],[VALOR
 BRUTO ]]-Tabela13[[#This Row],[VALOR 
LIQUIDO ]]</f>
        <v>1208.8599999999999</v>
      </c>
      <c r="M143" s="399">
        <f>Tabela13[[#This Row],[VALORES PAGOS 
(FORMA PAGTO)]]</f>
        <v>16794.39</v>
      </c>
      <c r="N143" s="373">
        <v>45790</v>
      </c>
      <c r="O143" s="394">
        <v>16794.39</v>
      </c>
      <c r="P143" s="376">
        <v>45804</v>
      </c>
      <c r="Q143" s="197" t="str" cm="1">
        <f t="array" aca="1" ref="Q143" ca="1">IF($P143&lt;&gt;"","PAGO",IF($N143&lt;TODAY(),"ATRASADO",IF($N143&gt;TODAY(),"NO PRAZO",IF($N143=TODAY(),"NO PRAZO",SE))))</f>
        <v>PAGO</v>
      </c>
      <c r="R143" s="150" t="str">
        <f t="shared" ca="1" si="2"/>
        <v/>
      </c>
      <c r="S143" s="718"/>
      <c r="T143" s="112"/>
      <c r="U143" s="450">
        <f ca="1">SUBTOTAL(3,Tabela13[[#This Row],[STATUS]])</f>
        <v>1</v>
      </c>
    </row>
    <row r="144" spans="1:21" ht="25.5" customHeight="1">
      <c r="A144" s="373">
        <v>45789</v>
      </c>
      <c r="B144" s="105">
        <v>119166</v>
      </c>
      <c r="C144" s="688" t="str">
        <f>IFERROR(VLOOKUP(Tabela13[[#This Row],[CÓD. EMPRESA]],Tabela3[[CÓDIGO
 EMPRESA ]:[EMPRESA]],2,FALSE),"")</f>
        <v>COOPERATIVA DE TRABALHO DE CATADORES E CATADORAS DE MATERIAL DE RECICLAGEM VILA RENATA CRV</v>
      </c>
      <c r="D144" s="112" t="s">
        <v>347</v>
      </c>
      <c r="E144" s="112" t="s">
        <v>497</v>
      </c>
      <c r="F144" s="374">
        <v>4270</v>
      </c>
      <c r="G144" s="411">
        <v>4</v>
      </c>
      <c r="H144" s="375" t="s">
        <v>47</v>
      </c>
      <c r="I144" s="376">
        <v>45689</v>
      </c>
      <c r="J144" s="373">
        <v>45716</v>
      </c>
      <c r="K144" s="408">
        <v>6173.95</v>
      </c>
      <c r="L144" s="398">
        <f>Tabela13[[#This Row],[VALOR
 BRUTO ]]-Tabela13[[#This Row],[VALOR 
LIQUIDO ]]</f>
        <v>0</v>
      </c>
      <c r="M144" s="399">
        <f>Tabela13[[#This Row],[VALORES PAGOS 
(FORMA PAGTO)]]</f>
        <v>6173.95</v>
      </c>
      <c r="N144" s="373">
        <v>45790</v>
      </c>
      <c r="O144" s="394">
        <v>6173.95</v>
      </c>
      <c r="P144" s="376">
        <v>45804</v>
      </c>
      <c r="Q144" s="197" t="str" cm="1">
        <f t="array" aca="1" ref="Q144" ca="1">IF($P144&lt;&gt;"","PAGO",IF($N144&lt;TODAY(),"ATRASADO",IF($N144&gt;TODAY(),"NO PRAZO",IF($N144=TODAY(),"NO PRAZO",SE))))</f>
        <v>PAGO</v>
      </c>
      <c r="R144" s="150" t="str">
        <f t="shared" ca="1" si="2"/>
        <v/>
      </c>
      <c r="S144" s="718"/>
      <c r="T144" s="112"/>
      <c r="U144" s="450">
        <f ca="1">SUBTOTAL(3,Tabela13[[#This Row],[STATUS]])</f>
        <v>1</v>
      </c>
    </row>
    <row r="145" spans="1:21" ht="24" customHeight="1">
      <c r="A145" s="373">
        <v>45789</v>
      </c>
      <c r="B145" s="105">
        <v>118229</v>
      </c>
      <c r="C145" s="688" t="str">
        <f>IFERROR(VLOOKUP(Tabela13[[#This Row],[CÓD. EMPRESA]],Tabela3[[CÓDIGO
 EMPRESA ]:[EMPRESA]],2,FALSE),"")</f>
        <v>COOPERATIVA DE TRABALHO DAS CATADORAS E CATADORES DE MATERIAIS RECICLAVEIS LUTA E VIDA</v>
      </c>
      <c r="D145" s="112" t="s">
        <v>330</v>
      </c>
      <c r="E145" s="112" t="s">
        <v>498</v>
      </c>
      <c r="F145" s="374">
        <v>3693</v>
      </c>
      <c r="G145" s="411">
        <v>7</v>
      </c>
      <c r="H145" s="165" t="s">
        <v>47</v>
      </c>
      <c r="I145" s="376">
        <v>46784</v>
      </c>
      <c r="J145" s="373">
        <v>45716</v>
      </c>
      <c r="K145" s="408">
        <v>21974.99</v>
      </c>
      <c r="L145" s="398">
        <f>Tabela13[[#This Row],[VALOR
 BRUTO ]]-Tabela13[[#This Row],[VALOR 
LIQUIDO ]]</f>
        <v>1098.75</v>
      </c>
      <c r="M145" s="399">
        <f>Tabela13[[#This Row],[VALORES PAGOS 
(FORMA PAGTO)]]</f>
        <v>20876.240000000002</v>
      </c>
      <c r="N145" s="373">
        <v>45789</v>
      </c>
      <c r="O145" s="394">
        <v>20876.240000000002</v>
      </c>
      <c r="P145" s="376">
        <v>45804</v>
      </c>
      <c r="Q145" s="197" t="str" cm="1">
        <f t="array" aca="1" ref="Q145" ca="1">IF($P145&lt;&gt;"","PAGO",IF($N145&lt;TODAY(),"ATRASADO",IF($N145&gt;TODAY(),"NO PRAZO",IF($N145=TODAY(),"NO PRAZO",SE))))</f>
        <v>PAGO</v>
      </c>
      <c r="R145" s="150" t="str">
        <f t="shared" ca="1" si="2"/>
        <v/>
      </c>
      <c r="S145" s="718"/>
      <c r="T145" s="112"/>
      <c r="U145" s="450">
        <f ca="1">SUBTOTAL(3,Tabela13[[#This Row],[STATUS]])</f>
        <v>1</v>
      </c>
    </row>
    <row r="146" spans="1:21" ht="24" customHeight="1">
      <c r="A146" s="409">
        <v>45789</v>
      </c>
      <c r="B146" s="105">
        <v>112466</v>
      </c>
      <c r="C146" s="688" t="str">
        <f>IFERROR(VLOOKUP(Tabela13[[#This Row],[CÓD. EMPRESA]],Tabela3[[CÓDIGO
 EMPRESA ]:[EMPRESA]],2,FALSE),"")</f>
        <v>COOPERATIVA DE TRABALHO DE RECICLAGEM ECO GUARULHOS</v>
      </c>
      <c r="D146" s="112" t="s">
        <v>337</v>
      </c>
      <c r="E146" s="112" t="s">
        <v>489</v>
      </c>
      <c r="F146" s="410">
        <v>4225</v>
      </c>
      <c r="G146" s="411">
        <v>17</v>
      </c>
      <c r="H146" s="165" t="s">
        <v>47</v>
      </c>
      <c r="I146" s="412">
        <v>45689</v>
      </c>
      <c r="J146" s="409">
        <v>45716</v>
      </c>
      <c r="K146" s="666">
        <v>25027.919999999998</v>
      </c>
      <c r="L146" s="398">
        <f>Tabela13[[#This Row],[VALOR
 BRUTO ]]-Tabela13[[#This Row],[VALOR 
LIQUIDO ]]</f>
        <v>1732.97</v>
      </c>
      <c r="M146" s="399">
        <f>Tabela13[[#This Row],[VALORES PAGOS 
(FORMA PAGTO)]]</f>
        <v>23294.95</v>
      </c>
      <c r="N146" s="409">
        <v>45790</v>
      </c>
      <c r="O146" s="414">
        <v>23294.95</v>
      </c>
      <c r="P146" s="412">
        <v>45804</v>
      </c>
      <c r="Q146" s="197" t="str" cm="1">
        <f t="array" aca="1" ref="Q146" ca="1">IF($P146&lt;&gt;"","PAGO",IF($N146&lt;TODAY(),"ATRASADO",IF($N146&gt;TODAY(),"NO PRAZO",IF($N146=TODAY(),"NO PRAZO",SE))))</f>
        <v>PAGO</v>
      </c>
      <c r="R146" s="150" t="str">
        <f t="shared" ca="1" si="2"/>
        <v/>
      </c>
      <c r="S146" s="719"/>
      <c r="T146" s="112"/>
      <c r="U146" s="429">
        <f ca="1">SUBTOTAL(3,Tabela13[[#This Row],[STATUS]])</f>
        <v>1</v>
      </c>
    </row>
    <row r="147" spans="1:21" ht="24.95" customHeight="1">
      <c r="A147" s="631">
        <v>45789</v>
      </c>
      <c r="B147" s="105">
        <v>112466</v>
      </c>
      <c r="C147" s="688" t="str">
        <f>IFERROR(VLOOKUP(Tabela13[[#This Row],[CÓD. EMPRESA]],Tabela3[[CÓDIGO
 EMPRESA ]:[EMPRESA]],2,FALSE),"")</f>
        <v>COOPERATIVA DE TRABALHO DE RECICLAGEM ECO GUARULHOS</v>
      </c>
      <c r="D147" s="112" t="s">
        <v>337</v>
      </c>
      <c r="E147" s="112" t="s">
        <v>489</v>
      </c>
      <c r="F147" s="410">
        <v>3684</v>
      </c>
      <c r="G147" s="411">
        <v>17</v>
      </c>
      <c r="H147" s="165" t="s">
        <v>47</v>
      </c>
      <c r="I147" s="412">
        <v>45689</v>
      </c>
      <c r="J147" s="409">
        <v>45716</v>
      </c>
      <c r="K147" s="634">
        <v>9631.5</v>
      </c>
      <c r="L147" s="398">
        <f>Tabela13[[#This Row],[VALOR
 BRUTO ]]-Tabela13[[#This Row],[VALOR 
LIQUIDO ]]</f>
        <v>0</v>
      </c>
      <c r="M147" s="399">
        <f>Tabela13[[#This Row],[VALORES PAGOS 
(FORMA PAGTO)]]</f>
        <v>9631.5</v>
      </c>
      <c r="N147" s="631">
        <v>45790</v>
      </c>
      <c r="O147" s="635">
        <v>9631.5</v>
      </c>
      <c r="P147" s="633">
        <v>45804</v>
      </c>
      <c r="Q147" s="197" t="str" cm="1">
        <f t="array" aca="1" ref="Q147" ca="1">IF($P147&lt;&gt;"","PAGO",IF($N147&lt;TODAY(),"ATRASADO",IF($N147&gt;TODAY(),"NO PRAZO",IF($N147=TODAY(),"NO PRAZO",SE))))</f>
        <v>PAGO</v>
      </c>
      <c r="R147" s="150" t="str">
        <f t="shared" ca="1" si="2"/>
        <v/>
      </c>
      <c r="S147" s="720"/>
      <c r="T147" s="112"/>
      <c r="U147" s="636">
        <f ca="1">SUBTOTAL(3,Tabela13[[#This Row],[STATUS]])</f>
        <v>1</v>
      </c>
    </row>
    <row r="148" spans="1:21" s="272" customFormat="1" ht="24.95" customHeight="1">
      <c r="A148" s="409">
        <v>45789</v>
      </c>
      <c r="B148" s="105">
        <v>118247</v>
      </c>
      <c r="C148" s="688" t="str">
        <f>IFERROR(VLOOKUP(Tabela13[[#This Row],[CÓD. EMPRESA]],Tabela3[[CÓDIGO
 EMPRESA ]:[EMPRESA]],2,FALSE),"")</f>
        <v>COOPERATIVA DE TRABALHO DE CATADORAS DE CATADORES DE MATERIAIS RECICLAVEIS GUARULHOS RECICLA</v>
      </c>
      <c r="D148" s="112" t="s">
        <v>331</v>
      </c>
      <c r="E148" s="112" t="s">
        <v>500</v>
      </c>
      <c r="F148" s="410">
        <v>4268</v>
      </c>
      <c r="G148" s="109">
        <v>5</v>
      </c>
      <c r="H148" s="165" t="s">
        <v>47</v>
      </c>
      <c r="I148" s="412">
        <v>45689</v>
      </c>
      <c r="J148" s="409">
        <v>45716</v>
      </c>
      <c r="K148" s="401">
        <v>61597.87</v>
      </c>
      <c r="L148" s="398">
        <f>Tabela13[[#This Row],[VALOR
 BRUTO ]]-Tabela13[[#This Row],[VALOR 
LIQUIDO ]]</f>
        <v>3099.95</v>
      </c>
      <c r="M148" s="399">
        <f>Tabela13[[#This Row],[VALORES PAGOS 
(FORMA PAGTO)]]</f>
        <v>58497.919999999998</v>
      </c>
      <c r="N148" s="409">
        <v>45790</v>
      </c>
      <c r="O148" s="414">
        <v>58497.919999999998</v>
      </c>
      <c r="P148" s="412">
        <v>45804</v>
      </c>
      <c r="Q148" s="197" t="str" cm="1">
        <f t="array" aca="1" ref="Q148" ca="1">IF($P148&lt;&gt;"","PAGO",IF($N148&lt;TODAY(),"ATRASADO",IF($N148&gt;TODAY(),"NO PRAZO",IF($N148=TODAY(),"NO PRAZO",SE))))</f>
        <v>PAGO</v>
      </c>
      <c r="R148" s="150" t="str">
        <f t="shared" ca="1" si="2"/>
        <v/>
      </c>
      <c r="S148" s="719"/>
      <c r="T148" s="112"/>
      <c r="U148" s="429">
        <f ca="1">SUBTOTAL(3,Tabela13[[#This Row],[STATUS]])</f>
        <v>1</v>
      </c>
    </row>
    <row r="149" spans="1:21" ht="24.95" customHeight="1">
      <c r="A149" s="409">
        <v>45789</v>
      </c>
      <c r="B149" s="105">
        <v>118247</v>
      </c>
      <c r="C149" s="688" t="str">
        <f>IFERROR(VLOOKUP(Tabela13[[#This Row],[CÓD. EMPRESA]],Tabela3[[CÓDIGO
 EMPRESA ]:[EMPRESA]],2,FALSE),"")</f>
        <v>COOPERATIVA DE TRABALHO DE CATADORAS DE CATADORES DE MATERIAIS RECICLAVEIS GUARULHOS RECICLA</v>
      </c>
      <c r="D149" s="112" t="s">
        <v>331</v>
      </c>
      <c r="E149" s="112" t="s">
        <v>500</v>
      </c>
      <c r="F149" s="410">
        <v>3899</v>
      </c>
      <c r="G149" s="109">
        <v>5</v>
      </c>
      <c r="H149" s="165" t="s">
        <v>47</v>
      </c>
      <c r="I149" s="412">
        <v>45689</v>
      </c>
      <c r="J149" s="409">
        <v>45716</v>
      </c>
      <c r="K149" s="401">
        <v>401.21</v>
      </c>
      <c r="L149" s="398">
        <f>Tabela13[[#This Row],[VALOR
 BRUTO ]]-Tabela13[[#This Row],[VALOR 
LIQUIDO ]]</f>
        <v>0</v>
      </c>
      <c r="M149" s="399">
        <f>Tabela13[[#This Row],[VALORES PAGOS 
(FORMA PAGTO)]]</f>
        <v>401.21</v>
      </c>
      <c r="N149" s="409">
        <v>45790</v>
      </c>
      <c r="O149" s="414">
        <v>401.21</v>
      </c>
      <c r="P149" s="412">
        <v>45804</v>
      </c>
      <c r="Q149" s="197" t="str" cm="1">
        <f t="array" aca="1" ref="Q149" ca="1">IF($P149&lt;&gt;"","PAGO",IF($N149&lt;TODAY(),"ATRASADO",IF($N149&gt;TODAY(),"NO PRAZO",IF($N149=TODAY(),"NO PRAZO",SE))))</f>
        <v>PAGO</v>
      </c>
      <c r="R149" s="150" t="str">
        <f t="shared" ca="1" si="2"/>
        <v/>
      </c>
      <c r="S149" s="719"/>
      <c r="T149" s="112"/>
      <c r="U149" s="429">
        <f ca="1">SUBTOTAL(3,Tabela13[[#This Row],[STATUS]])</f>
        <v>1</v>
      </c>
    </row>
    <row r="150" spans="1:21" ht="24.95" customHeight="1">
      <c r="A150" s="113">
        <v>45789</v>
      </c>
      <c r="B150" s="105">
        <v>119149</v>
      </c>
      <c r="C150" s="688" t="str">
        <f>IFERROR(VLOOKUP(Tabela13[[#This Row],[CÓD. EMPRESA]],Tabela3[[CÓDIGO
 EMPRESA ]:[EMPRESA]],2,FALSE),"")</f>
        <v>COOPERATIVA DE TRABALHO NOVO BAMBI</v>
      </c>
      <c r="D150" s="112" t="s">
        <v>348</v>
      </c>
      <c r="E150" s="112" t="s">
        <v>501</v>
      </c>
      <c r="F150" s="196">
        <v>4258</v>
      </c>
      <c r="G150" s="411">
        <v>8</v>
      </c>
      <c r="H150" s="165" t="s">
        <v>47</v>
      </c>
      <c r="I150" s="147">
        <v>45689</v>
      </c>
      <c r="J150" s="113">
        <v>45805</v>
      </c>
      <c r="K150" s="401">
        <v>40949.699999999997</v>
      </c>
      <c r="L150" s="398">
        <f>Tabela13[[#This Row],[VALOR
 BRUTO ]]-Tabela13[[#This Row],[VALOR 
LIQUIDO ]]</f>
        <v>2161.69</v>
      </c>
      <c r="M150" s="399">
        <f>Tabela13[[#This Row],[VALORES PAGOS 
(FORMA PAGTO)]]</f>
        <v>38788.01</v>
      </c>
      <c r="N150" s="113">
        <v>45790</v>
      </c>
      <c r="O150" s="570">
        <v>38788.01</v>
      </c>
      <c r="P150" s="147">
        <v>45804</v>
      </c>
      <c r="Q150" s="197" t="str" cm="1">
        <f t="array" aca="1" ref="Q150" ca="1">IF($P150&lt;&gt;"","PAGO",IF($N150&lt;TODAY(),"ATRASADO",IF($N150&gt;TODAY(),"NO PRAZO",IF($N150=TODAY(),"NO PRAZO",SE))))</f>
        <v>PAGO</v>
      </c>
      <c r="R150" s="150" t="str">
        <f t="shared" ca="1" si="2"/>
        <v/>
      </c>
      <c r="S150" s="241"/>
      <c r="T150" s="112"/>
      <c r="U150" s="259">
        <f ca="1">SUBTOTAL(3,Tabela13[[#This Row],[STATUS]])</f>
        <v>1</v>
      </c>
    </row>
    <row r="151" spans="1:21" ht="24.95" customHeight="1">
      <c r="A151" s="113">
        <v>45789</v>
      </c>
      <c r="B151" s="105">
        <v>119149</v>
      </c>
      <c r="C151" s="688" t="str">
        <f>IFERROR(VLOOKUP(Tabela13[[#This Row],[CÓD. EMPRESA]],Tabela3[[CÓDIGO
 EMPRESA ]:[EMPRESA]],2,FALSE),"")</f>
        <v>COOPERATIVA DE TRABALHO NOVO BAMBI</v>
      </c>
      <c r="D151" s="112" t="s">
        <v>348</v>
      </c>
      <c r="E151" s="112" t="s">
        <v>501</v>
      </c>
      <c r="F151" s="196">
        <v>3690</v>
      </c>
      <c r="G151" s="411">
        <v>8</v>
      </c>
      <c r="H151" s="165" t="s">
        <v>47</v>
      </c>
      <c r="I151" s="147">
        <v>45689</v>
      </c>
      <c r="J151" s="113">
        <v>45805</v>
      </c>
      <c r="K151" s="401">
        <v>2284.13</v>
      </c>
      <c r="L151" s="398">
        <f>Tabela13[[#This Row],[VALOR
 BRUTO ]]-Tabela13[[#This Row],[VALOR 
LIQUIDO ]]</f>
        <v>0</v>
      </c>
      <c r="M151" s="399">
        <f>Tabela13[[#This Row],[VALORES PAGOS 
(FORMA PAGTO)]]</f>
        <v>2284.13</v>
      </c>
      <c r="N151" s="113">
        <v>45790</v>
      </c>
      <c r="O151" s="414">
        <v>2284.13</v>
      </c>
      <c r="P151" s="147">
        <v>45804</v>
      </c>
      <c r="Q151" s="197" t="str" cm="1">
        <f t="array" aca="1" ref="Q151" ca="1">IF($P151&lt;&gt;"","PAGO",IF($N151&lt;TODAY(),"ATRASADO",IF($N151&gt;TODAY(),"NO PRAZO",IF($N151=TODAY(),"NO PRAZO",SE))))</f>
        <v>PAGO</v>
      </c>
      <c r="R151" s="150" t="str">
        <f t="shared" ca="1" si="2"/>
        <v/>
      </c>
      <c r="S151" s="241"/>
      <c r="T151" s="112"/>
      <c r="U151" s="259">
        <f ca="1">SUBTOTAL(3,Tabela13[[#This Row],[STATUS]])</f>
        <v>1</v>
      </c>
    </row>
    <row r="152" spans="1:21" ht="24.95" customHeight="1">
      <c r="A152" s="409">
        <v>45789</v>
      </c>
      <c r="B152" s="105">
        <v>119151</v>
      </c>
      <c r="C152" s="688" t="str">
        <f>IFERROR(VLOOKUP(Tabela13[[#This Row],[CÓD. EMPRESA]],Tabela3[[CÓDIGO
 EMPRESA ]:[EMPRESA]],2,FALSE),"")</f>
        <v>COOPERATIVA DE TRABALHO DE CATADORAS E CATADORES DE MATERIAIS RECICLAVEIS NOVA VIDA</v>
      </c>
      <c r="D152" s="112" t="s">
        <v>332</v>
      </c>
      <c r="E152" s="112" t="s">
        <v>497</v>
      </c>
      <c r="F152" s="410">
        <v>3691</v>
      </c>
      <c r="G152" s="411">
        <v>7</v>
      </c>
      <c r="H152" s="165" t="s">
        <v>47</v>
      </c>
      <c r="I152" s="412">
        <v>45689</v>
      </c>
      <c r="J152" s="409">
        <v>45805</v>
      </c>
      <c r="K152" s="401">
        <v>14460.73</v>
      </c>
      <c r="L152" s="398">
        <f>Tabela13[[#This Row],[VALOR
 BRUTO ]]-Tabela13[[#This Row],[VALOR 
LIQUIDO ]]</f>
        <v>723.04</v>
      </c>
      <c r="M152" s="399">
        <f>Tabela13[[#This Row],[VALORES PAGOS 
(FORMA PAGTO)]]</f>
        <v>13737.69</v>
      </c>
      <c r="N152" s="409">
        <v>45790</v>
      </c>
      <c r="O152" s="380">
        <v>13737.69</v>
      </c>
      <c r="P152" s="412">
        <v>45804</v>
      </c>
      <c r="Q152" s="197" t="str" cm="1">
        <f t="array" aca="1" ref="Q152" ca="1">IF($P152&lt;&gt;"","PAGO",IF($N152&lt;TODAY(),"ATRASADO",IF($N152&gt;TODAY(),"NO PRAZO",IF($N152=TODAY(),"NO PRAZO",SE))))</f>
        <v>PAGO</v>
      </c>
      <c r="R152" s="150" t="str">
        <f t="shared" ca="1" si="2"/>
        <v/>
      </c>
      <c r="S152" s="719"/>
      <c r="T152" s="112"/>
      <c r="U152" s="429">
        <f ca="1">SUBTOTAL(3,Tabela13[[#This Row],[STATUS]])</f>
        <v>1</v>
      </c>
    </row>
    <row r="153" spans="1:21" ht="24.95" customHeight="1">
      <c r="A153" s="433">
        <v>45789</v>
      </c>
      <c r="B153" s="105">
        <v>119152</v>
      </c>
      <c r="C153" s="688" t="str">
        <f>IFERROR(VLOOKUP(Tabela13[[#This Row],[CÓD. EMPRESA]],Tabela3[[CÓDIGO
 EMPRESA ]:[EMPRESA]],2,FALSE),"")</f>
        <v>COOPERATIVA DE TRABALHO DE CATADORAS E CATADORES DE MATERIAIS RECICLAVEIS SINERGIA BRASIL</v>
      </c>
      <c r="D153" s="112" t="s">
        <v>346</v>
      </c>
      <c r="E153" s="112" t="s">
        <v>499</v>
      </c>
      <c r="F153" s="434">
        <v>4275</v>
      </c>
      <c r="G153" s="411">
        <v>4</v>
      </c>
      <c r="H153" s="435" t="s">
        <v>47</v>
      </c>
      <c r="I153" s="436">
        <v>45689</v>
      </c>
      <c r="J153" s="433">
        <v>45716</v>
      </c>
      <c r="K153" s="437">
        <v>14232.79</v>
      </c>
      <c r="L153" s="398">
        <f>Tabela13[[#This Row],[VALOR
 BRUTO ]]-Tabela13[[#This Row],[VALOR 
LIQUIDO ]]</f>
        <v>1263.1500000000001</v>
      </c>
      <c r="M153" s="399">
        <f>Tabela13[[#This Row],[VALORES PAGOS 
(FORMA PAGTO)]]</f>
        <v>12969.64</v>
      </c>
      <c r="N153" s="433">
        <v>45790</v>
      </c>
      <c r="O153" s="438">
        <v>12969.64</v>
      </c>
      <c r="P153" s="436">
        <v>45804</v>
      </c>
      <c r="Q153" s="197" t="str" cm="1">
        <f t="array" aca="1" ref="Q153" ca="1">IF($P153&lt;&gt;"","PAGO",IF($N153&lt;TODAY(),"ATRASADO",IF($N153&gt;TODAY(),"NO PRAZO",IF($N153=TODAY(),"NO PRAZO",SE))))</f>
        <v>PAGO</v>
      </c>
      <c r="R153" s="150" t="str">
        <f t="shared" ca="1" si="2"/>
        <v/>
      </c>
      <c r="S153" s="721"/>
      <c r="T153" s="112"/>
      <c r="U153" s="439">
        <f ca="1">SUBTOTAL(3,Tabela13[[#This Row],[STATUS]])</f>
        <v>1</v>
      </c>
    </row>
    <row r="154" spans="1:21" ht="24.95" customHeight="1">
      <c r="A154" s="433">
        <v>45789</v>
      </c>
      <c r="B154" s="105">
        <v>119152</v>
      </c>
      <c r="C154" s="688" t="str">
        <f>IFERROR(VLOOKUP(Tabela13[[#This Row],[CÓD. EMPRESA]],Tabela3[[CÓDIGO
 EMPRESA ]:[EMPRESA]],2,FALSE),"")</f>
        <v>COOPERATIVA DE TRABALHO DE CATADORAS E CATADORES DE MATERIAIS RECICLAVEIS SINERGIA BRASIL</v>
      </c>
      <c r="D154" s="112" t="s">
        <v>346</v>
      </c>
      <c r="E154" s="112" t="s">
        <v>499</v>
      </c>
      <c r="F154" s="434">
        <v>3688</v>
      </c>
      <c r="G154" s="411">
        <v>4</v>
      </c>
      <c r="H154" s="435" t="s">
        <v>47</v>
      </c>
      <c r="I154" s="436">
        <v>45689</v>
      </c>
      <c r="J154" s="433">
        <v>45716</v>
      </c>
      <c r="K154" s="437">
        <v>11030.16</v>
      </c>
      <c r="L154" s="398">
        <f>Tabela13[[#This Row],[VALOR
 BRUTO ]]-Tabela13[[#This Row],[VALOR 
LIQUIDO ]]</f>
        <v>0</v>
      </c>
      <c r="M154" s="399">
        <f>Tabela13[[#This Row],[VALORES PAGOS 
(FORMA PAGTO)]]</f>
        <v>11030.16</v>
      </c>
      <c r="N154" s="433">
        <v>45790</v>
      </c>
      <c r="O154" s="438">
        <f>Tabela13[[#This Row],[VALOR
 BRUTO ]]</f>
        <v>11030.16</v>
      </c>
      <c r="P154" s="436">
        <v>45804</v>
      </c>
      <c r="Q154" s="197" t="str" cm="1">
        <f t="array" aca="1" ref="Q154" ca="1">IF($P154&lt;&gt;"","PAGO",IF($N154&lt;TODAY(),"ATRASADO",IF($N154&gt;TODAY(),"NO PRAZO",IF($N154=TODAY(),"NO PRAZO",SE))))</f>
        <v>PAGO</v>
      </c>
      <c r="R154" s="150" t="str">
        <f t="shared" ca="1" si="2"/>
        <v/>
      </c>
      <c r="S154" s="721"/>
      <c r="T154" s="112"/>
      <c r="U154" s="439">
        <f ca="1">SUBTOTAL(3,Tabela13[[#This Row],[STATUS]])</f>
        <v>1</v>
      </c>
    </row>
    <row r="155" spans="1:21" ht="24.95" customHeight="1">
      <c r="A155" s="409">
        <v>45791</v>
      </c>
      <c r="B155" s="105">
        <v>76116</v>
      </c>
      <c r="C155" s="688" t="str">
        <f>IFERROR(VLOOKUP(Tabela13[[#This Row],[CÓD. EMPRESA]],Tabela3[[CÓDIGO
 EMPRESA ]:[EMPRESA]],2,FALSE),"")</f>
        <v>ALVORADA SISTEMA AMBIENTAL EIRELI</v>
      </c>
      <c r="D155" s="112" t="s">
        <v>502</v>
      </c>
      <c r="E155" s="112" t="s">
        <v>460</v>
      </c>
      <c r="F155" s="410">
        <v>3256</v>
      </c>
      <c r="G155" s="411">
        <v>13754</v>
      </c>
      <c r="H155" s="165" t="s">
        <v>47</v>
      </c>
      <c r="I155" s="412">
        <v>45689</v>
      </c>
      <c r="J155" s="409">
        <v>45777</v>
      </c>
      <c r="K155" s="413">
        <v>200971</v>
      </c>
      <c r="L155" s="398">
        <f>Tabela13[[#This Row],[VALOR
 BRUTO ]]-Tabela13[[#This Row],[VALOR 
LIQUIDO ]]</f>
        <v>29994.39</v>
      </c>
      <c r="M155" s="399">
        <f>Tabela13[[#This Row],[VALORES PAGOS 
(FORMA PAGTO)]]</f>
        <v>170976.61</v>
      </c>
      <c r="N155" s="409">
        <v>45820</v>
      </c>
      <c r="O155" s="414">
        <v>170976.61</v>
      </c>
      <c r="P155" s="412">
        <v>45831</v>
      </c>
      <c r="Q155" s="197" t="str" cm="1">
        <f t="array" aca="1" ref="Q155" ca="1">IF($P155&lt;&gt;"","PAGO",IF($N155&lt;TODAY(),"ATRASADO",IF($N155&gt;TODAY(),"NO PRAZO",IF($N155=TODAY(),"NO PRAZO",SE))))</f>
        <v>PAGO</v>
      </c>
      <c r="R155" s="150" t="str">
        <f t="shared" ca="1" si="2"/>
        <v/>
      </c>
      <c r="S155" s="719"/>
      <c r="T155" s="112"/>
      <c r="U155" s="429">
        <f ca="1">SUBTOTAL(3,Tabela13[[#This Row],[STATUS]])</f>
        <v>1</v>
      </c>
    </row>
    <row r="156" spans="1:21" ht="24.95" customHeight="1">
      <c r="A156" s="409">
        <v>45791</v>
      </c>
      <c r="B156" s="105">
        <v>76116</v>
      </c>
      <c r="C156" s="688" t="str">
        <f>IFERROR(VLOOKUP(Tabela13[[#This Row],[CÓD. EMPRESA]],Tabela3[[CÓDIGO
 EMPRESA ]:[EMPRESA]],2,FALSE),"")</f>
        <v>ALVORADA SISTEMA AMBIENTAL EIRELI</v>
      </c>
      <c r="D156" s="112" t="s">
        <v>502</v>
      </c>
      <c r="E156" s="112" t="s">
        <v>460</v>
      </c>
      <c r="F156" s="410">
        <v>4190</v>
      </c>
      <c r="G156" s="411">
        <v>13754</v>
      </c>
      <c r="H156" s="165" t="s">
        <v>47</v>
      </c>
      <c r="I156" s="412">
        <v>45748</v>
      </c>
      <c r="J156" s="409">
        <v>45777</v>
      </c>
      <c r="K156" s="413">
        <v>105094.16</v>
      </c>
      <c r="L156" s="398">
        <f>Tabela13[[#This Row],[VALOR
 BRUTO ]]-Tabela13[[#This Row],[VALOR 
LIQUIDO ]]</f>
        <v>0</v>
      </c>
      <c r="M156" s="399">
        <f>Tabela13[[#This Row],[VALORES PAGOS 
(FORMA PAGTO)]]</f>
        <v>105094.16</v>
      </c>
      <c r="N156" s="409">
        <v>45820</v>
      </c>
      <c r="O156" s="414">
        <v>105094.16</v>
      </c>
      <c r="P156" s="412">
        <v>45831</v>
      </c>
      <c r="Q156" s="197" t="str" cm="1">
        <f t="array" aca="1" ref="Q156" ca="1">IF($P156&lt;&gt;"","PAGO",IF($N156&lt;TODAY(),"ATRASADO",IF($N156&gt;TODAY(),"NO PRAZO",IF($N156=TODAY(),"NO PRAZO",SE))))</f>
        <v>PAGO</v>
      </c>
      <c r="R156" s="150" t="str">
        <f t="shared" ca="1" si="2"/>
        <v/>
      </c>
      <c r="S156" s="719"/>
      <c r="T156" s="112"/>
      <c r="U156" s="429">
        <f ca="1">SUBTOTAL(3,Tabela13[[#This Row],[STATUS]])</f>
        <v>1</v>
      </c>
    </row>
    <row r="157" spans="1:21" ht="24.95" customHeight="1">
      <c r="A157" s="409">
        <v>45792</v>
      </c>
      <c r="B157" s="105">
        <v>118432</v>
      </c>
      <c r="C157" s="688" t="str">
        <f>IFERROR(VLOOKUP(Tabela13[[#This Row],[CÓD. EMPRESA]],Tabela3[[CÓDIGO
 EMPRESA ]:[EMPRESA]],2,FALSE),"")</f>
        <v>DANIELLI &amp; JEISON DISTRIBUIDORA DE MATERIAIS PARA CONSTRUCAO LTDA</v>
      </c>
      <c r="D157" s="112" t="s">
        <v>661</v>
      </c>
      <c r="E157" s="112" t="s">
        <v>503</v>
      </c>
      <c r="F157" s="410">
        <v>9466</v>
      </c>
      <c r="G157" s="411">
        <v>83829</v>
      </c>
      <c r="H157" s="165" t="s">
        <v>47</v>
      </c>
      <c r="I157" s="412"/>
      <c r="J157" s="409"/>
      <c r="K157" s="413">
        <v>5500</v>
      </c>
      <c r="L157" s="398">
        <f>Tabela13[[#This Row],[VALOR
 BRUTO ]]-Tabela13[[#This Row],[VALOR 
LIQUIDO ]]</f>
        <v>66</v>
      </c>
      <c r="M157" s="399">
        <f>Tabela13[[#This Row],[VALORES PAGOS 
(FORMA PAGTO)]]</f>
        <v>5434</v>
      </c>
      <c r="N157" s="409">
        <v>45804</v>
      </c>
      <c r="O157" s="414">
        <v>5434</v>
      </c>
      <c r="P157" s="412">
        <v>45807</v>
      </c>
      <c r="Q157" s="197" t="str" cm="1">
        <f t="array" aca="1" ref="Q157" ca="1">IF($P157&lt;&gt;"","PAGO",IF($N157&lt;TODAY(),"ATRASADO",IF($N157&gt;TODAY(),"NO PRAZO",IF($N157=TODAY(),"NO PRAZO",SE))))</f>
        <v>PAGO</v>
      </c>
      <c r="R157" s="150" t="str">
        <f t="shared" ca="1" si="2"/>
        <v/>
      </c>
      <c r="S157" s="719"/>
      <c r="T157" s="112"/>
      <c r="U157" s="429">
        <f ca="1">SUBTOTAL(3,Tabela13[[#This Row],[STATUS]])</f>
        <v>1</v>
      </c>
    </row>
    <row r="158" spans="1:21" ht="24.95" customHeight="1">
      <c r="A158" s="409">
        <v>45792</v>
      </c>
      <c r="B158" s="105">
        <v>69169</v>
      </c>
      <c r="C158" s="688" t="str">
        <f>IFERROR(VLOOKUP(Tabela13[[#This Row],[CÓD. EMPRESA]],Tabela3[[CÓDIGO
 EMPRESA ]:[EMPRESA]],2,FALSE),"")</f>
        <v>CECM PÂES LTDA</v>
      </c>
      <c r="D158" s="112" t="s">
        <v>429</v>
      </c>
      <c r="E158" s="112" t="s">
        <v>450</v>
      </c>
      <c r="F158" s="410">
        <v>3881</v>
      </c>
      <c r="G158" s="411">
        <v>19219</v>
      </c>
      <c r="H158" s="165" t="s">
        <v>47</v>
      </c>
      <c r="I158" s="412"/>
      <c r="J158" s="409"/>
      <c r="K158" s="413">
        <v>7235.1</v>
      </c>
      <c r="L158" s="398">
        <f>Tabela13[[#This Row],[VALOR
 BRUTO ]]-Tabela13[[#This Row],[VALOR 
LIQUIDO ]]</f>
        <v>0</v>
      </c>
      <c r="M158" s="399">
        <f>Tabela13[[#This Row],[VALORES PAGOS 
(FORMA PAGTO)]]</f>
        <v>7235.1</v>
      </c>
      <c r="N158" s="409">
        <v>45821</v>
      </c>
      <c r="O158" s="414">
        <v>7235.1</v>
      </c>
      <c r="P158" s="412">
        <v>45831</v>
      </c>
      <c r="Q158" s="197" t="str" cm="1">
        <f t="array" aca="1" ref="Q158" ca="1">IF($P158&lt;&gt;"","PAGO",IF($N158&lt;TODAY(),"ATRASADO",IF($N158&gt;TODAY(),"NO PRAZO",IF($N158=TODAY(),"NO PRAZO",SE))))</f>
        <v>PAGO</v>
      </c>
      <c r="R158" s="150" t="str">
        <f t="shared" ca="1" si="2"/>
        <v/>
      </c>
      <c r="S158" s="719"/>
      <c r="T158" s="112"/>
      <c r="U158" s="429">
        <f ca="1">SUBTOTAL(3,Tabela13[[#This Row],[STATUS]])</f>
        <v>1</v>
      </c>
    </row>
    <row r="159" spans="1:21" ht="24.95" customHeight="1">
      <c r="A159" s="409">
        <v>45792</v>
      </c>
      <c r="B159" s="105">
        <v>103747</v>
      </c>
      <c r="C159" s="688" t="str">
        <f>IFERROR(VLOOKUP(Tabela13[[#This Row],[CÓD. EMPRESA]],Tabela3[[CÓDIGO
 EMPRESA ]:[EMPRESA]],2,FALSE),"")</f>
        <v>CDR PEDREIRA CENTRO DE DISPOSIÇÃO DE RESÍDUOS LTDA</v>
      </c>
      <c r="D159" s="112" t="s">
        <v>334</v>
      </c>
      <c r="E159" s="112" t="s">
        <v>431</v>
      </c>
      <c r="F159" s="410">
        <v>9363</v>
      </c>
      <c r="G159" s="411">
        <v>3382</v>
      </c>
      <c r="H159" s="165" t="s">
        <v>48</v>
      </c>
      <c r="I159" s="412">
        <v>45748</v>
      </c>
      <c r="J159" s="409">
        <v>45777</v>
      </c>
      <c r="K159" s="413">
        <v>598285.30000000005</v>
      </c>
      <c r="L159" s="398">
        <f>Tabela13[[#This Row],[VALOR
 BRUTO ]]-Tabela13[[#This Row],[VALOR 
LIQUIDO ]]</f>
        <v>0</v>
      </c>
      <c r="M159" s="399">
        <f>Tabela13[[#This Row],[VALORES PAGOS 
(FORMA PAGTO)]]</f>
        <v>598285.30000000005</v>
      </c>
      <c r="N159" s="409">
        <v>45822</v>
      </c>
      <c r="O159" s="414">
        <v>598285.30000000005</v>
      </c>
      <c r="P159" s="412">
        <v>45824</v>
      </c>
      <c r="Q159" s="197" t="str" cm="1">
        <f t="array" aca="1" ref="Q159" ca="1">IF($P159&lt;&gt;"","PAGO",IF($N159&lt;TODAY(),"ATRASADO",IF($N159&gt;TODAY(),"NO PRAZO",IF($N159=TODAY(),"NO PRAZO",SE))))</f>
        <v>PAGO</v>
      </c>
      <c r="R159" s="150" t="str">
        <f t="shared" ca="1" si="2"/>
        <v/>
      </c>
      <c r="S159" s="719"/>
      <c r="T159" s="112"/>
      <c r="U159" s="429">
        <f ca="1">SUBTOTAL(3,Tabela13[[#This Row],[STATUS]])</f>
        <v>1</v>
      </c>
    </row>
    <row r="160" spans="1:21" ht="24.95" customHeight="1">
      <c r="A160" s="409">
        <v>45792</v>
      </c>
      <c r="B160" s="105">
        <v>103747</v>
      </c>
      <c r="C160" s="688" t="str">
        <f>IFERROR(VLOOKUP(Tabela13[[#This Row],[CÓD. EMPRESA]],Tabela3[[CÓDIGO
 EMPRESA ]:[EMPRESA]],2,FALSE),"")</f>
        <v>CDR PEDREIRA CENTRO DE DISPOSIÇÃO DE RESÍDUOS LTDA</v>
      </c>
      <c r="D160" s="112" t="s">
        <v>334</v>
      </c>
      <c r="E160" s="112" t="s">
        <v>431</v>
      </c>
      <c r="F160" s="410">
        <v>4182</v>
      </c>
      <c r="G160" s="411">
        <v>3382</v>
      </c>
      <c r="H160" s="165" t="s">
        <v>48</v>
      </c>
      <c r="I160" s="412">
        <v>45748</v>
      </c>
      <c r="J160" s="409">
        <v>45777</v>
      </c>
      <c r="K160" s="413">
        <v>3190102.6</v>
      </c>
      <c r="L160" s="398">
        <f>Tabela13[[#This Row],[VALOR
 BRUTO ]]-Tabela13[[#This Row],[VALOR 
LIQUIDO ]]</f>
        <v>371262.02</v>
      </c>
      <c r="M160" s="399">
        <f>Tabela13[[#This Row],[VALORES PAGOS 
(FORMA PAGTO)]]</f>
        <v>2818840.58</v>
      </c>
      <c r="N160" s="409">
        <v>45822</v>
      </c>
      <c r="O160" s="414">
        <v>2818840.58</v>
      </c>
      <c r="P160" s="412">
        <v>45824</v>
      </c>
      <c r="Q160" s="197" t="str" cm="1">
        <f t="array" aca="1" ref="Q160" ca="1">IF($P160&lt;&gt;"","PAGO",IF($N160&lt;TODAY(),"ATRASADO",IF($N160&gt;TODAY(),"NO PRAZO",IF($N160=TODAY(),"NO PRAZO",SE))))</f>
        <v>PAGO</v>
      </c>
      <c r="R160" s="150" t="str">
        <f t="shared" ca="1" si="2"/>
        <v/>
      </c>
      <c r="S160" s="719"/>
      <c r="T160" s="112"/>
      <c r="U160" s="429">
        <f ca="1">SUBTOTAL(3,Tabela13[[#This Row],[STATUS]])</f>
        <v>1</v>
      </c>
    </row>
    <row r="161" spans="1:21" ht="24.95" customHeight="1">
      <c r="A161" s="409">
        <v>45798</v>
      </c>
      <c r="B161" s="105">
        <v>119073</v>
      </c>
      <c r="C161" s="688" t="str">
        <f>IFERROR(VLOOKUP(Tabela13[[#This Row],[CÓD. EMPRESA]],Tabela3[[CÓDIGO
 EMPRESA ]:[EMPRESA]],2,FALSE),"")</f>
        <v>AIR PLANET GASES LTDA</v>
      </c>
      <c r="D161" s="112" t="s">
        <v>511</v>
      </c>
      <c r="E161" s="112" t="s">
        <v>419</v>
      </c>
      <c r="F161" s="410">
        <v>11419</v>
      </c>
      <c r="G161" s="411">
        <v>10851</v>
      </c>
      <c r="H161" s="165" t="s">
        <v>47</v>
      </c>
      <c r="I161" s="412"/>
      <c r="J161" s="409"/>
      <c r="K161" s="413">
        <v>4290</v>
      </c>
      <c r="L161" s="398">
        <f>Tabela13[[#This Row],[VALOR
 BRUTO ]]-Tabela13[[#This Row],[VALOR 
LIQUIDO ]]</f>
        <v>0</v>
      </c>
      <c r="M161" s="399">
        <f>Tabela13[[#This Row],[VALORES PAGOS 
(FORMA PAGTO)]]</f>
        <v>4290</v>
      </c>
      <c r="N161" s="409">
        <v>45799</v>
      </c>
      <c r="O161" s="414">
        <v>4290</v>
      </c>
      <c r="P161" s="412">
        <v>45807</v>
      </c>
      <c r="Q161" s="197" t="str" cm="1">
        <f t="array" aca="1" ref="Q161" ca="1">IF($P161&lt;&gt;"","PAGO",IF($N161&lt;TODAY(),"ATRASADO",IF($N161&gt;TODAY(),"NO PRAZO",IF($N161=TODAY(),"NO PRAZO",SE))))</f>
        <v>PAGO</v>
      </c>
      <c r="R161" s="150" t="str">
        <f t="shared" ca="1" si="2"/>
        <v/>
      </c>
      <c r="S161" s="719"/>
      <c r="T161" s="112"/>
      <c r="U161" s="429">
        <f ca="1">SUBTOTAL(3,Tabela13[[#This Row],[STATUS]])</f>
        <v>1</v>
      </c>
    </row>
    <row r="162" spans="1:21" ht="24.95" customHeight="1">
      <c r="A162" s="409">
        <v>45798</v>
      </c>
      <c r="B162" s="105">
        <v>68004</v>
      </c>
      <c r="C162" s="688" t="str">
        <f>IFERROR(VLOOKUP(Tabela13[[#This Row],[CÓD. EMPRESA]],Tabela3[[CÓDIGO
 EMPRESA ]:[EMPRESA]],2,FALSE),"")</f>
        <v>VB AMBIENTAL CONSULTORIA E PROJETOS LTDA-ME</v>
      </c>
      <c r="D162" s="112" t="s">
        <v>349</v>
      </c>
      <c r="E162" s="112" t="s">
        <v>489</v>
      </c>
      <c r="F162" s="410">
        <v>11422</v>
      </c>
      <c r="G162" s="411">
        <v>1841</v>
      </c>
      <c r="H162" s="431" t="s">
        <v>47</v>
      </c>
      <c r="I162" s="412">
        <v>45627</v>
      </c>
      <c r="J162" s="409">
        <v>45657</v>
      </c>
      <c r="K162" s="413">
        <v>5430.18</v>
      </c>
      <c r="L162" s="398">
        <f>Tabela13[[#This Row],[VALOR
 BRUTO ]]-Tabela13[[#This Row],[VALOR 
LIQUIDO ]]</f>
        <v>695.06</v>
      </c>
      <c r="M162" s="399">
        <f>Tabela13[[#This Row],[VALORES PAGOS 
(FORMA PAGTO)]]</f>
        <v>4735.12</v>
      </c>
      <c r="N162" s="409">
        <v>45799</v>
      </c>
      <c r="O162" s="414">
        <v>4735.12</v>
      </c>
      <c r="P162" s="412">
        <v>45807</v>
      </c>
      <c r="Q162" s="197" t="str" cm="1">
        <f t="array" aca="1" ref="Q162" ca="1">IF($P162&lt;&gt;"","PAGO",IF($N162&lt;TODAY(),"ATRASADO",IF($N162&gt;TODAY(),"NO PRAZO",IF($N162=TODAY(),"NO PRAZO",SE))))</f>
        <v>PAGO</v>
      </c>
      <c r="R162" s="150" t="str">
        <f t="shared" ca="1" si="2"/>
        <v/>
      </c>
      <c r="S162" s="719"/>
      <c r="T162" s="112"/>
      <c r="U162" s="429">
        <f ca="1">SUBTOTAL(3,Tabela13[[#This Row],[STATUS]])</f>
        <v>1</v>
      </c>
    </row>
    <row r="163" spans="1:21" ht="24.95" customHeight="1">
      <c r="A163" s="409">
        <v>45798</v>
      </c>
      <c r="B163" s="105">
        <v>68004</v>
      </c>
      <c r="C163" s="688" t="str">
        <f>IFERROR(VLOOKUP(Tabela13[[#This Row],[CÓD. EMPRESA]],Tabela3[[CÓDIGO
 EMPRESA ]:[EMPRESA]],2,FALSE),"")</f>
        <v>VB AMBIENTAL CONSULTORIA E PROJETOS LTDA-ME</v>
      </c>
      <c r="D163" s="112" t="s">
        <v>349</v>
      </c>
      <c r="E163" s="112" t="s">
        <v>489</v>
      </c>
      <c r="F163" s="410">
        <v>11423</v>
      </c>
      <c r="G163" s="411">
        <v>1790</v>
      </c>
      <c r="H163" s="431" t="s">
        <v>47</v>
      </c>
      <c r="I163" s="412">
        <v>45597</v>
      </c>
      <c r="J163" s="409">
        <v>45626</v>
      </c>
      <c r="K163" s="413">
        <v>5430.18</v>
      </c>
      <c r="L163" s="398">
        <f>Tabela13[[#This Row],[VALOR
 BRUTO ]]-Tabela13[[#This Row],[VALOR 
LIQUIDO ]]</f>
        <v>695.06</v>
      </c>
      <c r="M163" s="399">
        <f>Tabela13[[#This Row],[VALORES PAGOS 
(FORMA PAGTO)]]</f>
        <v>4735.12</v>
      </c>
      <c r="N163" s="409">
        <v>45799</v>
      </c>
      <c r="O163" s="414">
        <v>4735.12</v>
      </c>
      <c r="P163" s="412">
        <v>45807</v>
      </c>
      <c r="Q163" s="197" t="str" cm="1">
        <f t="array" aca="1" ref="Q163" ca="1">IF($P163&lt;&gt;"","PAGO",IF($N163&lt;TODAY(),"ATRASADO",IF($N163&gt;TODAY(),"NO PRAZO",IF($N163=TODAY(),"NO PRAZO",SE))))</f>
        <v>PAGO</v>
      </c>
      <c r="R163" s="150" t="str">
        <f t="shared" ca="1" si="2"/>
        <v/>
      </c>
      <c r="S163" s="719"/>
      <c r="T163" s="112"/>
      <c r="U163" s="429">
        <f ca="1">SUBTOTAL(3,Tabela13[[#This Row],[STATUS]])</f>
        <v>1</v>
      </c>
    </row>
    <row r="164" spans="1:21" ht="24.95" customHeight="1">
      <c r="A164" s="409">
        <v>45798</v>
      </c>
      <c r="B164" s="105">
        <v>68004</v>
      </c>
      <c r="C164" s="688" t="str">
        <f>IFERROR(VLOOKUP(Tabela13[[#This Row],[CÓD. EMPRESA]],Tabela3[[CÓDIGO
 EMPRESA ]:[EMPRESA]],2,FALSE),"")</f>
        <v>VB AMBIENTAL CONSULTORIA E PROJETOS LTDA-ME</v>
      </c>
      <c r="D164" s="112" t="s">
        <v>349</v>
      </c>
      <c r="E164" s="112" t="s">
        <v>489</v>
      </c>
      <c r="F164" s="410">
        <v>11426</v>
      </c>
      <c r="G164" s="411">
        <v>1791</v>
      </c>
      <c r="H164" s="165" t="s">
        <v>47</v>
      </c>
      <c r="I164" s="412">
        <v>45597</v>
      </c>
      <c r="J164" s="409">
        <v>45626</v>
      </c>
      <c r="K164" s="413">
        <v>10860.25</v>
      </c>
      <c r="L164" s="398">
        <f>Tabela13[[#This Row],[VALOR
 BRUTO ]]-Tabela13[[#This Row],[VALOR 
LIQUIDO ]]</f>
        <v>1390.11</v>
      </c>
      <c r="M164" s="399">
        <f>Tabela13[[#This Row],[VALORES PAGOS 
(FORMA PAGTO)]]</f>
        <v>9470.14</v>
      </c>
      <c r="N164" s="409">
        <v>45799</v>
      </c>
      <c r="O164" s="414">
        <v>9470.14</v>
      </c>
      <c r="P164" s="412">
        <v>45807</v>
      </c>
      <c r="Q164" s="197" t="str" cm="1">
        <f t="array" aca="1" ref="Q164" ca="1">IF($P164&lt;&gt;"","PAGO",IF($N164&lt;TODAY(),"ATRASADO",IF($N164&gt;TODAY(),"NO PRAZO",IF($N164=TODAY(),"NO PRAZO",SE))))</f>
        <v>PAGO</v>
      </c>
      <c r="R164" s="150" t="str">
        <f t="shared" ca="1" si="2"/>
        <v/>
      </c>
      <c r="S164" s="719"/>
      <c r="T164" s="112"/>
      <c r="U164" s="429">
        <f ca="1">SUBTOTAL(3,Tabela13[[#This Row],[STATUS]])</f>
        <v>1</v>
      </c>
    </row>
    <row r="165" spans="1:21" ht="24.95" customHeight="1">
      <c r="A165" s="409">
        <v>45798</v>
      </c>
      <c r="B165" s="105">
        <v>117936</v>
      </c>
      <c r="C165" s="688" t="str">
        <f>IFERROR(VLOOKUP(Tabela13[[#This Row],[CÓD. EMPRESA]],Tabela3[[CÓDIGO
 EMPRESA ]:[EMPRESA]],2,FALSE),"")</f>
        <v>LOPES SAAB ENGENHARIA LTDA</v>
      </c>
      <c r="D165" s="112" t="s">
        <v>449</v>
      </c>
      <c r="E165" s="112" t="s">
        <v>631</v>
      </c>
      <c r="F165" s="410">
        <v>11420</v>
      </c>
      <c r="G165" s="411">
        <v>138</v>
      </c>
      <c r="H165" s="431" t="s">
        <v>47</v>
      </c>
      <c r="I165" s="412">
        <v>45627</v>
      </c>
      <c r="J165" s="409">
        <v>45657</v>
      </c>
      <c r="K165" s="413">
        <v>18500</v>
      </c>
      <c r="L165" s="398">
        <f>Tabela13[[#This Row],[VALOR
 BRUTO ]]-Tabela13[[#This Row],[VALOR 
LIQUIDO ]]</f>
        <v>0</v>
      </c>
      <c r="M165" s="399">
        <f>Tabela13[[#This Row],[VALORES PAGOS 
(FORMA PAGTO)]]</f>
        <v>18500</v>
      </c>
      <c r="N165" s="409">
        <v>45799</v>
      </c>
      <c r="O165" s="414">
        <v>18500</v>
      </c>
      <c r="P165" s="412">
        <v>45814</v>
      </c>
      <c r="Q165" s="197" t="str" cm="1">
        <f t="array" aca="1" ref="Q165" ca="1">IF($P165&lt;&gt;"","PAGO",IF($N165&lt;TODAY(),"ATRASADO",IF($N165&gt;TODAY(),"NO PRAZO",IF($N165=TODAY(),"NO PRAZO",SE))))</f>
        <v>PAGO</v>
      </c>
      <c r="R165" s="150" t="str">
        <f t="shared" ca="1" si="2"/>
        <v/>
      </c>
      <c r="S165" s="719"/>
      <c r="T165" s="112"/>
      <c r="U165" s="429">
        <f ca="1">SUBTOTAL(3,Tabela13[[#This Row],[STATUS]])</f>
        <v>1</v>
      </c>
    </row>
    <row r="166" spans="1:21" ht="24.95" customHeight="1">
      <c r="A166" s="113">
        <v>45798</v>
      </c>
      <c r="B166" s="105">
        <v>48442</v>
      </c>
      <c r="C166" s="688" t="str">
        <f>IFERROR(VLOOKUP(Tabela13[[#This Row],[CÓD. EMPRESA]],Tabela3[[CÓDIGO
 EMPRESA ]:[EMPRESA]],2,FALSE),"")</f>
        <v>SANTA INÊS EQUIPAMENTOS CONTRA INCENDIO LTDA</v>
      </c>
      <c r="D166" s="112" t="s">
        <v>513</v>
      </c>
      <c r="E166" s="112" t="s">
        <v>419</v>
      </c>
      <c r="F166" s="196">
        <v>11430</v>
      </c>
      <c r="G166" s="411">
        <v>20608</v>
      </c>
      <c r="H166" s="165" t="s">
        <v>47</v>
      </c>
      <c r="I166" s="147"/>
      <c r="J166" s="113"/>
      <c r="K166" s="401">
        <v>5163.4799999999996</v>
      </c>
      <c r="L166" s="398">
        <f>Tabela13[[#This Row],[VALOR
 BRUTO ]]-Tabela13[[#This Row],[VALOR 
LIQUIDO ]]</f>
        <v>0</v>
      </c>
      <c r="M166" s="399">
        <f>Tabela13[[#This Row],[VALORES PAGOS 
(FORMA PAGTO)]]</f>
        <v>5163.4799999999996</v>
      </c>
      <c r="N166" s="113">
        <v>45799</v>
      </c>
      <c r="O166" s="385">
        <v>5163.4799999999996</v>
      </c>
      <c r="P166" s="147">
        <v>45814</v>
      </c>
      <c r="Q166" s="197" t="str" cm="1">
        <f t="array" aca="1" ref="Q166" ca="1">IF($P166&lt;&gt;"","PAGO",IF($N166&lt;TODAY(),"ATRASADO",IF($N166&gt;TODAY(),"NO PRAZO",IF($N166=TODAY(),"NO PRAZO",SE))))</f>
        <v>PAGO</v>
      </c>
      <c r="R166" s="150" t="str">
        <f t="shared" ca="1" si="2"/>
        <v/>
      </c>
      <c r="S166" s="241"/>
      <c r="T166" s="112"/>
      <c r="U166" s="259">
        <f ca="1">SUBTOTAL(3,Tabela13[[#This Row],[STATUS]])</f>
        <v>1</v>
      </c>
    </row>
    <row r="167" spans="1:21" ht="24.95" customHeight="1">
      <c r="A167" s="113">
        <v>45798</v>
      </c>
      <c r="B167" s="105">
        <v>48442</v>
      </c>
      <c r="C167" s="688" t="str">
        <f>IFERROR(VLOOKUP(Tabela13[[#This Row],[CÓD. EMPRESA]],Tabela3[[CÓDIGO
 EMPRESA ]:[EMPRESA]],2,FALSE),"")</f>
        <v>SANTA INÊS EQUIPAMENTOS CONTRA INCENDIO LTDA</v>
      </c>
      <c r="D167" s="112" t="s">
        <v>513</v>
      </c>
      <c r="E167" s="112" t="s">
        <v>419</v>
      </c>
      <c r="F167" s="196">
        <v>11430</v>
      </c>
      <c r="G167" s="411">
        <v>20635</v>
      </c>
      <c r="H167" s="165" t="s">
        <v>47</v>
      </c>
      <c r="I167" s="147"/>
      <c r="J167" s="113"/>
      <c r="K167" s="401">
        <v>5650.53</v>
      </c>
      <c r="L167" s="398">
        <f>Tabela13[[#This Row],[VALOR
 BRUTO ]]-Tabela13[[#This Row],[VALOR 
LIQUIDO ]]</f>
        <v>0</v>
      </c>
      <c r="M167" s="399">
        <f>Tabela13[[#This Row],[VALORES PAGOS 
(FORMA PAGTO)]]</f>
        <v>5650.53</v>
      </c>
      <c r="N167" s="113">
        <v>45799</v>
      </c>
      <c r="O167" s="385">
        <v>5650.53</v>
      </c>
      <c r="P167" s="147">
        <v>45814</v>
      </c>
      <c r="Q167" s="197" t="str" cm="1">
        <f t="array" aca="1" ref="Q167" ca="1">IF($P167&lt;&gt;"","PAGO",IF($N167&lt;TODAY(),"ATRASADO",IF($N167&gt;TODAY(),"NO PRAZO",IF($N167=TODAY(),"NO PRAZO",SE))))</f>
        <v>PAGO</v>
      </c>
      <c r="R167" s="150" t="str">
        <f t="shared" ca="1" si="2"/>
        <v/>
      </c>
      <c r="S167" s="241"/>
      <c r="T167" s="112"/>
      <c r="U167" s="259">
        <f ca="1">SUBTOTAL(3,Tabela13[[#This Row],[STATUS]])</f>
        <v>1</v>
      </c>
    </row>
    <row r="168" spans="1:21" ht="24.95" customHeight="1">
      <c r="A168" s="464">
        <v>45798</v>
      </c>
      <c r="B168" s="105">
        <v>48442</v>
      </c>
      <c r="C168" s="688" t="str">
        <f>IFERROR(VLOOKUP(Tabela13[[#This Row],[CÓD. EMPRESA]],Tabela3[[CÓDIGO
 EMPRESA ]:[EMPRESA]],2,FALSE),"")</f>
        <v>SANTA INÊS EQUIPAMENTOS CONTRA INCENDIO LTDA</v>
      </c>
      <c r="D168" s="112" t="s">
        <v>513</v>
      </c>
      <c r="E168" s="112" t="s">
        <v>419</v>
      </c>
      <c r="F168" s="466">
        <v>11429</v>
      </c>
      <c r="G168" s="411">
        <v>12437</v>
      </c>
      <c r="H168" s="467" t="s">
        <v>47</v>
      </c>
      <c r="I168" s="468"/>
      <c r="J168" s="464"/>
      <c r="K168" s="469">
        <v>1805</v>
      </c>
      <c r="L168" s="398">
        <f>Tabela13[[#This Row],[VALOR
 BRUTO ]]-Tabela13[[#This Row],[VALOR 
LIQUIDO ]]</f>
        <v>90.25</v>
      </c>
      <c r="M168" s="399">
        <f>Tabela13[[#This Row],[VALORES PAGOS 
(FORMA PAGTO)]]</f>
        <v>1714.75</v>
      </c>
      <c r="N168" s="464">
        <v>45799</v>
      </c>
      <c r="O168" s="470">
        <v>1714.75</v>
      </c>
      <c r="P168" s="468">
        <v>45814</v>
      </c>
      <c r="Q168" s="197" t="str" cm="1">
        <f t="array" aca="1" ref="Q168" ca="1">IF($P168&lt;&gt;"","PAGO",IF($N168&lt;TODAY(),"ATRASADO",IF($N168&gt;TODAY(),"NO PRAZO",IF($N168=TODAY(),"NO PRAZO",SE))))</f>
        <v>PAGO</v>
      </c>
      <c r="R168" s="150" t="str">
        <f t="shared" ca="1" si="2"/>
        <v/>
      </c>
      <c r="S168" s="724"/>
      <c r="T168" s="465"/>
      <c r="U168" s="471">
        <f ca="1">SUBTOTAL(3,Tabela13[[#This Row],[STATUS]])</f>
        <v>1</v>
      </c>
    </row>
    <row r="169" spans="1:21" ht="24.95" customHeight="1">
      <c r="A169" s="113">
        <v>45798</v>
      </c>
      <c r="B169" s="105">
        <v>48442</v>
      </c>
      <c r="C169" s="688" t="str">
        <f>IFERROR(VLOOKUP(Tabela13[[#This Row],[CÓD. EMPRESA]],Tabela3[[CÓDIGO
 EMPRESA ]:[EMPRESA]],2,FALSE),"")</f>
        <v>SANTA INÊS EQUIPAMENTOS CONTRA INCENDIO LTDA</v>
      </c>
      <c r="D169" s="112" t="s">
        <v>513</v>
      </c>
      <c r="E169" s="112" t="s">
        <v>419</v>
      </c>
      <c r="F169" s="196">
        <v>11429</v>
      </c>
      <c r="G169" s="411">
        <v>12423</v>
      </c>
      <c r="H169" s="165" t="s">
        <v>47</v>
      </c>
      <c r="I169" s="147"/>
      <c r="J169" s="113"/>
      <c r="K169" s="401">
        <v>880</v>
      </c>
      <c r="L169" s="398">
        <f>Tabela13[[#This Row],[VALOR
 BRUTO ]]-Tabela13[[#This Row],[VALOR 
LIQUIDO ]]</f>
        <v>44</v>
      </c>
      <c r="M169" s="399">
        <f>Tabela13[[#This Row],[VALORES PAGOS 
(FORMA PAGTO)]]</f>
        <v>836</v>
      </c>
      <c r="N169" s="113">
        <v>45799</v>
      </c>
      <c r="O169" s="385">
        <v>836</v>
      </c>
      <c r="P169" s="147">
        <v>45814</v>
      </c>
      <c r="Q169" s="197" t="str" cm="1">
        <f t="array" aca="1" ref="Q169" ca="1">IF($P169&lt;&gt;"","PAGO",IF($N169&lt;TODAY(),"ATRASADO",IF($N169&gt;TODAY(),"NO PRAZO",IF($N169=TODAY(),"NO PRAZO",SE))))</f>
        <v>PAGO</v>
      </c>
      <c r="R169" s="150" t="str">
        <f t="shared" ca="1" si="2"/>
        <v/>
      </c>
      <c r="S169" s="241"/>
      <c r="T169" s="112"/>
      <c r="U169" s="259">
        <f ca="1">SUBTOTAL(3,Tabela13[[#This Row],[STATUS]])</f>
        <v>1</v>
      </c>
    </row>
    <row r="170" spans="1:21" ht="24.95" customHeight="1">
      <c r="A170" s="113">
        <v>45800</v>
      </c>
      <c r="B170" s="105">
        <v>73115</v>
      </c>
      <c r="C170" s="688" t="str">
        <f>IFERROR(VLOOKUP(Tabela13[[#This Row],[CÓD. EMPRESA]],Tabela3[[CÓDIGO
 EMPRESA ]:[EMPRESA]],2,FALSE),"")</f>
        <v>CONSORCIO LIMPA GUARULHOS</v>
      </c>
      <c r="D170" s="112" t="s">
        <v>350</v>
      </c>
      <c r="E170" s="112" t="s">
        <v>494</v>
      </c>
      <c r="F170" s="196">
        <v>3258</v>
      </c>
      <c r="G170" s="411">
        <v>72</v>
      </c>
      <c r="H170" s="165" t="s">
        <v>47</v>
      </c>
      <c r="I170" s="147">
        <v>45748</v>
      </c>
      <c r="J170" s="113">
        <v>45777</v>
      </c>
      <c r="K170" s="401">
        <v>287273.61</v>
      </c>
      <c r="L170" s="398">
        <f>Tabela13[[#This Row],[VALOR
 BRUTO ]]-Tabela13[[#This Row],[VALOR 
LIQUIDO ]]</f>
        <v>0</v>
      </c>
      <c r="M170" s="399">
        <f>Tabela13[[#This Row],[VALORES PAGOS 
(FORMA PAGTO)]]</f>
        <v>287273.61</v>
      </c>
      <c r="N170" s="113">
        <v>45800</v>
      </c>
      <c r="O170" s="385">
        <v>287273.61</v>
      </c>
      <c r="P170" s="147">
        <v>45821</v>
      </c>
      <c r="Q170" s="197" t="str" cm="1">
        <f t="array" aca="1" ref="Q170" ca="1">IF($P170&lt;&gt;"","PAGO",IF($N170&lt;TODAY(),"ATRASADO",IF($N170&gt;TODAY(),"NO PRAZO",IF($N170=TODAY(),"NO PRAZO",SE))))</f>
        <v>PAGO</v>
      </c>
      <c r="R170" s="150" t="str">
        <f t="shared" ca="1" si="2"/>
        <v/>
      </c>
      <c r="S170" s="241"/>
      <c r="T170" s="112"/>
      <c r="U170" s="259">
        <f ca="1">SUBTOTAL(3,Tabela13[[#This Row],[STATUS]])</f>
        <v>1</v>
      </c>
    </row>
    <row r="171" spans="1:21" ht="24.95" customHeight="1">
      <c r="A171" s="113">
        <v>45800</v>
      </c>
      <c r="B171" s="105">
        <v>73115</v>
      </c>
      <c r="C171" s="688" t="str">
        <f>IFERROR(VLOOKUP(Tabela13[[#This Row],[CÓD. EMPRESA]],Tabela3[[CÓDIGO
 EMPRESA ]:[EMPRESA]],2,FALSE),"")</f>
        <v>CONSORCIO LIMPA GUARULHOS</v>
      </c>
      <c r="D171" s="112" t="s">
        <v>350</v>
      </c>
      <c r="E171" s="112" t="s">
        <v>494</v>
      </c>
      <c r="F171" s="196">
        <v>4202</v>
      </c>
      <c r="G171" s="411">
        <v>72</v>
      </c>
      <c r="H171" s="165" t="s">
        <v>47</v>
      </c>
      <c r="I171" s="147">
        <v>45748</v>
      </c>
      <c r="J171" s="113">
        <v>45777</v>
      </c>
      <c r="K171" s="401">
        <v>7795102.2400000002</v>
      </c>
      <c r="L171" s="398">
        <f>Tabela13[[#This Row],[VALOR
 BRUTO ]]-Tabela13[[#This Row],[VALOR 
LIQUIDO ]]</f>
        <v>4782375.8499999996</v>
      </c>
      <c r="M171" s="399">
        <f>Tabela13[[#This Row],[VALORES PAGOS 
(FORMA PAGTO)]]</f>
        <v>3012726.39</v>
      </c>
      <c r="N171" s="113">
        <v>45800</v>
      </c>
      <c r="O171" s="385">
        <v>3012726.39</v>
      </c>
      <c r="P171" s="147">
        <v>45821</v>
      </c>
      <c r="Q171" s="197" t="str" cm="1">
        <f t="array" aca="1" ref="Q171" ca="1">IF($P171&lt;&gt;"","PAGO",IF($N171&lt;TODAY(),"ATRASADO",IF($N171&gt;TODAY(),"NO PRAZO",IF($N171=TODAY(),"NO PRAZO",SE))))</f>
        <v>PAGO</v>
      </c>
      <c r="R171" s="150" t="str">
        <f t="shared" ca="1" si="2"/>
        <v/>
      </c>
      <c r="S171" s="241"/>
      <c r="T171" s="112"/>
      <c r="U171" s="259">
        <f ca="1">SUBTOTAL(3,Tabela13[[#This Row],[STATUS]])</f>
        <v>1</v>
      </c>
    </row>
    <row r="172" spans="1:21" ht="24.95" customHeight="1">
      <c r="A172" s="113">
        <v>45800</v>
      </c>
      <c r="B172" s="105">
        <v>73402</v>
      </c>
      <c r="C172" s="688" t="str">
        <f>IFERROR(VLOOKUP(Tabela13[[#This Row],[CÓD. EMPRESA]],Tabela3[[CÓDIGO
 EMPRESA ]:[EMPRESA]],2,FALSE),"")</f>
        <v>NELSON TAKAO YOSHIDA</v>
      </c>
      <c r="D172" s="112" t="s">
        <v>414</v>
      </c>
      <c r="E172" s="112" t="s">
        <v>415</v>
      </c>
      <c r="F172" s="196">
        <v>2830</v>
      </c>
      <c r="G172" s="411">
        <v>155</v>
      </c>
      <c r="H172" s="165" t="s">
        <v>47</v>
      </c>
      <c r="I172" s="147"/>
      <c r="J172" s="113"/>
      <c r="K172" s="401">
        <v>17986.8</v>
      </c>
      <c r="L172" s="398">
        <f>Tabela13[[#This Row],[VALOR
 BRUTO ]]-Tabela13[[#This Row],[VALOR 
LIQUIDO ]]</f>
        <v>269.8</v>
      </c>
      <c r="M172" s="399">
        <f>Tabela13[[#This Row],[VALORES PAGOS 
(FORMA PAGTO)]]</f>
        <v>17717</v>
      </c>
      <c r="N172" s="113">
        <v>45826</v>
      </c>
      <c r="O172" s="385">
        <v>17717</v>
      </c>
      <c r="P172" s="147">
        <v>45826</v>
      </c>
      <c r="Q172" s="197" t="str" cm="1">
        <f t="array" aca="1" ref="Q172" ca="1">IF($P172&lt;&gt;"","PAGO",IF($N172&lt;TODAY(),"ATRASADO",IF($N172&gt;TODAY(),"NO PRAZO",IF($N172=TODAY(),"NO PRAZO",SE))))</f>
        <v>PAGO</v>
      </c>
      <c r="R172" s="150" t="str">
        <f t="shared" ca="1" si="2"/>
        <v/>
      </c>
      <c r="S172" s="241"/>
      <c r="T172" s="112"/>
      <c r="U172" s="259">
        <f ca="1">SUBTOTAL(3,Tabela13[[#This Row],[STATUS]])</f>
        <v>1</v>
      </c>
    </row>
    <row r="173" spans="1:21" ht="24.95" customHeight="1">
      <c r="A173" s="113">
        <v>45800</v>
      </c>
      <c r="B173" s="105">
        <v>46674</v>
      </c>
      <c r="C173" s="688" t="str">
        <f>IFERROR(VLOOKUP(Tabela13[[#This Row],[CÓD. EMPRESA]],Tabela3[[CÓDIGO
 EMPRESA ]:[EMPRESA]],2,FALSE),"")</f>
        <v>NOA SERVICOS E LOCACAO LTDA</v>
      </c>
      <c r="D173" s="112" t="s">
        <v>324</v>
      </c>
      <c r="E173" s="112" t="s">
        <v>437</v>
      </c>
      <c r="F173" s="196">
        <v>3702</v>
      </c>
      <c r="G173" s="411">
        <v>1663</v>
      </c>
      <c r="H173" s="165" t="s">
        <v>47</v>
      </c>
      <c r="I173" s="147">
        <v>45748</v>
      </c>
      <c r="J173" s="113">
        <v>45773</v>
      </c>
      <c r="K173" s="401">
        <v>124611.84</v>
      </c>
      <c r="L173" s="398">
        <f>Tabela13[[#This Row],[VALOR
 BRUTO ]]-Tabela13[[#This Row],[VALOR 
LIQUIDO ]]</f>
        <v>6479.81</v>
      </c>
      <c r="M173" s="399">
        <f>Tabela13[[#This Row],[VALORES PAGOS 
(FORMA PAGTO)]]</f>
        <v>118132.03</v>
      </c>
      <c r="N173" s="113">
        <v>45828</v>
      </c>
      <c r="O173" s="385">
        <v>118132.03</v>
      </c>
      <c r="P173" s="147">
        <v>45831</v>
      </c>
      <c r="Q173" s="197" t="str" cm="1">
        <f t="array" aca="1" ref="Q173" ca="1">IF($P173&lt;&gt;"","PAGO",IF($N173&lt;TODAY(),"ATRASADO",IF($N173&gt;TODAY(),"NO PRAZO",IF($N173=TODAY(),"NO PRAZO",SE))))</f>
        <v>PAGO</v>
      </c>
      <c r="R173" s="150" t="str">
        <f t="shared" ca="1" si="2"/>
        <v/>
      </c>
      <c r="S173" s="241"/>
      <c r="T173" s="112"/>
      <c r="U173" s="259">
        <f ca="1">SUBTOTAL(3,Tabela13[[#This Row],[STATUS]])</f>
        <v>1</v>
      </c>
    </row>
    <row r="174" spans="1:21" ht="24.95" customHeight="1">
      <c r="A174" s="113">
        <v>45800</v>
      </c>
      <c r="B174" s="105">
        <v>46674</v>
      </c>
      <c r="C174" s="688" t="str">
        <f>IFERROR(VLOOKUP(Tabela13[[#This Row],[CÓD. EMPRESA]],Tabela3[[CÓDIGO
 EMPRESA ]:[EMPRESA]],2,FALSE),"")</f>
        <v>NOA SERVICOS E LOCACAO LTDA</v>
      </c>
      <c r="D174" s="112" t="s">
        <v>324</v>
      </c>
      <c r="E174" s="112" t="s">
        <v>437</v>
      </c>
      <c r="F174" s="196">
        <v>4177</v>
      </c>
      <c r="G174" s="411">
        <v>1664</v>
      </c>
      <c r="H174" s="165" t="s">
        <v>47</v>
      </c>
      <c r="I174" s="147">
        <v>45774</v>
      </c>
      <c r="J174" s="113">
        <v>45777</v>
      </c>
      <c r="K174" s="401">
        <v>10028.530000000001</v>
      </c>
      <c r="L174" s="398">
        <f>Tabela13[[#This Row],[VALOR
 BRUTO ]]-Tabela13[[#This Row],[VALOR 
LIQUIDO ]]</f>
        <v>0</v>
      </c>
      <c r="M174" s="399">
        <f>Tabela13[[#This Row],[VALORES PAGOS 
(FORMA PAGTO)]]</f>
        <v>10028.530000000001</v>
      </c>
      <c r="N174" s="113">
        <v>45828</v>
      </c>
      <c r="O174" s="438">
        <v>10028.530000000001</v>
      </c>
      <c r="P174" s="147">
        <v>45831</v>
      </c>
      <c r="Q174" s="197" t="str" cm="1">
        <f t="array" aca="1" ref="Q174" ca="1">IF($P174&lt;&gt;"","PAGO",IF($N174&lt;TODAY(),"ATRASADO",IF($N174&gt;TODAY(),"NO PRAZO",IF($N174=TODAY(),"NO PRAZO",SE))))</f>
        <v>PAGO</v>
      </c>
      <c r="R174" s="150" t="str">
        <f t="shared" ca="1" si="2"/>
        <v/>
      </c>
      <c r="S174" s="241"/>
      <c r="T174" s="112"/>
      <c r="U174" s="259">
        <f ca="1">SUBTOTAL(3,Tabela13[[#This Row],[STATUS]])</f>
        <v>1</v>
      </c>
    </row>
    <row r="175" spans="1:21" ht="24.95" customHeight="1">
      <c r="A175" s="433">
        <v>45800</v>
      </c>
      <c r="B175" s="105">
        <v>46674</v>
      </c>
      <c r="C175" s="688" t="str">
        <f>IFERROR(VLOOKUP(Tabela13[[#This Row],[CÓD. EMPRESA]],Tabela3[[CÓDIGO
 EMPRESA ]:[EMPRESA]],2,FALSE),"")</f>
        <v>NOA SERVICOS E LOCACAO LTDA</v>
      </c>
      <c r="D175" s="112" t="s">
        <v>324</v>
      </c>
      <c r="E175" s="112" t="s">
        <v>437</v>
      </c>
      <c r="F175" s="434">
        <v>3702</v>
      </c>
      <c r="G175" s="411">
        <v>1664</v>
      </c>
      <c r="H175" s="435" t="s">
        <v>47</v>
      </c>
      <c r="I175" s="436">
        <v>45774</v>
      </c>
      <c r="J175" s="433">
        <v>45777</v>
      </c>
      <c r="K175" s="401">
        <v>11724.83</v>
      </c>
      <c r="L175" s="398">
        <f>Tabela13[[#This Row],[VALOR
 BRUTO ]]-Tabela13[[#This Row],[VALOR 
LIQUIDO ]]</f>
        <v>1131.17</v>
      </c>
      <c r="M175" s="399">
        <f>Tabela13[[#This Row],[VALORES PAGOS 
(FORMA PAGTO)]]</f>
        <v>10593.66</v>
      </c>
      <c r="N175" s="433">
        <v>45828</v>
      </c>
      <c r="O175" s="438">
        <v>10593.66</v>
      </c>
      <c r="P175" s="436">
        <v>45831</v>
      </c>
      <c r="Q175" s="197" t="str" cm="1">
        <f t="array" aca="1" ref="Q175" ca="1">IF($P175&lt;&gt;"","PAGO",IF($N175&lt;TODAY(),"ATRASADO",IF($N175&gt;TODAY(),"NO PRAZO",IF($N175=TODAY(),"NO PRAZO",SE))))</f>
        <v>PAGO</v>
      </c>
      <c r="R175" s="150" t="str">
        <f t="shared" ca="1" si="2"/>
        <v/>
      </c>
      <c r="S175" s="721"/>
      <c r="T175" s="298"/>
      <c r="U175" s="439">
        <f ca="1">SUBTOTAL(3,Tabela13[[#This Row],[STATUS]])</f>
        <v>1</v>
      </c>
    </row>
    <row r="176" spans="1:21" ht="24.95" customHeight="1">
      <c r="A176" s="113">
        <v>45804</v>
      </c>
      <c r="B176" s="105">
        <v>61861</v>
      </c>
      <c r="C176" s="688" t="str">
        <f>IFERROR(VLOOKUP(Tabela13[[#This Row],[CÓD. EMPRESA]],Tabela3[[CÓDIGO
 EMPRESA ]:[EMPRESA]],2,FALSE),"")</f>
        <v>RAFER INDÚSTRIA COMÉRCIO DE ARTEFATOS DE MADEIRA LTDA</v>
      </c>
      <c r="D176" s="112" t="s">
        <v>663</v>
      </c>
      <c r="E176" s="112" t="s">
        <v>448</v>
      </c>
      <c r="F176" s="196">
        <v>3891</v>
      </c>
      <c r="G176" s="411">
        <v>12710</v>
      </c>
      <c r="H176" s="165" t="s">
        <v>47</v>
      </c>
      <c r="I176" s="147"/>
      <c r="J176" s="113"/>
      <c r="K176" s="401">
        <v>3809</v>
      </c>
      <c r="L176" s="398">
        <f>Tabela13[[#This Row],[VALOR
 BRUTO ]]-Tabela13[[#This Row],[VALOR 
LIQUIDO ]]</f>
        <v>45.71</v>
      </c>
      <c r="M176" s="399">
        <f>Tabela13[[#This Row],[VALORES PAGOS 
(FORMA PAGTO)]]</f>
        <v>3763.29</v>
      </c>
      <c r="N176" s="113">
        <v>45824</v>
      </c>
      <c r="O176" s="385">
        <v>3763.29</v>
      </c>
      <c r="P176" s="147">
        <v>45839</v>
      </c>
      <c r="Q176" s="197" t="str" cm="1">
        <f t="array" aca="1" ref="Q176" ca="1">IF($P176&lt;&gt;"","PAGO",IF($N176&lt;TODAY(),"ATRASADO",IF($N176&gt;TODAY(),"NO PRAZO",IF($N176=TODAY(),"NO PRAZO",SE))))</f>
        <v>PAGO</v>
      </c>
      <c r="R176" s="150" t="str">
        <f t="shared" ca="1" si="2"/>
        <v/>
      </c>
      <c r="S176" s="241"/>
      <c r="T176" s="112"/>
      <c r="U176" s="259">
        <f ca="1">SUBTOTAL(3,Tabela13[[#This Row],[STATUS]])</f>
        <v>1</v>
      </c>
    </row>
    <row r="177" spans="1:23" ht="24.95" customHeight="1">
      <c r="A177" s="433">
        <v>45807</v>
      </c>
      <c r="B177" s="105">
        <v>60979</v>
      </c>
      <c r="C177" s="688" t="str">
        <f>IFERROR(VLOOKUP(Tabela13[[#This Row],[CÓD. EMPRESA]],Tabela3[[CÓDIGO
 EMPRESA ]:[EMPRESA]],2,FALSE),"")</f>
        <v>SILCON AMBIENTAL S/A</v>
      </c>
      <c r="D177" s="112" t="s">
        <v>355</v>
      </c>
      <c r="E177" s="112" t="s">
        <v>490</v>
      </c>
      <c r="F177" s="434">
        <v>3679</v>
      </c>
      <c r="G177" s="411">
        <v>38264</v>
      </c>
      <c r="H177" s="165" t="s">
        <v>48</v>
      </c>
      <c r="I177" s="436">
        <v>45748</v>
      </c>
      <c r="J177" s="436">
        <v>45777</v>
      </c>
      <c r="K177" s="437">
        <v>194770.8</v>
      </c>
      <c r="L177" s="398">
        <f>Tabela13[[#This Row],[VALOR
 BRUTO ]]-Tabela13[[#This Row],[VALOR 
LIQUIDO ]]</f>
        <v>49158.51</v>
      </c>
      <c r="M177" s="399">
        <f>Tabela13[[#This Row],[VALORES PAGOS 
(FORMA PAGTO)]]</f>
        <v>145612.29</v>
      </c>
      <c r="N177" s="433">
        <v>45834</v>
      </c>
      <c r="O177" s="438">
        <v>145612.29</v>
      </c>
      <c r="P177" s="436">
        <v>45839</v>
      </c>
      <c r="Q177" s="197" t="str" cm="1">
        <f t="array" aca="1" ref="Q177" ca="1">IF($P177&lt;&gt;"","PAGO",IF($N177&lt;TODAY(),"ATRASADO",IF($N177&gt;TODAY(),"NO PRAZO",IF($N177=TODAY(),"NO PRAZO",SE))))</f>
        <v>PAGO</v>
      </c>
      <c r="R177" s="150" t="str">
        <f t="shared" ca="1" si="2"/>
        <v/>
      </c>
      <c r="S177" s="719"/>
      <c r="T177" s="112"/>
      <c r="U177" s="439">
        <f ca="1">SUBTOTAL(3,Tabela13[[#This Row],[STATUS]])</f>
        <v>1</v>
      </c>
    </row>
    <row r="178" spans="1:23" ht="24.95" customHeight="1">
      <c r="A178" s="433">
        <v>45807</v>
      </c>
      <c r="B178" s="105">
        <v>60979</v>
      </c>
      <c r="C178" s="688" t="str">
        <f>IFERROR(VLOOKUP(Tabela13[[#This Row],[CÓD. EMPRESA]],Tabela3[[CÓDIGO
 EMPRESA ]:[EMPRESA]],2,FALSE),"")</f>
        <v>SILCON AMBIENTAL S/A</v>
      </c>
      <c r="D178" s="112" t="s">
        <v>355</v>
      </c>
      <c r="E178" s="112" t="s">
        <v>490</v>
      </c>
      <c r="F178" s="434">
        <v>5141</v>
      </c>
      <c r="G178" s="411">
        <v>38264</v>
      </c>
      <c r="H178" s="165" t="s">
        <v>48</v>
      </c>
      <c r="I178" s="436">
        <v>45748</v>
      </c>
      <c r="J178" s="436">
        <v>45777</v>
      </c>
      <c r="K178" s="437">
        <v>41568.239999999998</v>
      </c>
      <c r="L178" s="398">
        <f>Tabela13[[#This Row],[VALOR
 BRUTO ]]-Tabela13[[#This Row],[VALOR 
LIQUIDO ]]</f>
        <v>0</v>
      </c>
      <c r="M178" s="399">
        <f>Tabela13[[#This Row],[VALORES PAGOS 
(FORMA PAGTO)]]</f>
        <v>41568.239999999998</v>
      </c>
      <c r="N178" s="433">
        <v>45834</v>
      </c>
      <c r="O178" s="802">
        <v>41568.239999999998</v>
      </c>
      <c r="P178" s="436">
        <v>45839</v>
      </c>
      <c r="Q178" s="197" t="str" cm="1">
        <f t="array" aca="1" ref="Q178" ca="1">IF($P178&lt;&gt;"","PAGO",IF($N178&lt;TODAY(),"ATRASADO",IF($N178&gt;TODAY(),"NO PRAZO",IF($N178=TODAY(),"NO PRAZO",SE))))</f>
        <v>PAGO</v>
      </c>
      <c r="R178" s="150" t="str">
        <f t="shared" ca="1" si="2"/>
        <v/>
      </c>
      <c r="S178" s="719"/>
      <c r="T178" s="112"/>
      <c r="U178" s="439">
        <f ca="1">SUBTOTAL(3,Tabela13[[#This Row],[STATUS]])</f>
        <v>1</v>
      </c>
    </row>
    <row r="179" spans="1:23" ht="24.75" customHeight="1">
      <c r="A179" s="433">
        <v>45807</v>
      </c>
      <c r="B179" s="105">
        <v>60979</v>
      </c>
      <c r="C179" s="688" t="str">
        <f>IFERROR(VLOOKUP(Tabela13[[#This Row],[CÓD. EMPRESA]],Tabela3[[CÓDIGO
 EMPRESA ]:[EMPRESA]],2,FALSE),"")</f>
        <v>SILCON AMBIENTAL S/A</v>
      </c>
      <c r="D179" s="112" t="s">
        <v>355</v>
      </c>
      <c r="E179" s="112" t="s">
        <v>490</v>
      </c>
      <c r="F179" s="434">
        <v>5141</v>
      </c>
      <c r="G179" s="411">
        <v>38265</v>
      </c>
      <c r="H179" s="165" t="s">
        <v>48</v>
      </c>
      <c r="I179" s="436">
        <v>45748</v>
      </c>
      <c r="J179" s="436">
        <v>45777</v>
      </c>
      <c r="K179" s="437">
        <v>354508.56</v>
      </c>
      <c r="L179" s="398">
        <f>Tabela13[[#This Row],[VALOR
 BRUTO ]]-Tabela13[[#This Row],[VALOR 
LIQUIDO ]]</f>
        <v>17016.41</v>
      </c>
      <c r="M179" s="399">
        <f>Tabela13[[#This Row],[VALORES PAGOS 
(FORMA PAGTO)]]</f>
        <v>337492.15</v>
      </c>
      <c r="N179" s="433">
        <v>45834</v>
      </c>
      <c r="O179" s="438">
        <v>337492.15</v>
      </c>
      <c r="P179" s="436">
        <v>45839</v>
      </c>
      <c r="Q179" s="197" t="str" cm="1">
        <f t="array" aca="1" ref="Q179" ca="1">IF($P179&lt;&gt;"","PAGO",IF($N179&lt;TODAY(),"ATRASADO",IF($N179&gt;TODAY(),"NO PRAZO",IF($N179=TODAY(),"NO PRAZO",SE))))</f>
        <v>PAGO</v>
      </c>
      <c r="R179" s="150" t="str">
        <f t="shared" ca="1" si="2"/>
        <v/>
      </c>
      <c r="S179" s="719"/>
      <c r="T179" s="112"/>
      <c r="U179" s="439">
        <f ca="1">SUBTOTAL(3,Tabela13[[#This Row],[STATUS]])</f>
        <v>1</v>
      </c>
      <c r="W179" s="577"/>
    </row>
    <row r="180" spans="1:23" ht="25.5" customHeight="1">
      <c r="A180" s="433">
        <v>45807</v>
      </c>
      <c r="B180" s="105">
        <v>60979</v>
      </c>
      <c r="C180" s="688" t="str">
        <f>IFERROR(VLOOKUP(Tabela13[[#This Row],[CÓD. EMPRESA]],Tabela3[[CÓDIGO
 EMPRESA ]:[EMPRESA]],2,FALSE),"")</f>
        <v>SILCON AMBIENTAL S/A</v>
      </c>
      <c r="D180" s="112" t="s">
        <v>355</v>
      </c>
      <c r="E180" s="112" t="s">
        <v>490</v>
      </c>
      <c r="F180" s="434">
        <v>5141</v>
      </c>
      <c r="G180" s="411">
        <v>38266</v>
      </c>
      <c r="H180" s="165" t="s">
        <v>48</v>
      </c>
      <c r="I180" s="436">
        <v>45748</v>
      </c>
      <c r="J180" s="433">
        <v>45777</v>
      </c>
      <c r="K180" s="437">
        <v>4765.32</v>
      </c>
      <c r="L180" s="398">
        <f>Tabela13[[#This Row],[VALOR
 BRUTO ]]-Tabela13[[#This Row],[VALOR 
LIQUIDO ]]</f>
        <v>991.2</v>
      </c>
      <c r="M180" s="399">
        <f>Tabela13[[#This Row],[VALORES PAGOS 
(FORMA PAGTO)]]</f>
        <v>3774.12</v>
      </c>
      <c r="N180" s="433">
        <v>45834</v>
      </c>
      <c r="O180" s="389">
        <v>3774.12</v>
      </c>
      <c r="P180" s="436">
        <v>45839</v>
      </c>
      <c r="Q180" s="197" t="str" cm="1">
        <f t="array" aca="1" ref="Q180" ca="1">IF($P180&lt;&gt;"","PAGO",IF($N180&lt;TODAY(),"ATRASADO",IF($N180&gt;TODAY(),"NO PRAZO",IF($N180=TODAY(),"NO PRAZO",SE))))</f>
        <v>PAGO</v>
      </c>
      <c r="R180" s="150" t="str">
        <f t="shared" ca="1" si="2"/>
        <v/>
      </c>
      <c r="S180" s="721"/>
      <c r="T180" s="112"/>
      <c r="U180" s="439">
        <f ca="1">SUBTOTAL(3,Tabela13[[#This Row],[STATUS]])</f>
        <v>1</v>
      </c>
      <c r="W180" s="577"/>
    </row>
    <row r="181" spans="1:23" ht="24.95" customHeight="1">
      <c r="A181" s="433">
        <v>45807</v>
      </c>
      <c r="B181" s="105">
        <v>60979</v>
      </c>
      <c r="C181" s="688" t="str">
        <f>IFERROR(VLOOKUP(Tabela13[[#This Row],[CÓD. EMPRESA]],Tabela3[[CÓDIGO
 EMPRESA ]:[EMPRESA]],2,FALSE),"")</f>
        <v>SILCON AMBIENTAL S/A</v>
      </c>
      <c r="D181" s="112" t="s">
        <v>355</v>
      </c>
      <c r="E181" s="112" t="s">
        <v>490</v>
      </c>
      <c r="F181" s="434">
        <v>5141</v>
      </c>
      <c r="G181" s="594">
        <v>38267</v>
      </c>
      <c r="H181" s="165" t="s">
        <v>48</v>
      </c>
      <c r="I181" s="436">
        <v>45748</v>
      </c>
      <c r="J181" s="433">
        <v>45777</v>
      </c>
      <c r="K181" s="401">
        <v>7147.98</v>
      </c>
      <c r="L181" s="398">
        <f>Tabela13[[#This Row],[VALOR
 BRUTO ]]-Tabela13[[#This Row],[VALOR 
LIQUIDO ]]</f>
        <v>343.1</v>
      </c>
      <c r="M181" s="399">
        <f>Tabela13[[#This Row],[VALORES PAGOS 
(FORMA PAGTO)]]</f>
        <v>6804.88</v>
      </c>
      <c r="N181" s="489">
        <v>45834</v>
      </c>
      <c r="O181" s="389">
        <v>6804.88</v>
      </c>
      <c r="P181" s="493">
        <v>45839</v>
      </c>
      <c r="Q181" s="197" t="str" cm="1">
        <f t="array" aca="1" ref="Q181" ca="1">IF($P181&lt;&gt;"","PAGO",IF($N181&lt;TODAY(),"ATRASADO",IF($N181&gt;TODAY(),"NO PRAZO",IF($N181=TODAY(),"NO PRAZO",SE))))</f>
        <v>PAGO</v>
      </c>
      <c r="R181" s="150" t="str">
        <f t="shared" ca="1" si="2"/>
        <v/>
      </c>
      <c r="S181" s="722"/>
      <c r="T181" s="112"/>
      <c r="U181" s="497">
        <f ca="1">SUBTOTAL(3,Tabela13[[#This Row],[STATUS]])</f>
        <v>1</v>
      </c>
    </row>
    <row r="182" spans="1:23" ht="24.95" customHeight="1">
      <c r="A182" s="433">
        <v>45813</v>
      </c>
      <c r="B182" s="105">
        <v>46901</v>
      </c>
      <c r="C182" s="688" t="str">
        <f>IFERROR(VLOOKUP(Tabela13[[#This Row],[CÓD. EMPRESA]],Tabela3[[CÓDIGO
 EMPRESA ]:[EMPRESA]],2,FALSE),"")</f>
        <v>LAVANDERIA PAULISTA LTDA</v>
      </c>
      <c r="D182" s="112" t="s">
        <v>421</v>
      </c>
      <c r="E182" s="112" t="s">
        <v>453</v>
      </c>
      <c r="F182" s="434">
        <v>10388</v>
      </c>
      <c r="G182" s="411">
        <v>28052</v>
      </c>
      <c r="H182" s="165" t="s">
        <v>49</v>
      </c>
      <c r="I182" s="436">
        <v>45778</v>
      </c>
      <c r="J182" s="433">
        <v>45808</v>
      </c>
      <c r="K182" s="437">
        <v>25594.799999999999</v>
      </c>
      <c r="L182" s="398">
        <f>Tabela13[[#This Row],[VALOR
 BRUTO ]]-Tabela13[[#This Row],[VALOR 
LIQUIDO ]]</f>
        <v>1164.56</v>
      </c>
      <c r="M182" s="399">
        <f>Tabela13[[#This Row],[VALORES PAGOS 
(FORMA PAGTO)]]</f>
        <v>24430.240000000002</v>
      </c>
      <c r="N182" s="433">
        <v>45840</v>
      </c>
      <c r="O182" s="438">
        <v>24430.240000000002</v>
      </c>
      <c r="P182" s="436">
        <v>45862</v>
      </c>
      <c r="Q182" s="197" t="str" cm="1">
        <f t="array" aca="1" ref="Q182" ca="1">IF($P182&lt;&gt;"","PAGO",IF($N182&lt;TODAY(),"ATRASADO",IF($N182&gt;TODAY(),"NO PRAZO",IF($N182=TODAY(),"NO PRAZO",SE))))</f>
        <v>PAGO</v>
      </c>
      <c r="R182" s="150" t="str">
        <f t="shared" ca="1" si="2"/>
        <v/>
      </c>
      <c r="S182" s="721"/>
      <c r="T182" s="112"/>
      <c r="U182" s="439">
        <f ca="1">SUBTOTAL(3,Tabela13[[#This Row],[STATUS]])</f>
        <v>1</v>
      </c>
    </row>
    <row r="183" spans="1:23" ht="23.25" customHeight="1">
      <c r="A183" s="433">
        <v>45817</v>
      </c>
      <c r="B183" s="105">
        <v>54615</v>
      </c>
      <c r="C183" s="688" t="str">
        <f>IFERROR(VLOOKUP(Tabela13[[#This Row],[CÓD. EMPRESA]],Tabela3[[CÓDIGO
 EMPRESA ]:[EMPRESA]],2,FALSE),"")</f>
        <v>NEO-TAGUS COMERCIO E ASSISTENCIA TECNICA LTDA</v>
      </c>
      <c r="D183" s="112" t="s">
        <v>133</v>
      </c>
      <c r="E183" s="112" t="s">
        <v>442</v>
      </c>
      <c r="F183" s="434">
        <v>7400</v>
      </c>
      <c r="G183" s="411">
        <v>9261</v>
      </c>
      <c r="H183" s="165" t="s">
        <v>49</v>
      </c>
      <c r="I183" s="436">
        <v>45775</v>
      </c>
      <c r="J183" s="433">
        <v>45804</v>
      </c>
      <c r="K183" s="437">
        <v>1245</v>
      </c>
      <c r="L183" s="398">
        <f>Tabela13[[#This Row],[VALOR
 BRUTO ]]-Tabela13[[#This Row],[VALOR 
LIQUIDO ]]</f>
        <v>0</v>
      </c>
      <c r="M183" s="399">
        <f>Tabela13[[#This Row],[VALORES PAGOS 
(FORMA PAGTO)]]</f>
        <v>1245</v>
      </c>
      <c r="N183" s="433">
        <v>45835</v>
      </c>
      <c r="O183" s="438">
        <v>1245</v>
      </c>
      <c r="P183" s="436">
        <v>45839</v>
      </c>
      <c r="Q183" s="197" t="str" cm="1">
        <f t="array" aca="1" ref="Q183" ca="1">IF($P183&lt;&gt;"","PAGO",IF($N183&lt;TODAY(),"ATRASADO",IF($N183&gt;TODAY(),"NO PRAZO",IF($N183=TODAY(),"NO PRAZO",SE))))</f>
        <v>PAGO</v>
      </c>
      <c r="R183" s="150" t="str">
        <f t="shared" ca="1" si="2"/>
        <v/>
      </c>
      <c r="S183" s="721"/>
      <c r="T183" s="112"/>
      <c r="U183" s="439">
        <f ca="1">SUBTOTAL(3,Tabela13[[#This Row],[STATUS]])</f>
        <v>1</v>
      </c>
    </row>
    <row r="184" spans="1:23" ht="24.95" customHeight="1">
      <c r="A184" s="433">
        <v>45817</v>
      </c>
      <c r="B184" s="105">
        <v>54615</v>
      </c>
      <c r="C184" s="688" t="str">
        <f>IFERROR(VLOOKUP(Tabela13[[#This Row],[CÓD. EMPRESA]],Tabela3[[CÓDIGO
 EMPRESA ]:[EMPRESA]],2,FALSE),"")</f>
        <v>NEO-TAGUS COMERCIO E ASSISTENCIA TECNICA LTDA</v>
      </c>
      <c r="D184" s="112" t="s">
        <v>133</v>
      </c>
      <c r="E184" s="112" t="s">
        <v>442</v>
      </c>
      <c r="F184" s="434">
        <v>2854</v>
      </c>
      <c r="G184" s="411">
        <v>9261</v>
      </c>
      <c r="H184" s="165" t="s">
        <v>49</v>
      </c>
      <c r="I184" s="436">
        <v>45775</v>
      </c>
      <c r="J184" s="433">
        <v>45804</v>
      </c>
      <c r="K184" s="437">
        <v>2988</v>
      </c>
      <c r="L184" s="398">
        <f>Tabela13[[#This Row],[VALOR
 BRUTO ]]-Tabela13[[#This Row],[VALOR 
LIQUIDO ]]</f>
        <v>203.18</v>
      </c>
      <c r="M184" s="399">
        <f>Tabela13[[#This Row],[VALORES PAGOS 
(FORMA PAGTO)]]</f>
        <v>2784.82</v>
      </c>
      <c r="N184" s="433">
        <v>45835</v>
      </c>
      <c r="O184" s="438">
        <v>2784.82</v>
      </c>
      <c r="P184" s="436">
        <v>45839</v>
      </c>
      <c r="Q184" s="197" t="str" cm="1">
        <f t="array" aca="1" ref="Q184" ca="1">IF($P184&lt;&gt;"","PAGO",IF($N184&lt;TODAY(),"ATRASADO",IF($N184&gt;TODAY(),"NO PRAZO",IF($N184=TODAY(),"NO PRAZO",SE))))</f>
        <v>PAGO</v>
      </c>
      <c r="R184" s="150" t="str">
        <f t="shared" ca="1" si="2"/>
        <v/>
      </c>
      <c r="S184" s="721"/>
      <c r="T184" s="298"/>
      <c r="U184" s="439">
        <f ca="1">SUBTOTAL(3,Tabela13[[#This Row],[STATUS]])</f>
        <v>1</v>
      </c>
    </row>
    <row r="185" spans="1:23" ht="24.95" customHeight="1">
      <c r="A185" s="457">
        <v>45818</v>
      </c>
      <c r="B185" s="105">
        <v>42326</v>
      </c>
      <c r="C185" s="688" t="str">
        <f>IFERROR(VLOOKUP(Tabela13[[#This Row],[CÓD. EMPRESA]],Tabela3[[CÓDIGO
 EMPRESA ]:[EMPRESA]],2,FALSE),"")</f>
        <v>CASAMAX COMERCIAL E SERVICOS LTDA</v>
      </c>
      <c r="D185" s="112" t="s">
        <v>703</v>
      </c>
      <c r="E185" s="112" t="s">
        <v>615</v>
      </c>
      <c r="F185" s="458">
        <v>5709</v>
      </c>
      <c r="G185" s="411">
        <v>11162</v>
      </c>
      <c r="H185" s="165" t="s">
        <v>49</v>
      </c>
      <c r="I185" s="436">
        <v>45719</v>
      </c>
      <c r="J185" s="436">
        <v>45747</v>
      </c>
      <c r="K185" s="460">
        <v>136659.47</v>
      </c>
      <c r="L185" s="398">
        <f>Tabela13[[#This Row],[VALOR
 BRUTO ]]-Tabela13[[#This Row],[VALOR 
LIQUIDO ]]</f>
        <v>0</v>
      </c>
      <c r="M185" s="399">
        <f>Tabela13[[#This Row],[VALORES PAGOS 
(FORMA PAGTO)]]</f>
        <v>136659.47</v>
      </c>
      <c r="N185" s="457">
        <v>45836</v>
      </c>
      <c r="O185" s="516">
        <v>136659.47</v>
      </c>
      <c r="P185" s="459">
        <v>45839</v>
      </c>
      <c r="Q185" s="197" t="str" cm="1">
        <f t="array" aca="1" ref="Q185" ca="1">IF($P185&lt;&gt;"","PAGO",IF($N185&lt;TODAY(),"ATRASADO",IF($N185&gt;TODAY(),"NO PRAZO",IF($N185=TODAY(),"NO PRAZO",SE))))</f>
        <v>PAGO</v>
      </c>
      <c r="R185" s="150" t="str">
        <f t="shared" ca="1" si="2"/>
        <v/>
      </c>
      <c r="S185" s="723"/>
      <c r="T185" s="298"/>
      <c r="U185" s="461">
        <f ca="1">SUBTOTAL(3,Tabela13[[#This Row],[STATUS]])</f>
        <v>1</v>
      </c>
    </row>
    <row r="186" spans="1:23" ht="24.95" customHeight="1">
      <c r="A186" s="433">
        <v>45818</v>
      </c>
      <c r="B186" s="105">
        <v>2808</v>
      </c>
      <c r="C186" s="688" t="str">
        <f>IFERROR(VLOOKUP(Tabela13[[#This Row],[CÓD. EMPRESA]],Tabela3[[CÓDIGO
 EMPRESA ]:[EMPRESA]],2,FALSE),"")</f>
        <v>EMPRESA BRASILEIRA DE CORREIOS E TELEGRAFOS</v>
      </c>
      <c r="D186" s="112" t="s">
        <v>34</v>
      </c>
      <c r="E186" s="112" t="s">
        <v>443</v>
      </c>
      <c r="F186" s="434">
        <v>3678</v>
      </c>
      <c r="G186" s="411">
        <v>3585828</v>
      </c>
      <c r="H186" s="455" t="s">
        <v>49</v>
      </c>
      <c r="I186" s="436">
        <v>45813</v>
      </c>
      <c r="J186" s="433">
        <v>45803</v>
      </c>
      <c r="K186" s="437">
        <v>4045.09</v>
      </c>
      <c r="L186" s="398">
        <f>Tabela13[[#This Row],[VALOR
 BRUTO ]]-Tabela13[[#This Row],[VALOR 
LIQUIDO ]]</f>
        <v>0</v>
      </c>
      <c r="M186" s="399">
        <f>Tabela13[[#This Row],[VALORES PAGOS 
(FORMA PAGTO)]]</f>
        <v>4045.09</v>
      </c>
      <c r="N186" s="433">
        <v>45831</v>
      </c>
      <c r="O186" s="382">
        <v>4045.09</v>
      </c>
      <c r="P186" s="436">
        <v>45831</v>
      </c>
      <c r="Q186" s="197" t="str" cm="1">
        <f t="array" aca="1" ref="Q186" ca="1">IF($P186&lt;&gt;"","PAGO",IF($N186&lt;TODAY(),"ATRASADO",IF($N186&gt;TODAY(),"NO PRAZO",IF($N186=TODAY(),"NO PRAZO",SE))))</f>
        <v>PAGO</v>
      </c>
      <c r="R186" s="150" t="str">
        <f t="shared" ca="1" si="2"/>
        <v/>
      </c>
      <c r="S186" s="721"/>
      <c r="T186" s="112"/>
      <c r="U186" s="439">
        <f ca="1">SUBTOTAL(3,Tabela13[[#This Row],[STATUS]])</f>
        <v>1</v>
      </c>
    </row>
    <row r="187" spans="1:23" ht="24.95" customHeight="1">
      <c r="A187" s="433">
        <v>45818</v>
      </c>
      <c r="B187" s="105">
        <v>58778</v>
      </c>
      <c r="C187" s="688" t="str">
        <f>IFERROR(VLOOKUP(Tabela13[[#This Row],[CÓD. EMPRESA]],Tabela3[[CÓDIGO
 EMPRESA ]:[EMPRESA]],2,FALSE),"")</f>
        <v>ATTEND AMBIENTAL S.A</v>
      </c>
      <c r="D187" s="112" t="s">
        <v>335</v>
      </c>
      <c r="E187" s="112" t="s">
        <v>451</v>
      </c>
      <c r="F187" s="434">
        <v>4189</v>
      </c>
      <c r="G187" s="411">
        <v>47465</v>
      </c>
      <c r="H187" s="165" t="s">
        <v>49</v>
      </c>
      <c r="I187" s="436">
        <v>45778</v>
      </c>
      <c r="J187" s="433">
        <v>45808</v>
      </c>
      <c r="K187" s="437">
        <v>126037.92</v>
      </c>
      <c r="L187" s="398">
        <f>Tabela13[[#This Row],[VALOR
 BRUTO ]]-Tabela13[[#This Row],[VALOR 
LIQUIDO ]]</f>
        <v>6049.82</v>
      </c>
      <c r="M187" s="399">
        <f>Tabela13[[#This Row],[VALORES PAGOS 
(FORMA PAGTO)]]</f>
        <v>119988.1</v>
      </c>
      <c r="N187" s="433">
        <v>45839</v>
      </c>
      <c r="O187" s="438">
        <v>119988.1</v>
      </c>
      <c r="P187" s="436">
        <v>45919</v>
      </c>
      <c r="Q187" s="197" t="str" cm="1">
        <f t="array" aca="1" ref="Q187" ca="1">IF($P187&lt;&gt;"","PAGO",IF($N187&lt;TODAY(),"ATRASADO",IF($N187&gt;TODAY(),"NO PRAZO",IF($N187=TODAY(),"NO PRAZO",SE))))</f>
        <v>PAGO</v>
      </c>
      <c r="R187" s="150" t="str">
        <f t="shared" ca="1" si="2"/>
        <v/>
      </c>
      <c r="S187" s="721"/>
      <c r="T187" s="112"/>
      <c r="U187" s="439">
        <f ca="1">SUBTOTAL(3,Tabela13[[#This Row],[STATUS]])</f>
        <v>1</v>
      </c>
    </row>
    <row r="188" spans="1:23" ht="24.95" customHeight="1">
      <c r="A188" s="489">
        <v>45818</v>
      </c>
      <c r="B188" s="105">
        <v>121973</v>
      </c>
      <c r="C188" s="688" t="str">
        <f>IFERROR(VLOOKUP(Tabela13[[#This Row],[CÓD. EMPRESA]],Tabela3[[CÓDIGO
 EMPRESA ]:[EMPRESA]],2,FALSE),"")</f>
        <v>CONSORCIO CENTRO DE TRATAMENTO DE RESIDUOS GUARULHOS</v>
      </c>
      <c r="D188" s="112" t="s">
        <v>446</v>
      </c>
      <c r="E188" s="112" t="s">
        <v>564</v>
      </c>
      <c r="F188" s="491">
        <v>3681</v>
      </c>
      <c r="G188" s="411">
        <v>5</v>
      </c>
      <c r="H188" s="165" t="s">
        <v>49</v>
      </c>
      <c r="I188" s="596">
        <v>45748</v>
      </c>
      <c r="J188" s="592">
        <v>45777</v>
      </c>
      <c r="K188" s="401">
        <v>422567.65</v>
      </c>
      <c r="L188" s="398">
        <f>Tabela13[[#This Row],[VALOR
 BRUTO ]]-Tabela13[[#This Row],[VALOR 
LIQUIDO ]]</f>
        <v>64652.85</v>
      </c>
      <c r="M188" s="399">
        <f>Tabela13[[#This Row],[VALORES PAGOS 
(FORMA PAGTO)]]</f>
        <v>357914.8</v>
      </c>
      <c r="N188" s="592">
        <v>45839</v>
      </c>
      <c r="O188" s="813">
        <v>357914.8</v>
      </c>
      <c r="P188" s="596">
        <v>45853</v>
      </c>
      <c r="Q188" s="197" t="str" cm="1">
        <f t="array" aca="1" ref="Q188" ca="1">IF($P188&lt;&gt;"","PAGO",IF($N188&lt;TODAY(),"ATRASADO",IF($N188&gt;TODAY(),"NO PRAZO",IF($N188=TODAY(),"NO PRAZO",SE))))</f>
        <v>PAGO</v>
      </c>
      <c r="R188" s="150" t="str">
        <f t="shared" ca="1" si="2"/>
        <v/>
      </c>
      <c r="S188" s="727"/>
      <c r="T188" s="112"/>
      <c r="U188" s="599">
        <f ca="1">SUBTOTAL(3,Tabela13[[#This Row],[STATUS]])</f>
        <v>1</v>
      </c>
    </row>
    <row r="189" spans="1:23" ht="24.95" customHeight="1">
      <c r="A189" s="433">
        <v>45820</v>
      </c>
      <c r="B189" s="105">
        <v>74416</v>
      </c>
      <c r="C189" s="688" t="s">
        <v>531</v>
      </c>
      <c r="D189" s="112" t="s">
        <v>532</v>
      </c>
      <c r="E189" s="112" t="s">
        <v>533</v>
      </c>
      <c r="F189" s="434">
        <v>12287</v>
      </c>
      <c r="G189" s="411">
        <v>3634</v>
      </c>
      <c r="H189" s="455" t="s">
        <v>49</v>
      </c>
      <c r="I189" s="436"/>
      <c r="J189" s="433"/>
      <c r="K189" s="437">
        <v>5700</v>
      </c>
      <c r="L189" s="398">
        <f>Tabela13[[#This Row],[VALOR
 BRUTO ]]-Tabela13[[#This Row],[VALOR 
LIQUIDO ]]</f>
        <v>0</v>
      </c>
      <c r="M189" s="399">
        <f>Tabela13[[#This Row],[VALORES PAGOS 
(FORMA PAGTO)]]</f>
        <v>5700</v>
      </c>
      <c r="N189" s="433">
        <v>45843</v>
      </c>
      <c r="O189" s="382">
        <v>5700</v>
      </c>
      <c r="P189" s="436">
        <v>45862</v>
      </c>
      <c r="Q189" s="197" t="str" cm="1">
        <f t="array" aca="1" ref="Q189" ca="1">IF($P189&lt;&gt;"","PAGO",IF($N189&lt;TODAY(),"ATRASADO",IF($N189&gt;TODAY(),"NO PRAZO",IF($N189=TODAY(),"NO PRAZO",SE))))</f>
        <v>PAGO</v>
      </c>
      <c r="R189" s="150" t="str">
        <f t="shared" ca="1" si="2"/>
        <v/>
      </c>
      <c r="S189" s="721"/>
      <c r="T189" s="112"/>
      <c r="U189" s="439">
        <f ca="1">SUBTOTAL(3,Tabela13[[#This Row],[STATUS]])</f>
        <v>1</v>
      </c>
    </row>
    <row r="190" spans="1:23" ht="24.75" customHeight="1">
      <c r="A190" s="433">
        <v>45820</v>
      </c>
      <c r="B190" s="105">
        <v>73402</v>
      </c>
      <c r="C190" s="688" t="str">
        <f>IFERROR(VLOOKUP(Tabela13[[#This Row],[CÓD. EMPRESA]],Tabela3[[CÓDIGO
 EMPRESA ]:[EMPRESA]],2,FALSE),"")</f>
        <v>NELSON TAKAO YOSHIDA</v>
      </c>
      <c r="D190" s="112" t="s">
        <v>414</v>
      </c>
      <c r="E190" s="112" t="s">
        <v>415</v>
      </c>
      <c r="F190" s="434">
        <v>2830</v>
      </c>
      <c r="G190" s="411">
        <v>164</v>
      </c>
      <c r="H190" s="455" t="s">
        <v>49</v>
      </c>
      <c r="I190" s="436"/>
      <c r="J190" s="433"/>
      <c r="K190" s="437">
        <v>22365.03</v>
      </c>
      <c r="L190" s="398">
        <f>Tabela13[[#This Row],[VALOR
 BRUTO ]]-Tabela13[[#This Row],[VALOR 
LIQUIDO ]]</f>
        <v>335.48</v>
      </c>
      <c r="M190" s="399">
        <f>Tabela13[[#This Row],[VALORES PAGOS 
(FORMA PAGTO)]]</f>
        <v>22029.55</v>
      </c>
      <c r="N190" s="433">
        <v>45839</v>
      </c>
      <c r="O190" s="382">
        <v>22029.55</v>
      </c>
      <c r="P190" s="436">
        <v>45862</v>
      </c>
      <c r="Q190" s="197" t="str" cm="1">
        <f t="array" aca="1" ref="Q190" ca="1">IF($P190&lt;&gt;"","PAGO",IF($N190&lt;TODAY(),"ATRASADO",IF($N190&gt;TODAY(),"NO PRAZO",IF($N190=TODAY(),"NO PRAZO",SE))))</f>
        <v>PAGO</v>
      </c>
      <c r="R190" s="150" t="str">
        <f t="shared" ca="1" si="2"/>
        <v/>
      </c>
      <c r="S190" s="721"/>
      <c r="T190" s="112"/>
      <c r="U190" s="439">
        <f ca="1">SUBTOTAL(3,Tabela13[[#This Row],[STATUS]])</f>
        <v>1</v>
      </c>
    </row>
    <row r="191" spans="1:23" ht="24.75" customHeight="1">
      <c r="A191" s="433">
        <v>45820</v>
      </c>
      <c r="B191" s="114" t="s">
        <v>126</v>
      </c>
      <c r="C191" s="688" t="str">
        <f>IFERROR(VLOOKUP(Tabela13[[#This Row],[CÓD. EMPRESA]],Tabela3[[CÓDIGO
 EMPRESA ]:[EMPRESA]],2,FALSE),"")</f>
        <v>LOOPINVEST BONSUCESSO</v>
      </c>
      <c r="D191" s="112" t="s">
        <v>426</v>
      </c>
      <c r="E191" s="112" t="s">
        <v>534</v>
      </c>
      <c r="F191" s="434">
        <v>3685</v>
      </c>
      <c r="G191" s="411">
        <v>283</v>
      </c>
      <c r="H191" s="435" t="s">
        <v>49</v>
      </c>
      <c r="I191" s="436"/>
      <c r="J191" s="436"/>
      <c r="K191" s="437">
        <v>295155.37</v>
      </c>
      <c r="L191" s="398">
        <f>Tabela13[[#This Row],[VALOR
 BRUTO ]]-Tabela13[[#This Row],[VALOR 
LIQUIDO ]]</f>
        <v>34533.17</v>
      </c>
      <c r="M191" s="399">
        <f>Tabela13[[#This Row],[VALORES PAGOS 
(FORMA PAGTO)]]</f>
        <v>260622.2</v>
      </c>
      <c r="N191" s="433">
        <v>45846</v>
      </c>
      <c r="O191" s="438">
        <v>260622.2</v>
      </c>
      <c r="P191" s="436">
        <v>45868</v>
      </c>
      <c r="Q191" s="197" t="str" cm="1">
        <f t="array" aca="1" ref="Q191" ca="1">IF($P191&lt;&gt;"","PAGO",IF($N191&lt;TODAY(),"ATRASADO",IF($N191&gt;TODAY(),"NO PRAZO",IF($N191=TODAY(),"NO PRAZO",SE))))</f>
        <v>PAGO</v>
      </c>
      <c r="R191" s="150" t="str">
        <f t="shared" ca="1" si="2"/>
        <v/>
      </c>
      <c r="S191" s="721"/>
      <c r="T191" s="298"/>
      <c r="U191" s="439">
        <f ca="1">SUBTOTAL(3,Tabela13[[#This Row],[STATUS]])</f>
        <v>1</v>
      </c>
    </row>
    <row r="192" spans="1:23" ht="24.75" customHeight="1">
      <c r="A192" s="433">
        <v>45821</v>
      </c>
      <c r="B192" s="114" t="s">
        <v>125</v>
      </c>
      <c r="C192" s="688" t="str">
        <f>IFERROR(VLOOKUP(Tabela13[[#This Row],[CÓD. EMPRESA]],Tabela3[[CÓDIGO
 EMPRESA ]:[EMPRESA]],2,FALSE),"")</f>
        <v>LOOPINVEST CAMPO SANTO</v>
      </c>
      <c r="D192" s="112" t="s">
        <v>413</v>
      </c>
      <c r="E192" s="112" t="s">
        <v>534</v>
      </c>
      <c r="F192" s="434">
        <v>3674</v>
      </c>
      <c r="G192" s="411">
        <v>282</v>
      </c>
      <c r="H192" s="435" t="s">
        <v>49</v>
      </c>
      <c r="I192" s="436"/>
      <c r="J192" s="436"/>
      <c r="K192" s="437">
        <v>276565.15000000002</v>
      </c>
      <c r="L192" s="398">
        <f>Tabela13[[#This Row],[VALOR
 BRUTO ]]-Tabela13[[#This Row],[VALOR 
LIQUIDO ]]</f>
        <v>32358.12</v>
      </c>
      <c r="M192" s="399">
        <f>Tabela13[[#This Row],[VALORES PAGOS 
(FORMA PAGTO)]]</f>
        <v>244207.03</v>
      </c>
      <c r="N192" s="433">
        <v>45846</v>
      </c>
      <c r="O192" s="438">
        <v>244207.03</v>
      </c>
      <c r="P192" s="436">
        <v>45853</v>
      </c>
      <c r="Q192" s="197" t="str" cm="1">
        <f t="array" aca="1" ref="Q192" ca="1">IF($P192&lt;&gt;"","PAGO",IF($N192&lt;TODAY(),"ATRASADO",IF($N192&gt;TODAY(),"NO PRAZO",IF($N192=TODAY(),"NO PRAZO",SE))))</f>
        <v>PAGO</v>
      </c>
      <c r="R192" s="150" t="str">
        <f t="shared" ca="1" si="2"/>
        <v/>
      </c>
      <c r="S192" s="721"/>
      <c r="T192" s="112"/>
      <c r="U192" s="439">
        <f ca="1">SUBTOTAL(3,Tabela13[[#This Row],[STATUS]])</f>
        <v>1</v>
      </c>
    </row>
    <row r="193" spans="1:21" ht="24.75" customHeight="1">
      <c r="A193" s="464">
        <v>45821</v>
      </c>
      <c r="B193" s="105">
        <v>76116</v>
      </c>
      <c r="C193" s="688" t="str">
        <f>IFERROR(VLOOKUP(Tabela13[[#This Row],[CÓD. EMPRESA]],Tabela3[[CÓDIGO
 EMPRESA ]:[EMPRESA]],2,FALSE),"")</f>
        <v>ALVORADA SISTEMA AMBIENTAL EIRELI</v>
      </c>
      <c r="D193" s="112" t="s">
        <v>342</v>
      </c>
      <c r="E193" s="112" t="s">
        <v>460</v>
      </c>
      <c r="F193" s="466">
        <v>4190</v>
      </c>
      <c r="G193" s="411">
        <v>13988</v>
      </c>
      <c r="H193" s="467" t="s">
        <v>48</v>
      </c>
      <c r="I193" s="468">
        <v>45778</v>
      </c>
      <c r="J193" s="464">
        <v>45808</v>
      </c>
      <c r="K193" s="469">
        <v>136419.34</v>
      </c>
      <c r="L193" s="398">
        <f>Tabela13[[#This Row],[VALOR
 BRUTO ]]-Tabela13[[#This Row],[VALOR 
LIQUIDO ]]</f>
        <v>13369.1</v>
      </c>
      <c r="M193" s="399">
        <f>Tabela13[[#This Row],[VALORES PAGOS 
(FORMA PAGTO)]]</f>
        <v>123050.24000000001</v>
      </c>
      <c r="N193" s="464">
        <v>45840</v>
      </c>
      <c r="O193" s="414">
        <v>123050.24000000001</v>
      </c>
      <c r="P193" s="468">
        <v>45862</v>
      </c>
      <c r="Q193" s="197" t="str" cm="1">
        <f t="array" aca="1" ref="Q193" ca="1">IF($P193&lt;&gt;"","PAGO",IF($N193&lt;TODAY(),"ATRASADO",IF($N193&gt;TODAY(),"NO PRAZO",IF($N193=TODAY(),"NO PRAZO",SE))))</f>
        <v>PAGO</v>
      </c>
      <c r="R193" s="150" t="str">
        <f t="shared" ca="1" si="2"/>
        <v/>
      </c>
      <c r="S193" s="724"/>
      <c r="T193" s="112"/>
      <c r="U193" s="471">
        <f ca="1">SUBTOTAL(3,Tabela13[[#This Row],[STATUS]])</f>
        <v>1</v>
      </c>
    </row>
    <row r="194" spans="1:21" ht="24.75" customHeight="1">
      <c r="A194" s="433">
        <v>45824</v>
      </c>
      <c r="B194" s="105">
        <v>122083</v>
      </c>
      <c r="C194" s="688" t="str">
        <f>IFERROR(VLOOKUP(Tabela13[[#This Row],[CÓD. EMPRESA]],Tabela3[[CÓDIGO
 EMPRESA ]:[EMPRESA]],2,FALSE),"")</f>
        <v>S H MACIEL LOPES LTDA</v>
      </c>
      <c r="D194" s="112" t="s">
        <v>458</v>
      </c>
      <c r="E194" s="112" t="s">
        <v>459</v>
      </c>
      <c r="F194" s="434">
        <v>10200</v>
      </c>
      <c r="G194" s="411">
        <v>5627</v>
      </c>
      <c r="H194" s="455" t="s">
        <v>49</v>
      </c>
      <c r="I194" s="436"/>
      <c r="J194" s="433"/>
      <c r="K194" s="437">
        <v>17900</v>
      </c>
      <c r="L194" s="398">
        <f>Tabela13[[#This Row],[VALOR
 BRUTO ]]-Tabela13[[#This Row],[VALOR 
LIQUIDO ]]</f>
        <v>0</v>
      </c>
      <c r="M194" s="399">
        <f>Tabela13[[#This Row],[VALORES PAGOS 
(FORMA PAGTO)]]</f>
        <v>17900</v>
      </c>
      <c r="N194" s="433">
        <v>45836</v>
      </c>
      <c r="O194" s="382">
        <v>17900</v>
      </c>
      <c r="P194" s="436">
        <v>45839</v>
      </c>
      <c r="Q194" s="197" t="str" cm="1">
        <f t="array" aca="1" ref="Q194" ca="1">IF($P194&lt;&gt;"","PAGO",IF($N194&lt;TODAY(),"ATRASADO",IF($N194&gt;TODAY(),"NO PRAZO",IF($N194=TODAY(),"NO PRAZO",SE))))</f>
        <v>PAGO</v>
      </c>
      <c r="R194" s="150" t="str">
        <f t="shared" ca="1" si="2"/>
        <v/>
      </c>
      <c r="S194" s="721"/>
      <c r="T194" s="112"/>
      <c r="U194" s="439">
        <f ca="1">SUBTOTAL(3,Tabela13[[#This Row],[STATUS]])</f>
        <v>1</v>
      </c>
    </row>
    <row r="195" spans="1:21" ht="24.75" customHeight="1">
      <c r="A195" s="433">
        <v>45824</v>
      </c>
      <c r="B195" s="105">
        <v>122083</v>
      </c>
      <c r="C195" s="688" t="str">
        <f>IFERROR(VLOOKUP(Tabela13[[#This Row],[CÓD. EMPRESA]],Tabela3[[CÓDIGO
 EMPRESA ]:[EMPRESA]],2,FALSE),"")</f>
        <v>S H MACIEL LOPES LTDA</v>
      </c>
      <c r="D195" s="112" t="s">
        <v>458</v>
      </c>
      <c r="E195" s="112" t="s">
        <v>459</v>
      </c>
      <c r="F195" s="434">
        <v>10203</v>
      </c>
      <c r="G195" s="411">
        <v>5627</v>
      </c>
      <c r="H195" s="165" t="s">
        <v>49</v>
      </c>
      <c r="I195" s="436"/>
      <c r="J195" s="433"/>
      <c r="K195" s="437">
        <v>25000</v>
      </c>
      <c r="L195" s="398">
        <f>Tabela13[[#This Row],[VALOR
 BRUTO ]]-Tabela13[[#This Row],[VALOR 
LIQUIDO ]]</f>
        <v>514.79999999999995</v>
      </c>
      <c r="M195" s="399">
        <f>Tabela13[[#This Row],[VALORES PAGOS 
(FORMA PAGTO)]]</f>
        <v>24485.200000000001</v>
      </c>
      <c r="N195" s="433">
        <v>45836</v>
      </c>
      <c r="O195" s="414">
        <v>24485.200000000001</v>
      </c>
      <c r="P195" s="436">
        <v>45839</v>
      </c>
      <c r="Q195" s="197" t="str" cm="1">
        <f t="array" aca="1" ref="Q195" ca="1">IF($P195&lt;&gt;"","PAGO",IF($N195&lt;TODAY(),"ATRASADO",IF($N195&gt;TODAY(),"NO PRAZO",IF($N195=TODAY(),"NO PRAZO",SE))))</f>
        <v>PAGO</v>
      </c>
      <c r="R195" s="150" t="str">
        <f t="shared" ca="1" si="2"/>
        <v/>
      </c>
      <c r="S195" s="721"/>
      <c r="T195" s="112"/>
      <c r="U195" s="439">
        <f ca="1">SUBTOTAL(3,Tabela13[[#This Row],[STATUS]])</f>
        <v>1</v>
      </c>
    </row>
    <row r="196" spans="1:21" ht="24.75" customHeight="1">
      <c r="A196" s="433">
        <v>45824</v>
      </c>
      <c r="B196" s="105">
        <v>119162</v>
      </c>
      <c r="C196" s="688" t="str">
        <f>IFERROR(VLOOKUP(Tabela13[[#This Row],[CÓD. EMPRESA]],Tabela3[[CÓDIGO
 EMPRESA ]:[EMPRESA]],2,FALSE),"")</f>
        <v>COOPERATIVA DE TRABALHO COLETA TRIAGEM BENEFICIAMENTO E COMERCIO DE MATERIAIS RECICLAVEIS NOVO CICLO</v>
      </c>
      <c r="D196" s="112" t="s">
        <v>343</v>
      </c>
      <c r="E196" s="112" t="s">
        <v>535</v>
      </c>
      <c r="F196" s="434">
        <v>3689</v>
      </c>
      <c r="G196" s="411">
        <v>4</v>
      </c>
      <c r="H196" s="165" t="s">
        <v>48</v>
      </c>
      <c r="I196" s="436">
        <v>45717</v>
      </c>
      <c r="J196" s="433">
        <v>45747</v>
      </c>
      <c r="K196" s="437">
        <v>12793.66</v>
      </c>
      <c r="L196" s="398">
        <f>Tabela13[[#This Row],[VALOR
 BRUTO ]]-Tabela13[[#This Row],[VALOR 
LIQUIDO ]]</f>
        <v>639.67999999999995</v>
      </c>
      <c r="M196" s="399">
        <f>Tabela13[[#This Row],[VALORES PAGOS 
(FORMA PAGTO)]]</f>
        <v>12153.98</v>
      </c>
      <c r="N196" s="433">
        <v>45824</v>
      </c>
      <c r="O196" s="385">
        <v>12153.98</v>
      </c>
      <c r="P196" s="436">
        <v>45839</v>
      </c>
      <c r="Q196" s="197" t="str" cm="1">
        <f t="array" aca="1" ref="Q196" ca="1">IF($P196&lt;&gt;"","PAGO",IF($N196&lt;TODAY(),"ATRASADO",IF($N196&gt;TODAY(),"NO PRAZO",IF($N196=TODAY(),"NO PRAZO",SE))))</f>
        <v>PAGO</v>
      </c>
      <c r="R196" s="150" t="str">
        <f t="shared" ca="1" si="2"/>
        <v/>
      </c>
      <c r="S196" s="721"/>
      <c r="T196" s="112"/>
      <c r="U196" s="439">
        <f ca="1">SUBTOTAL(3,Tabela13[[#This Row],[STATUS]])</f>
        <v>1</v>
      </c>
    </row>
    <row r="197" spans="1:21" ht="24.75" customHeight="1">
      <c r="A197" s="433">
        <v>45824</v>
      </c>
      <c r="B197" s="105">
        <v>119152</v>
      </c>
      <c r="C197" s="688" t="str">
        <f>IFERROR(VLOOKUP(Tabela13[[#This Row],[CÓD. EMPRESA]],Tabela3[[CÓDIGO
 EMPRESA ]:[EMPRESA]],2,FALSE),"")</f>
        <v>COOPERATIVA DE TRABALHO DE CATADORAS E CATADORES DE MATERIAIS RECICLAVEIS SINERGIA BRASIL</v>
      </c>
      <c r="D197" s="112" t="s">
        <v>346</v>
      </c>
      <c r="E197" s="112" t="s">
        <v>499</v>
      </c>
      <c r="F197" s="434">
        <v>4275</v>
      </c>
      <c r="G197" s="411">
        <v>6</v>
      </c>
      <c r="H197" s="165" t="s">
        <v>48</v>
      </c>
      <c r="I197" s="436">
        <v>45717</v>
      </c>
      <c r="J197" s="436">
        <v>45747</v>
      </c>
      <c r="K197" s="437">
        <v>22283.54</v>
      </c>
      <c r="L197" s="398">
        <f>Tabela13[[#This Row],[VALOR
 BRUTO ]]-Tabela13[[#This Row],[VALOR 
LIQUIDO ]]</f>
        <v>1114.18</v>
      </c>
      <c r="M197" s="399">
        <f>Tabela13[[#This Row],[VALORES PAGOS 
(FORMA PAGTO)]]</f>
        <v>21169.360000000001</v>
      </c>
      <c r="N197" s="433">
        <v>45824</v>
      </c>
      <c r="O197" s="438">
        <v>21169.360000000001</v>
      </c>
      <c r="P197" s="436">
        <v>45839</v>
      </c>
      <c r="Q197" s="197" t="str" cm="1">
        <f t="array" aca="1" ref="Q197" ca="1">IF($P197&lt;&gt;"","PAGO",IF($N197&lt;TODAY(),"ATRASADO",IF($N197&gt;TODAY(),"NO PRAZO",IF($N197=TODAY(),"NO PRAZO",SE))))</f>
        <v>PAGO</v>
      </c>
      <c r="R197" s="150" t="str">
        <f t="shared" ca="1" si="2"/>
        <v/>
      </c>
      <c r="S197" s="721"/>
      <c r="T197" s="112"/>
      <c r="U197" s="439">
        <f ca="1">SUBTOTAL(3,Tabela13[[#This Row],[STATUS]])</f>
        <v>1</v>
      </c>
    </row>
    <row r="198" spans="1:21" ht="24.75" customHeight="1">
      <c r="A198" s="464">
        <v>45824</v>
      </c>
      <c r="B198" s="105">
        <v>112466</v>
      </c>
      <c r="C198" s="688" t="str">
        <f>IFERROR(VLOOKUP(Tabela13[[#This Row],[CÓD. EMPRESA]],Tabela3[[CÓDIGO
 EMPRESA ]:[EMPRESA]],2,FALSE),"")</f>
        <v>COOPERATIVA DE TRABALHO DE RECICLAGEM ECO GUARULHOS</v>
      </c>
      <c r="D198" s="112" t="s">
        <v>337</v>
      </c>
      <c r="E198" s="112" t="s">
        <v>489</v>
      </c>
      <c r="F198" s="466">
        <v>4225</v>
      </c>
      <c r="G198" s="411">
        <v>18</v>
      </c>
      <c r="H198" s="165" t="s">
        <v>48</v>
      </c>
      <c r="I198" s="468">
        <v>45717</v>
      </c>
      <c r="J198" s="464">
        <v>45808</v>
      </c>
      <c r="K198" s="469">
        <v>32653.48</v>
      </c>
      <c r="L198" s="398">
        <f>Tabela13[[#This Row],[VALOR
 BRUTO ]]-Tabela13[[#This Row],[VALOR 
LIQUIDO ]]</f>
        <v>1632.67</v>
      </c>
      <c r="M198" s="399">
        <f>Tabela13[[#This Row],[VALORES PAGOS 
(FORMA PAGTO)]]</f>
        <v>31020.81</v>
      </c>
      <c r="N198" s="464">
        <v>45824</v>
      </c>
      <c r="O198" s="571">
        <v>31020.81</v>
      </c>
      <c r="P198" s="468">
        <v>45839</v>
      </c>
      <c r="Q198" s="197" t="str" cm="1">
        <f t="array" aca="1" ref="Q198" ca="1">IF($P198&lt;&gt;"","PAGO",IF($N198&lt;TODAY(),"ATRASADO",IF($N198&gt;TODAY(),"NO PRAZO",IF($N198=TODAY(),"NO PRAZO",SE))))</f>
        <v>PAGO</v>
      </c>
      <c r="R198" s="150" t="str">
        <f t="shared" ref="R198:R261" ca="1" si="3">IF(Q198="ATRASADO",N198-TODAY(),IF(Q198="NO PRAZO",N198-TODAY(),IF(Q198="PAGO","")))</f>
        <v/>
      </c>
      <c r="S198" s="724"/>
      <c r="T198" s="112"/>
      <c r="U198" s="471">
        <f ca="1">SUBTOTAL(3,Tabela13[[#This Row],[STATUS]])</f>
        <v>1</v>
      </c>
    </row>
    <row r="199" spans="1:21" ht="24" customHeight="1">
      <c r="A199" s="464">
        <v>45824</v>
      </c>
      <c r="B199" s="105">
        <v>118229</v>
      </c>
      <c r="C199" s="688" t="str">
        <f>IFERROR(VLOOKUP(Tabela13[[#This Row],[CÓD. EMPRESA]],Tabela3[[CÓDIGO
 EMPRESA ]:[EMPRESA]],2,FALSE),"")</f>
        <v>COOPERATIVA DE TRABALHO DAS CATADORAS E CATADORES DE MATERIAIS RECICLAVEIS LUTA E VIDA</v>
      </c>
      <c r="D199" s="112" t="s">
        <v>330</v>
      </c>
      <c r="E199" s="112" t="s">
        <v>498</v>
      </c>
      <c r="F199" s="466">
        <v>3693</v>
      </c>
      <c r="G199" s="411">
        <v>8</v>
      </c>
      <c r="H199" s="165" t="s">
        <v>48</v>
      </c>
      <c r="I199" s="468">
        <v>45717</v>
      </c>
      <c r="J199" s="464">
        <v>45077</v>
      </c>
      <c r="K199" s="469">
        <v>17173.41</v>
      </c>
      <c r="L199" s="398">
        <f>Tabela13[[#This Row],[VALOR
 BRUTO ]]-Tabela13[[#This Row],[VALOR 
LIQUIDO ]]</f>
        <v>858.67</v>
      </c>
      <c r="M199" s="399">
        <f>Tabela13[[#This Row],[VALORES PAGOS 
(FORMA PAGTO)]]</f>
        <v>16314.74</v>
      </c>
      <c r="N199" s="464">
        <v>45824</v>
      </c>
      <c r="O199" s="572">
        <v>16314.74</v>
      </c>
      <c r="P199" s="468">
        <v>45839</v>
      </c>
      <c r="Q199" s="197" t="str" cm="1">
        <f t="array" aca="1" ref="Q199" ca="1">IF($P199&lt;&gt;"","PAGO",IF($N199&lt;TODAY(),"ATRASADO",IF($N199&gt;TODAY(),"NO PRAZO",IF($N199=TODAY(),"NO PRAZO",SE))))</f>
        <v>PAGO</v>
      </c>
      <c r="R199" s="150" t="str">
        <f t="shared" ca="1" si="3"/>
        <v/>
      </c>
      <c r="S199" s="724"/>
      <c r="T199" s="112"/>
      <c r="U199" s="471">
        <f ca="1">SUBTOTAL(3,Tabela13[[#This Row],[STATUS]])</f>
        <v>1</v>
      </c>
    </row>
    <row r="200" spans="1:21" ht="24" customHeight="1">
      <c r="A200" s="464">
        <v>45824</v>
      </c>
      <c r="B200" s="105">
        <v>119166</v>
      </c>
      <c r="C200" s="688" t="str">
        <f>IFERROR(VLOOKUP(Tabela13[[#This Row],[CÓD. EMPRESA]],Tabela3[[CÓDIGO
 EMPRESA ]:[EMPRESA]],2,FALSE),"")</f>
        <v>COOPERATIVA DE TRABALHO DE CATADORES E CATADORAS DE MATERIAL DE RECICLAGEM VILA RENATA CRV</v>
      </c>
      <c r="D200" s="112" t="s">
        <v>347</v>
      </c>
      <c r="E200" s="112" t="s">
        <v>536</v>
      </c>
      <c r="F200" s="466">
        <v>4270</v>
      </c>
      <c r="G200" s="411">
        <v>5</v>
      </c>
      <c r="H200" s="165" t="s">
        <v>48</v>
      </c>
      <c r="I200" s="468">
        <v>45717</v>
      </c>
      <c r="J200" s="464">
        <v>45808</v>
      </c>
      <c r="K200" s="469">
        <v>21904.13</v>
      </c>
      <c r="L200" s="398">
        <f>Tabela13[[#This Row],[VALOR
 BRUTO ]]-Tabela13[[#This Row],[VALOR 
LIQUIDO ]]</f>
        <v>1095.21</v>
      </c>
      <c r="M200" s="399">
        <f>Tabela13[[#This Row],[VALORES PAGOS 
(FORMA PAGTO)]]</f>
        <v>20808.919999999998</v>
      </c>
      <c r="N200" s="464">
        <v>45824</v>
      </c>
      <c r="O200" s="572">
        <v>20808.919999999998</v>
      </c>
      <c r="P200" s="468">
        <v>45838</v>
      </c>
      <c r="Q200" s="197" t="str" cm="1">
        <f t="array" aca="1" ref="Q200" ca="1">IF($P200&lt;&gt;"","PAGO",IF($N200&lt;TODAY(),"ATRASADO",IF($N200&gt;TODAY(),"NO PRAZO",IF($N200=TODAY(),"NO PRAZO",SE))))</f>
        <v>PAGO</v>
      </c>
      <c r="R200" s="150" t="str">
        <f t="shared" ca="1" si="3"/>
        <v/>
      </c>
      <c r="S200" s="724"/>
      <c r="T200" s="112"/>
      <c r="U200" s="471">
        <f ca="1">SUBTOTAL(3,Tabela13[[#This Row],[STATUS]])</f>
        <v>1</v>
      </c>
    </row>
    <row r="201" spans="1:21" ht="24" customHeight="1">
      <c r="A201" s="464">
        <v>45824</v>
      </c>
      <c r="B201" s="105">
        <v>118247</v>
      </c>
      <c r="C201" s="688" t="str">
        <f>IFERROR(VLOOKUP(Tabela13[[#This Row],[CÓD. EMPRESA]],Tabela3[[CÓDIGO
 EMPRESA ]:[EMPRESA]],2,FALSE),"")</f>
        <v>COOPERATIVA DE TRABALHO DE CATADORAS DE CATADORES DE MATERIAIS RECICLAVEIS GUARULHOS RECICLA</v>
      </c>
      <c r="D201" s="112" t="s">
        <v>331</v>
      </c>
      <c r="E201" s="112" t="s">
        <v>500</v>
      </c>
      <c r="F201" s="466">
        <v>4268</v>
      </c>
      <c r="G201" s="109">
        <v>6</v>
      </c>
      <c r="H201" s="165" t="s">
        <v>48</v>
      </c>
      <c r="I201" s="468">
        <v>45717</v>
      </c>
      <c r="J201" s="464">
        <v>45747</v>
      </c>
      <c r="K201" s="401">
        <v>18402.13</v>
      </c>
      <c r="L201" s="398">
        <f>Tabela13[[#This Row],[VALOR
 BRUTO ]]-Tabela13[[#This Row],[VALOR 
LIQUIDO ]]</f>
        <v>0</v>
      </c>
      <c r="M201" s="399">
        <f>Tabela13[[#This Row],[VALORES PAGOS 
(FORMA PAGTO)]]</f>
        <v>18402.13</v>
      </c>
      <c r="N201" s="464">
        <v>45824</v>
      </c>
      <c r="O201" s="385">
        <v>18402.13</v>
      </c>
      <c r="P201" s="468">
        <v>45839</v>
      </c>
      <c r="Q201" s="197" t="str" cm="1">
        <f t="array" aca="1" ref="Q201" ca="1">IF($P201&lt;&gt;"","PAGO",IF($N201&lt;TODAY(),"ATRASADO",IF($N201&gt;TODAY(),"NO PRAZO",IF($N201=TODAY(),"NO PRAZO",SE))))</f>
        <v>PAGO</v>
      </c>
      <c r="R201" s="150" t="str">
        <f t="shared" ca="1" si="3"/>
        <v/>
      </c>
      <c r="S201" s="724"/>
      <c r="T201" s="112"/>
      <c r="U201" s="471">
        <f ca="1">SUBTOTAL(3,Tabela13[[#This Row],[STATUS]])</f>
        <v>1</v>
      </c>
    </row>
    <row r="202" spans="1:21" ht="24" customHeight="1">
      <c r="A202" s="464">
        <v>45824</v>
      </c>
      <c r="B202" s="105">
        <v>118247</v>
      </c>
      <c r="C202" s="688" t="str">
        <f>IFERROR(VLOOKUP(Tabela13[[#This Row],[CÓD. EMPRESA]],Tabela3[[CÓDIGO
 EMPRESA ]:[EMPRESA]],2,FALSE),"")</f>
        <v>COOPERATIVA DE TRABALHO DE CATADORAS DE CATADORES DE MATERIAIS RECICLAVEIS GUARULHOS RECICLA</v>
      </c>
      <c r="D202" s="112" t="s">
        <v>331</v>
      </c>
      <c r="E202" s="112" t="s">
        <v>500</v>
      </c>
      <c r="F202" s="466">
        <v>7046</v>
      </c>
      <c r="G202" s="109">
        <v>6</v>
      </c>
      <c r="H202" s="165" t="s">
        <v>48</v>
      </c>
      <c r="I202" s="468">
        <v>45717</v>
      </c>
      <c r="J202" s="464">
        <v>45747</v>
      </c>
      <c r="K202" s="401">
        <v>54886.07</v>
      </c>
      <c r="L202" s="398">
        <f>Tabela13[[#This Row],[VALOR
 BRUTO ]]-Tabela13[[#This Row],[VALOR 
LIQUIDO ]]</f>
        <v>3664.41</v>
      </c>
      <c r="M202" s="399">
        <f>Tabela13[[#This Row],[VALORES PAGOS 
(FORMA PAGTO)]]</f>
        <v>51221.66</v>
      </c>
      <c r="N202" s="464">
        <v>45824</v>
      </c>
      <c r="O202" s="470">
        <v>51221.66</v>
      </c>
      <c r="P202" s="468">
        <v>45839</v>
      </c>
      <c r="Q202" s="197" t="str" cm="1">
        <f t="array" aca="1" ref="Q202" ca="1">IF($P202&lt;&gt;"","PAGO",IF($N202&lt;TODAY(),"ATRASADO",IF($N202&gt;TODAY(),"NO PRAZO",IF($N202=TODAY(),"NO PRAZO",SE))))</f>
        <v>PAGO</v>
      </c>
      <c r="R202" s="150" t="str">
        <f t="shared" ca="1" si="3"/>
        <v/>
      </c>
      <c r="S202" s="724"/>
      <c r="T202" s="112"/>
      <c r="U202" s="471">
        <f ca="1">SUBTOTAL(3,Tabela13[[#This Row],[STATUS]])</f>
        <v>1</v>
      </c>
    </row>
    <row r="203" spans="1:21" ht="24" customHeight="1">
      <c r="A203" s="464">
        <v>45824</v>
      </c>
      <c r="B203" s="105">
        <v>119149</v>
      </c>
      <c r="C203" s="688" t="str">
        <f>IFERROR(VLOOKUP(Tabela13[[#This Row],[CÓD. EMPRESA]],Tabela3[[CÓDIGO
 EMPRESA ]:[EMPRESA]],2,FALSE),"")</f>
        <v>COOPERATIVA DE TRABALHO NOVO BAMBI</v>
      </c>
      <c r="D203" s="112" t="s">
        <v>348</v>
      </c>
      <c r="E203" s="112" t="s">
        <v>501</v>
      </c>
      <c r="F203" s="466">
        <v>4258</v>
      </c>
      <c r="G203" s="411">
        <v>9</v>
      </c>
      <c r="H203" s="467" t="s">
        <v>49</v>
      </c>
      <c r="I203" s="468">
        <v>45717</v>
      </c>
      <c r="J203" s="464">
        <v>45747</v>
      </c>
      <c r="K203" s="401">
        <v>39050</v>
      </c>
      <c r="L203" s="398">
        <f>Tabela13[[#This Row],[VALOR
 BRUTO ]]-Tabela13[[#This Row],[VALOR 
LIQUIDO ]]</f>
        <v>2186.9499999999998</v>
      </c>
      <c r="M203" s="399">
        <f>Tabela13[[#This Row],[VALORES PAGOS 
(FORMA PAGTO)]]</f>
        <v>36863.050000000003</v>
      </c>
      <c r="N203" s="464">
        <v>45825</v>
      </c>
      <c r="O203" s="814">
        <v>36863.050000000003</v>
      </c>
      <c r="P203" s="468">
        <v>45839</v>
      </c>
      <c r="Q203" s="197" t="str" cm="1">
        <f t="array" aca="1" ref="Q203" ca="1">IF($P203&lt;&gt;"","PAGO",IF($N203&lt;TODAY(),"ATRASADO",IF($N203&gt;TODAY(),"NO PRAZO",IF($N203=TODAY(),"NO PRAZO",SE))))</f>
        <v>PAGO</v>
      </c>
      <c r="R203" s="150" t="str">
        <f t="shared" ca="1" si="3"/>
        <v/>
      </c>
      <c r="S203" s="724"/>
      <c r="T203" s="112"/>
      <c r="U203" s="471">
        <f ca="1">SUBTOTAL(3,Tabela13[[#This Row],[STATUS]])</f>
        <v>1</v>
      </c>
    </row>
    <row r="204" spans="1:21" ht="24" customHeight="1">
      <c r="A204" s="464">
        <v>45824</v>
      </c>
      <c r="B204" s="105">
        <v>119149</v>
      </c>
      <c r="C204" s="688" t="str">
        <f>IFERROR(VLOOKUP(Tabela13[[#This Row],[CÓD. EMPRESA]],Tabela3[[CÓDIGO
 EMPRESA ]:[EMPRESA]],2,FALSE),"")</f>
        <v>COOPERATIVA DE TRABALHO NOVO BAMBI</v>
      </c>
      <c r="D204" s="112" t="s">
        <v>348</v>
      </c>
      <c r="E204" s="112" t="s">
        <v>501</v>
      </c>
      <c r="F204" s="466">
        <v>7078</v>
      </c>
      <c r="G204" s="411">
        <v>9</v>
      </c>
      <c r="H204" s="165" t="s">
        <v>49</v>
      </c>
      <c r="I204" s="468">
        <v>45717</v>
      </c>
      <c r="J204" s="464">
        <v>45747</v>
      </c>
      <c r="K204" s="401">
        <v>4688.9399999999996</v>
      </c>
      <c r="L204" s="398">
        <f>Tabela13[[#This Row],[VALOR
 BRUTO ]]-Tabela13[[#This Row],[VALOR 
LIQUIDO ]]</f>
        <v>0</v>
      </c>
      <c r="M204" s="399">
        <f>Tabela13[[#This Row],[VALORES PAGOS 
(FORMA PAGTO)]]</f>
        <v>4688.9399999999996</v>
      </c>
      <c r="N204" s="464">
        <v>45825</v>
      </c>
      <c r="O204" s="470">
        <v>4688.9399999999996</v>
      </c>
      <c r="P204" s="468">
        <v>45839</v>
      </c>
      <c r="Q204" s="197" t="str" cm="1">
        <f t="array" aca="1" ref="Q204" ca="1">IF($P204&lt;&gt;"","PAGO",IF($N204&lt;TODAY(),"ATRASADO",IF($N204&gt;TODAY(),"NO PRAZO",IF($N204=TODAY(),"NO PRAZO",SE))))</f>
        <v>PAGO</v>
      </c>
      <c r="R204" s="150" t="str">
        <f t="shared" ca="1" si="3"/>
        <v/>
      </c>
      <c r="S204" s="724"/>
      <c r="T204" s="112"/>
      <c r="U204" s="471">
        <f ca="1">SUBTOTAL(3,Tabela13[[#This Row],[STATUS]])</f>
        <v>1</v>
      </c>
    </row>
    <row r="205" spans="1:21" ht="24" customHeight="1">
      <c r="A205" s="464">
        <v>45824</v>
      </c>
      <c r="B205" s="105">
        <v>119151</v>
      </c>
      <c r="C205" s="688" t="str">
        <f>IFERROR(VLOOKUP(Tabela13[[#This Row],[CÓD. EMPRESA]],Tabela3[[CÓDIGO
 EMPRESA ]:[EMPRESA]],2,FALSE),"")</f>
        <v>COOPERATIVA DE TRABALHO DE CATADORAS E CATADORES DE MATERIAIS RECICLAVEIS NOVA VIDA</v>
      </c>
      <c r="D205" s="112" t="s">
        <v>332</v>
      </c>
      <c r="E205" s="112" t="s">
        <v>497</v>
      </c>
      <c r="F205" s="466">
        <v>4199</v>
      </c>
      <c r="G205" s="411">
        <v>9</v>
      </c>
      <c r="H205" s="467" t="s">
        <v>49</v>
      </c>
      <c r="I205" s="468">
        <v>45717</v>
      </c>
      <c r="J205" s="464">
        <v>45747</v>
      </c>
      <c r="K205" s="469">
        <v>1132.28</v>
      </c>
      <c r="L205" s="398">
        <f>Tabela13[[#This Row],[VALOR
 BRUTO ]]-Tabela13[[#This Row],[VALOR 
LIQUIDO ]]</f>
        <v>0</v>
      </c>
      <c r="M205" s="399">
        <f>Tabela13[[#This Row],[VALORES PAGOS 
(FORMA PAGTO)]]</f>
        <v>1132.28</v>
      </c>
      <c r="N205" s="464">
        <v>45825</v>
      </c>
      <c r="O205" s="470">
        <v>1132.28</v>
      </c>
      <c r="P205" s="412">
        <v>45839</v>
      </c>
      <c r="Q205" s="197" t="str" cm="1">
        <f t="array" aca="1" ref="Q205" ca="1">IF($P205&lt;&gt;"","PAGO",IF($N205&lt;TODAY(),"ATRASADO",IF($N205&gt;TODAY(),"NO PRAZO",IF($N205=TODAY(),"NO PRAZO",SE))))</f>
        <v>PAGO</v>
      </c>
      <c r="R205" s="150" t="str">
        <f t="shared" ca="1" si="3"/>
        <v/>
      </c>
      <c r="S205" s="719"/>
      <c r="T205" s="112"/>
      <c r="U205" s="471">
        <f ca="1">SUBTOTAL(3,Tabela13[[#This Row],[STATUS]])</f>
        <v>1</v>
      </c>
    </row>
    <row r="206" spans="1:21" ht="24.95" customHeight="1">
      <c r="A206" s="464">
        <v>45824</v>
      </c>
      <c r="B206" s="105">
        <v>119151</v>
      </c>
      <c r="C206" s="688" t="str">
        <f>IFERROR(VLOOKUP(Tabela13[[#This Row],[CÓD. EMPRESA]],Tabela3[[CÓDIGO
 EMPRESA ]:[EMPRESA]],2,FALSE),"")</f>
        <v>COOPERATIVA DE TRABALHO DE CATADORAS E CATADORES DE MATERIAIS RECICLAVEIS NOVA VIDA</v>
      </c>
      <c r="D206" s="112" t="s">
        <v>332</v>
      </c>
      <c r="E206" s="112" t="s">
        <v>497</v>
      </c>
      <c r="F206" s="466">
        <v>3691</v>
      </c>
      <c r="G206" s="411">
        <v>9</v>
      </c>
      <c r="H206" s="467" t="s">
        <v>49</v>
      </c>
      <c r="I206" s="468">
        <v>45717</v>
      </c>
      <c r="J206" s="464">
        <v>45747</v>
      </c>
      <c r="K206" s="401">
        <v>14319.11</v>
      </c>
      <c r="L206" s="398">
        <f>Tabela13[[#This Row],[VALOR
 BRUTO ]]-Tabela13[[#This Row],[VALOR 
LIQUIDO ]]</f>
        <v>772.57</v>
      </c>
      <c r="M206" s="399">
        <f>Tabela13[[#This Row],[VALORES PAGOS 
(FORMA PAGTO)]]</f>
        <v>13546.54</v>
      </c>
      <c r="N206" s="464">
        <v>45825</v>
      </c>
      <c r="O206" s="470">
        <v>13546.54</v>
      </c>
      <c r="P206" s="412">
        <v>45839</v>
      </c>
      <c r="Q206" s="197" t="str" cm="1">
        <f t="array" aca="1" ref="Q206" ca="1">IF($P206&lt;&gt;"","PAGO",IF($N206&lt;TODAY(),"ATRASADO",IF($N206&gt;TODAY(),"NO PRAZO",IF($N206=TODAY(),"NO PRAZO",SE))))</f>
        <v>PAGO</v>
      </c>
      <c r="R206" s="150" t="str">
        <f t="shared" ca="1" si="3"/>
        <v/>
      </c>
      <c r="S206" s="719"/>
      <c r="T206" s="112"/>
      <c r="U206" s="471">
        <f ca="1">SUBTOTAL(3,Tabela13[[#This Row],[STATUS]])</f>
        <v>1</v>
      </c>
    </row>
    <row r="207" spans="1:21" ht="24.95" customHeight="1">
      <c r="A207" s="464">
        <v>45826</v>
      </c>
      <c r="B207" s="105">
        <v>117936</v>
      </c>
      <c r="C207" s="688" t="str">
        <f>IFERROR(VLOOKUP(Tabela13[[#This Row],[CÓD. EMPRESA]],Tabela3[[CÓDIGO
 EMPRESA ]:[EMPRESA]],2,FALSE),"")</f>
        <v>LOPES SAAB ENGENHARIA LTDA</v>
      </c>
      <c r="D207" s="112" t="s">
        <v>449</v>
      </c>
      <c r="E207" s="112" t="s">
        <v>631</v>
      </c>
      <c r="F207" s="466">
        <v>2929</v>
      </c>
      <c r="G207" s="411">
        <v>152</v>
      </c>
      <c r="H207" s="467" t="s">
        <v>48</v>
      </c>
      <c r="I207" s="468">
        <v>45748</v>
      </c>
      <c r="J207" s="464">
        <v>45777</v>
      </c>
      <c r="K207" s="469">
        <v>115000</v>
      </c>
      <c r="L207" s="398">
        <f>Tabela13[[#This Row],[VALOR
 BRUTO ]]-Tabela13[[#This Row],[VALOR 
LIQUIDO ]]</f>
        <v>0</v>
      </c>
      <c r="M207" s="399">
        <f>Tabela13[[#This Row],[VALORES PAGOS 
(FORMA PAGTO)]]</f>
        <v>115000</v>
      </c>
      <c r="N207" s="464">
        <v>45854</v>
      </c>
      <c r="O207" s="382">
        <v>115000</v>
      </c>
      <c r="P207" s="468">
        <v>45954</v>
      </c>
      <c r="Q207" s="197" t="str" cm="1">
        <f t="array" aca="1" ref="Q207" ca="1">IF($P207&lt;&gt;"","PAGO",IF($N207&lt;TODAY(),"ATRASADO",IF($N207&gt;TODAY(),"NO PRAZO",IF($N207=TODAY(),"NO PRAZO",SE))))</f>
        <v>PAGO</v>
      </c>
      <c r="R207" s="150" t="str">
        <f t="shared" ca="1" si="3"/>
        <v/>
      </c>
      <c r="S207" s="724"/>
      <c r="T207" s="147"/>
      <c r="U207" s="471">
        <f ca="1">SUBTOTAL(3,Tabela13[[#This Row],[STATUS]])</f>
        <v>1</v>
      </c>
    </row>
    <row r="208" spans="1:21" ht="24.95" customHeight="1">
      <c r="A208" s="464">
        <v>45826</v>
      </c>
      <c r="B208" s="105">
        <v>73115</v>
      </c>
      <c r="C208" s="688" t="str">
        <f>IFERROR(VLOOKUP(Tabela13[[#This Row],[CÓD. EMPRESA]],Tabela3[[CÓDIGO
 EMPRESA ]:[EMPRESA]],2,FALSE),"")</f>
        <v>CONSORCIO LIMPA GUARULHOS</v>
      </c>
      <c r="D208" s="112" t="s">
        <v>350</v>
      </c>
      <c r="E208" s="112" t="s">
        <v>494</v>
      </c>
      <c r="F208" s="466">
        <v>7019</v>
      </c>
      <c r="G208" s="411">
        <v>74</v>
      </c>
      <c r="H208" s="165" t="s">
        <v>48</v>
      </c>
      <c r="I208" s="468">
        <v>45778</v>
      </c>
      <c r="J208" s="464">
        <v>45808</v>
      </c>
      <c r="K208" s="469">
        <v>325896.82</v>
      </c>
      <c r="L208" s="398">
        <f>Tabela13[[#This Row],[VALOR
 BRUTO ]]-Tabela13[[#This Row],[VALOR 
LIQUIDO ]]</f>
        <v>0</v>
      </c>
      <c r="M208" s="399">
        <f>Tabela13[[#This Row],[VALORES PAGOS 
(FORMA PAGTO)]]</f>
        <v>325896.82</v>
      </c>
      <c r="N208" s="464">
        <v>45826</v>
      </c>
      <c r="O208" s="470">
        <v>325896.82</v>
      </c>
      <c r="P208" s="412">
        <v>45869</v>
      </c>
      <c r="Q208" s="197" t="str" cm="1">
        <f t="array" aca="1" ref="Q208" ca="1">IF($P208&lt;&gt;"","PAGO",IF($N208&lt;TODAY(),"ATRASADO",IF($N208&gt;TODAY(),"NO PRAZO",IF($N208=TODAY(),"NO PRAZO",SE))))</f>
        <v>PAGO</v>
      </c>
      <c r="R208" s="150" t="str">
        <f t="shared" ca="1" si="3"/>
        <v/>
      </c>
      <c r="S208" s="719"/>
      <c r="T208" s="112"/>
      <c r="U208" s="471">
        <f ca="1">SUBTOTAL(3,Tabela13[[#This Row],[STATUS]])</f>
        <v>1</v>
      </c>
    </row>
    <row r="209" spans="1:23" ht="24.95" customHeight="1">
      <c r="A209" s="464">
        <v>45826</v>
      </c>
      <c r="B209" s="105">
        <v>73115</v>
      </c>
      <c r="C209" s="688" t="str">
        <f>IFERROR(VLOOKUP(Tabela13[[#This Row],[CÓD. EMPRESA]],Tabela3[[CÓDIGO
 EMPRESA ]:[EMPRESA]],2,FALSE),"")</f>
        <v>CONSORCIO LIMPA GUARULHOS</v>
      </c>
      <c r="D209" s="112" t="s">
        <v>350</v>
      </c>
      <c r="E209" s="112" t="s">
        <v>494</v>
      </c>
      <c r="F209" s="466">
        <v>4202</v>
      </c>
      <c r="G209" s="411">
        <v>74</v>
      </c>
      <c r="H209" s="165" t="s">
        <v>48</v>
      </c>
      <c r="I209" s="468">
        <v>45778</v>
      </c>
      <c r="J209" s="464">
        <v>45808</v>
      </c>
      <c r="K209" s="469">
        <v>871117.34</v>
      </c>
      <c r="L209" s="398">
        <f>Tabela13[[#This Row],[VALOR
 BRUTO ]]-Tabela13[[#This Row],[VALOR 
LIQUIDO ]]</f>
        <v>0</v>
      </c>
      <c r="M209" s="399">
        <f>Tabela13[[#This Row],[VALORES PAGOS 
(FORMA PAGTO)]]</f>
        <v>871117.34</v>
      </c>
      <c r="N209" s="464">
        <v>45826</v>
      </c>
      <c r="O209" s="470">
        <v>871117.34</v>
      </c>
      <c r="P209" s="468">
        <v>45869</v>
      </c>
      <c r="Q209" s="197" t="str" cm="1">
        <f t="array" aca="1" ref="Q209" ca="1">IF($P209&lt;&gt;"","PAGO",IF($N209&lt;TODAY(),"ATRASADO",IF($N209&gt;TODAY(),"NO PRAZO",IF($N209=TODAY(),"NO PRAZO",SE))))</f>
        <v>PAGO</v>
      </c>
      <c r="R209" s="150" t="str">
        <f t="shared" ca="1" si="3"/>
        <v/>
      </c>
      <c r="S209" s="724"/>
      <c r="T209" s="112"/>
      <c r="U209" s="471">
        <f ca="1">SUBTOTAL(3,Tabela13[[#This Row],[STATUS]])</f>
        <v>1</v>
      </c>
    </row>
    <row r="210" spans="1:23" ht="24.95" customHeight="1">
      <c r="A210" s="464">
        <v>45826</v>
      </c>
      <c r="B210" s="105">
        <v>73115</v>
      </c>
      <c r="C210" s="688" t="str">
        <f>IFERROR(VLOOKUP(Tabela13[[#This Row],[CÓD. EMPRESA]],Tabela3[[CÓDIGO
 EMPRESA ]:[EMPRESA]],2,FALSE),"")</f>
        <v>CONSORCIO LIMPA GUARULHOS</v>
      </c>
      <c r="D210" s="112" t="s">
        <v>350</v>
      </c>
      <c r="E210" s="112" t="s">
        <v>494</v>
      </c>
      <c r="F210" s="466">
        <v>11477</v>
      </c>
      <c r="G210" s="411">
        <v>74</v>
      </c>
      <c r="H210" s="165" t="s">
        <v>48</v>
      </c>
      <c r="I210" s="468">
        <v>45778</v>
      </c>
      <c r="J210" s="464">
        <v>45808</v>
      </c>
      <c r="K210" s="469">
        <v>5935121.6799999997</v>
      </c>
      <c r="L210" s="398">
        <f>Tabela13[[#This Row],[VALOR
 BRUTO ]]-Tabela13[[#This Row],[VALORES PAGOS 
(FORMA PAGTO)]]-O211</f>
        <v>1422783.98</v>
      </c>
      <c r="M210" s="399">
        <f>Tabela13[[#This Row],[VALORES PAGOS 
(FORMA PAGTO)]]</f>
        <v>3424607.95</v>
      </c>
      <c r="N210" s="464">
        <v>45826</v>
      </c>
      <c r="O210" s="470">
        <v>3424607.95</v>
      </c>
      <c r="P210" s="468">
        <v>45840</v>
      </c>
      <c r="Q210" s="197" t="str" cm="1">
        <f t="array" aca="1" ref="Q210" ca="1">IF($P210&lt;&gt;"","PAGO",IF($N210&lt;TODAY(),"ATRASADO",IF($N210&gt;TODAY(),"NO PRAZO",IF($N210=TODAY(),"NO PRAZO",SE))))</f>
        <v>PAGO</v>
      </c>
      <c r="R210" s="150" t="str">
        <f t="shared" ca="1" si="3"/>
        <v/>
      </c>
      <c r="S210" s="724"/>
      <c r="T210" s="112"/>
      <c r="U210" s="471">
        <f ca="1">SUBTOTAL(3,Tabela13[[#This Row],[STATUS]])</f>
        <v>1</v>
      </c>
    </row>
    <row r="211" spans="1:23" ht="24.95" customHeight="1">
      <c r="A211" s="464">
        <v>45826</v>
      </c>
      <c r="B211" s="105">
        <v>73115</v>
      </c>
      <c r="C211" s="688" t="str">
        <f>IFERROR(VLOOKUP(Tabela13[[#This Row],[CÓD. EMPRESA]],Tabela3[[CÓDIGO
 EMPRESA ]:[EMPRESA]],2,FALSE),"")</f>
        <v>CONSORCIO LIMPA GUARULHOS</v>
      </c>
      <c r="D211" s="112" t="s">
        <v>350</v>
      </c>
      <c r="E211" s="112" t="s">
        <v>494</v>
      </c>
      <c r="F211" s="466">
        <v>11477</v>
      </c>
      <c r="G211" s="411">
        <v>74</v>
      </c>
      <c r="H211" s="165" t="s">
        <v>48</v>
      </c>
      <c r="I211" s="468">
        <v>45778</v>
      </c>
      <c r="J211" s="464">
        <v>45808</v>
      </c>
      <c r="K211" s="795"/>
      <c r="L211" s="796"/>
      <c r="M211" s="797">
        <f>Tabela13[[#This Row],[VALORES PAGOS 
(FORMA PAGTO)]]</f>
        <v>1087729.75</v>
      </c>
      <c r="N211" s="792">
        <v>45826</v>
      </c>
      <c r="O211" s="798">
        <v>1087729.75</v>
      </c>
      <c r="P211" s="794">
        <v>45869</v>
      </c>
      <c r="Q211" s="799" t="str" cm="1">
        <f t="array" aca="1" ref="Q211" ca="1">IF($P211&lt;&gt;"","PAGO",IF($N211&lt;TODAY(),"ATRASADO",IF($N211&gt;TODAY(),"NO PRAZO",IF($N211=TODAY(),"NO PRAZO",SE))))</f>
        <v>PAGO</v>
      </c>
      <c r="R211" s="259" t="str">
        <f t="shared" ca="1" si="3"/>
        <v/>
      </c>
      <c r="S211" s="794"/>
      <c r="T211" s="793"/>
      <c r="U211" s="800">
        <f ca="1">SUBTOTAL(3,Tabela13[[#This Row],[STATUS]])</f>
        <v>1</v>
      </c>
      <c r="W211" s="11"/>
    </row>
    <row r="212" spans="1:23" ht="24.95" customHeight="1">
      <c r="A212" s="464">
        <v>45826</v>
      </c>
      <c r="B212" s="105">
        <v>73115</v>
      </c>
      <c r="C212" s="688" t="str">
        <f>IFERROR(VLOOKUP(Tabela13[[#This Row],[CÓD. EMPRESA]],Tabela3[[CÓDIGO
 EMPRESA ]:[EMPRESA]],2,FALSE),"")</f>
        <v>CONSORCIO LIMPA GUARULHOS</v>
      </c>
      <c r="D212" s="112" t="s">
        <v>350</v>
      </c>
      <c r="E212" s="112" t="s">
        <v>494</v>
      </c>
      <c r="F212" s="466">
        <v>11869</v>
      </c>
      <c r="G212" s="411">
        <v>74</v>
      </c>
      <c r="H212" s="165" t="s">
        <v>48</v>
      </c>
      <c r="I212" s="468">
        <v>45778</v>
      </c>
      <c r="J212" s="464">
        <v>45808</v>
      </c>
      <c r="K212" s="469">
        <v>1139864.05</v>
      </c>
      <c r="L212" s="398">
        <f>Tabela13[[#This Row],[VALOR
 BRUTO ]]-Tabela13[[#This Row],[VALOR 
LIQUIDO ]]</f>
        <v>0</v>
      </c>
      <c r="M212" s="399">
        <f>Tabela13[[#This Row],[VALORES PAGOS 
(FORMA PAGTO)]]</f>
        <v>1139864.05</v>
      </c>
      <c r="N212" s="464">
        <v>45826</v>
      </c>
      <c r="O212" s="470">
        <v>1139864.05</v>
      </c>
      <c r="P212" s="468">
        <v>45869</v>
      </c>
      <c r="Q212" s="197" t="str" cm="1">
        <f t="array" aca="1" ref="Q212" ca="1">IF($P212&lt;&gt;"","PAGO",IF($N212&lt;TODAY(),"ATRASADO",IF($N212&gt;TODAY(),"NO PRAZO",IF($N212=TODAY(),"NO PRAZO",SE))))</f>
        <v>PAGO</v>
      </c>
      <c r="R212" s="150" t="str">
        <f t="shared" ca="1" si="3"/>
        <v/>
      </c>
      <c r="S212" s="724"/>
      <c r="T212" s="112"/>
      <c r="U212" s="471">
        <f ca="1">SUBTOTAL(3,Tabela13[[#This Row],[STATUS]])</f>
        <v>1</v>
      </c>
    </row>
    <row r="213" spans="1:23" ht="24.95" customHeight="1">
      <c r="A213" s="464">
        <v>45826</v>
      </c>
      <c r="B213" s="105">
        <v>117466</v>
      </c>
      <c r="C213" s="688" t="str">
        <f>IFERROR(VLOOKUP(Tabela13[[#This Row],[CÓD. EMPRESA]],Tabela3[[CÓDIGO
 EMPRESA ]:[EMPRESA]],2,FALSE),"")</f>
        <v>RABELO MAGAZINE COMERCIO LTDA.</v>
      </c>
      <c r="D213" s="112" t="s">
        <v>544</v>
      </c>
      <c r="E213" s="112" t="s">
        <v>545</v>
      </c>
      <c r="F213" s="466">
        <v>9463</v>
      </c>
      <c r="G213" s="411">
        <v>3591</v>
      </c>
      <c r="H213" s="165" t="s">
        <v>49</v>
      </c>
      <c r="I213" s="468"/>
      <c r="J213" s="464"/>
      <c r="K213" s="469">
        <v>3090</v>
      </c>
      <c r="L213" s="398">
        <f>Tabela13[[#This Row],[VALOR
 BRUTO ]]-Tabela13[[#This Row],[VALOR 
LIQUIDO ]]</f>
        <v>37.08</v>
      </c>
      <c r="M213" s="399">
        <f>Tabela13[[#This Row],[VALORES PAGOS 
(FORMA PAGTO)]]</f>
        <v>3052.92</v>
      </c>
      <c r="N213" s="464">
        <v>45849</v>
      </c>
      <c r="O213" s="470">
        <v>3052.92</v>
      </c>
      <c r="P213" s="468">
        <v>45862</v>
      </c>
      <c r="Q213" s="197" t="str" cm="1">
        <f t="array" aca="1" ref="Q213" ca="1">IF($P213&lt;&gt;"","PAGO",IF($N213&lt;TODAY(),"ATRASADO",IF($N213&gt;TODAY(),"NO PRAZO",IF($N213=TODAY(),"NO PRAZO",SE))))</f>
        <v>PAGO</v>
      </c>
      <c r="R213" s="150" t="str">
        <f t="shared" ca="1" si="3"/>
        <v/>
      </c>
      <c r="S213" s="724"/>
      <c r="T213" s="112"/>
      <c r="U213" s="471">
        <f ca="1">SUBTOTAL(3,Tabela13[[#This Row],[STATUS]])</f>
        <v>1</v>
      </c>
    </row>
    <row r="214" spans="1:23" ht="24.95" customHeight="1">
      <c r="A214" s="464">
        <v>45826</v>
      </c>
      <c r="B214" s="105">
        <v>119345</v>
      </c>
      <c r="C214" s="688" t="str">
        <f>IFERROR(VLOOKUP(Tabela13[[#This Row],[CÓD. EMPRESA]],Tabela3[[CÓDIGO
 EMPRESA ]:[EMPRESA]],2,FALSE),"")</f>
        <v>CJ PIRAMIDES MATERIAIS PARA CONSTRUCAO LTDA</v>
      </c>
      <c r="D214" s="112" t="s">
        <v>546</v>
      </c>
      <c r="E214" s="112" t="s">
        <v>547</v>
      </c>
      <c r="F214" s="466">
        <v>9226</v>
      </c>
      <c r="G214" s="411">
        <v>8139</v>
      </c>
      <c r="H214" s="467" t="s">
        <v>48</v>
      </c>
      <c r="I214" s="468"/>
      <c r="J214" s="464"/>
      <c r="K214" s="469">
        <v>6803</v>
      </c>
      <c r="L214" s="398">
        <f>Tabela13[[#This Row],[VALOR
 BRUTO ]]-Tabela13[[#This Row],[VALOR 
LIQUIDO ]]</f>
        <v>81.64</v>
      </c>
      <c r="M214" s="399">
        <f>Tabela13[[#This Row],[VALORES PAGOS 
(FORMA PAGTO)]]</f>
        <v>6721.36</v>
      </c>
      <c r="N214" s="464">
        <v>45832</v>
      </c>
      <c r="O214" s="382">
        <v>6721.36</v>
      </c>
      <c r="P214" s="468">
        <v>45853</v>
      </c>
      <c r="Q214" s="197" t="str" cm="1">
        <f t="array" aca="1" ref="Q214" ca="1">IF($P214&lt;&gt;"","PAGO",IF($N214&lt;TODAY(),"ATRASADO",IF($N214&gt;TODAY(),"NO PRAZO",IF($N214=TODAY(),"NO PRAZO",SE))))</f>
        <v>PAGO</v>
      </c>
      <c r="R214" s="150" t="str">
        <f t="shared" ca="1" si="3"/>
        <v/>
      </c>
      <c r="S214" s="724"/>
      <c r="T214" s="112"/>
      <c r="U214" s="471">
        <f ca="1">SUBTOTAL(3,Tabela13[[#This Row],[STATUS]])</f>
        <v>1</v>
      </c>
    </row>
    <row r="215" spans="1:23" ht="24.95" customHeight="1">
      <c r="A215" s="464">
        <v>45826</v>
      </c>
      <c r="B215" s="105">
        <v>68004</v>
      </c>
      <c r="C215" s="688" t="str">
        <f>IFERROR(VLOOKUP(Tabela13[[#This Row],[CÓD. EMPRESA]],Tabela3[[CÓDIGO
 EMPRESA ]:[EMPRESA]],2,FALSE),"")</f>
        <v>VB AMBIENTAL CONSULTORIA E PROJETOS LTDA-ME</v>
      </c>
      <c r="D215" s="112" t="s">
        <v>349</v>
      </c>
      <c r="E215" s="112" t="s">
        <v>489</v>
      </c>
      <c r="F215" s="466">
        <v>2927</v>
      </c>
      <c r="G215" s="411">
        <v>2046</v>
      </c>
      <c r="H215" s="467" t="s">
        <v>49</v>
      </c>
      <c r="I215" s="468">
        <v>45748</v>
      </c>
      <c r="J215" s="464">
        <v>45777</v>
      </c>
      <c r="K215" s="469">
        <v>5430.18</v>
      </c>
      <c r="L215" s="398">
        <f>Tabela13[[#This Row],[VALOR
 BRUTO ]]-Tabela13[[#This Row],[VALOR 
LIQUIDO ]]</f>
        <v>260.64999999999998</v>
      </c>
      <c r="M215" s="399">
        <f>Tabela13[[#This Row],[VALORES PAGOS 
(FORMA PAGTO)]]</f>
        <v>5169.53</v>
      </c>
      <c r="N215" s="464">
        <v>45850</v>
      </c>
      <c r="O215" s="382">
        <v>5169.53</v>
      </c>
      <c r="P215" s="468">
        <v>45862</v>
      </c>
      <c r="Q215" s="197" t="str" cm="1">
        <f t="array" aca="1" ref="Q215" ca="1">IF($P215&lt;&gt;"","PAGO",IF($N215&lt;TODAY(),"ATRASADO",IF($N215&gt;TODAY(),"NO PRAZO",IF($N215=TODAY(),"NO PRAZO",SE))))</f>
        <v>PAGO</v>
      </c>
      <c r="R215" s="150" t="str">
        <f t="shared" ca="1" si="3"/>
        <v/>
      </c>
      <c r="S215" s="724"/>
      <c r="T215" s="112"/>
      <c r="U215" s="471">
        <f ca="1">SUBTOTAL(3,Tabela13[[#This Row],[STATUS]])</f>
        <v>1</v>
      </c>
    </row>
    <row r="216" spans="1:23" ht="24.95" customHeight="1">
      <c r="A216" s="464">
        <v>45826</v>
      </c>
      <c r="B216" s="105">
        <v>68004</v>
      </c>
      <c r="C216" s="688" t="str">
        <f>IFERROR(VLOOKUP(Tabela13[[#This Row],[CÓD. EMPRESA]],Tabela3[[CÓDIGO
 EMPRESA ]:[EMPRESA]],2,FALSE),"")</f>
        <v>VB AMBIENTAL CONSULTORIA E PROJETOS LTDA-ME</v>
      </c>
      <c r="D216" s="112" t="s">
        <v>349</v>
      </c>
      <c r="E216" s="112" t="s">
        <v>489</v>
      </c>
      <c r="F216" s="466">
        <v>2927</v>
      </c>
      <c r="G216" s="411">
        <v>2047</v>
      </c>
      <c r="H216" s="467" t="s">
        <v>49</v>
      </c>
      <c r="I216" s="468">
        <v>45778</v>
      </c>
      <c r="J216" s="464">
        <v>45808</v>
      </c>
      <c r="K216" s="469">
        <v>5430.18</v>
      </c>
      <c r="L216" s="398">
        <f>Tabela13[[#This Row],[VALOR
 BRUTO ]]-Tabela13[[#This Row],[VALOR 
LIQUIDO ]]</f>
        <v>260.64999999999998</v>
      </c>
      <c r="M216" s="399">
        <f>Tabela13[[#This Row],[VALORES PAGOS 
(FORMA PAGTO)]]</f>
        <v>5169.53</v>
      </c>
      <c r="N216" s="464">
        <v>45850</v>
      </c>
      <c r="O216" s="382">
        <v>5169.53</v>
      </c>
      <c r="P216" s="468">
        <v>45862</v>
      </c>
      <c r="Q216" s="197" t="str" cm="1">
        <f t="array" aca="1" ref="Q216" ca="1">IF($P216&lt;&gt;"","PAGO",IF($N216&lt;TODAY(),"ATRASADO",IF($N216&gt;TODAY(),"NO PRAZO",IF($N216=TODAY(),"NO PRAZO",SE))))</f>
        <v>PAGO</v>
      </c>
      <c r="R216" s="150" t="str">
        <f t="shared" ca="1" si="3"/>
        <v/>
      </c>
      <c r="S216" s="724"/>
      <c r="T216" s="112"/>
      <c r="U216" s="471">
        <f ca="1">SUBTOTAL(3,Tabela13[[#This Row],[STATUS]])</f>
        <v>1</v>
      </c>
    </row>
    <row r="217" spans="1:23" ht="24.95" customHeight="1">
      <c r="A217" s="480">
        <v>45826</v>
      </c>
      <c r="B217" s="105">
        <v>68004</v>
      </c>
      <c r="C217" s="688" t="str">
        <f>IFERROR(VLOOKUP(Tabela13[[#This Row],[CÓD. EMPRESA]],Tabela3[[CÓDIGO
 EMPRESA ]:[EMPRESA]],2,FALSE),"")</f>
        <v>VB AMBIENTAL CONSULTORIA E PROJETOS LTDA-ME</v>
      </c>
      <c r="D217" s="112" t="s">
        <v>548</v>
      </c>
      <c r="E217" s="112" t="s">
        <v>489</v>
      </c>
      <c r="F217" s="481">
        <v>2927</v>
      </c>
      <c r="G217" s="411">
        <v>2048</v>
      </c>
      <c r="H217" s="482" t="s">
        <v>49</v>
      </c>
      <c r="I217" s="483">
        <v>45627</v>
      </c>
      <c r="J217" s="480">
        <v>45808</v>
      </c>
      <c r="K217" s="484">
        <v>10860.25</v>
      </c>
      <c r="L217" s="398">
        <f>Tabela13[[#This Row],[VALOR
 BRUTO ]]-Tabela13[[#This Row],[VALOR 
LIQUIDO ]]</f>
        <v>521.29</v>
      </c>
      <c r="M217" s="399">
        <f>Tabela13[[#This Row],[VALORES PAGOS 
(FORMA PAGTO)]]</f>
        <v>10338.959999999999</v>
      </c>
      <c r="N217" s="480">
        <v>45850</v>
      </c>
      <c r="O217" s="573">
        <v>10338.959999999999</v>
      </c>
      <c r="P217" s="483">
        <v>45862</v>
      </c>
      <c r="Q217" s="197" t="str" cm="1">
        <f t="array" aca="1" ref="Q217" ca="1">IF($P217&lt;&gt;"","PAGO",IF($N217&lt;TODAY(),"ATRASADO",IF($N217&gt;TODAY(),"NO PRAZO",IF($N217=TODAY(),"NO PRAZO",SE))))</f>
        <v>PAGO</v>
      </c>
      <c r="R217" s="150" t="str">
        <f t="shared" ca="1" si="3"/>
        <v/>
      </c>
      <c r="S217" s="725"/>
      <c r="T217" s="112"/>
      <c r="U217" s="485">
        <f ca="1">SUBTOTAL(3,Tabela13[[#This Row],[STATUS]])</f>
        <v>1</v>
      </c>
    </row>
    <row r="218" spans="1:23" ht="24.95" customHeight="1">
      <c r="A218" s="489">
        <v>45833</v>
      </c>
      <c r="B218" s="105">
        <v>120932</v>
      </c>
      <c r="C218" s="688" t="str">
        <f>IFERROR(VLOOKUP(Tabela13[[#This Row],[CÓD. EMPRESA]],Tabela3[[CÓDIGO
 EMPRESA ]:[EMPRESA]],2,FALSE),"")</f>
        <v>ROBEVAL BISPO SOARES - MATERIAL DE CONSTRUCAO</v>
      </c>
      <c r="D218" s="112" t="s">
        <v>551</v>
      </c>
      <c r="E218" s="112" t="s">
        <v>642</v>
      </c>
      <c r="F218" s="491">
        <v>9230</v>
      </c>
      <c r="G218" s="411">
        <v>189</v>
      </c>
      <c r="H218" s="165" t="s">
        <v>48</v>
      </c>
      <c r="I218" s="493"/>
      <c r="J218" s="489"/>
      <c r="K218" s="494">
        <v>19693.72</v>
      </c>
      <c r="L218" s="398">
        <f>Tabela13[[#This Row],[VALOR
 BRUTO ]]-Tabela13[[#This Row],[VALOR 
LIQUIDO ]]</f>
        <v>0</v>
      </c>
      <c r="M218" s="399">
        <f>Tabela13[[#This Row],[VALORES PAGOS 
(FORMA PAGTO)]]</f>
        <v>19693.72</v>
      </c>
      <c r="N218" s="489">
        <v>45834</v>
      </c>
      <c r="O218" s="495">
        <v>19693.72</v>
      </c>
      <c r="P218" s="412">
        <v>45853</v>
      </c>
      <c r="Q218" s="197" t="str" cm="1">
        <f t="array" aca="1" ref="Q218" ca="1">IF($P218&lt;&gt;"","PAGO",IF($N218&lt;TODAY(),"ATRASADO",IF($N218&gt;TODAY(),"NO PRAZO",IF($N218=TODAY(),"NO PRAZO",SE))))</f>
        <v>PAGO</v>
      </c>
      <c r="R218" s="150" t="str">
        <f t="shared" ca="1" si="3"/>
        <v/>
      </c>
      <c r="S218" s="719"/>
      <c r="T218" s="112"/>
      <c r="U218" s="497">
        <f ca="1">SUBTOTAL(3,Tabela13[[#This Row],[STATUS]])</f>
        <v>1</v>
      </c>
    </row>
    <row r="219" spans="1:23" ht="24.95" customHeight="1">
      <c r="A219" s="113">
        <v>45833</v>
      </c>
      <c r="B219" s="105">
        <v>20896</v>
      </c>
      <c r="C219" s="688" t="str">
        <f>IFERROR(VLOOKUP(Tabela13[[#This Row],[CÓD. EMPRESA]],Tabela3[[CÓDIGO
 EMPRESA ]:[EMPRESA]],2,FALSE),"")</f>
        <v>PAIVA NOGUEIRA CONSTRUTORA LTDA</v>
      </c>
      <c r="D219" s="112" t="s">
        <v>549</v>
      </c>
      <c r="E219" s="112" t="s">
        <v>550</v>
      </c>
      <c r="F219" s="196">
        <v>4208</v>
      </c>
      <c r="G219" s="411">
        <v>1428</v>
      </c>
      <c r="H219" s="165" t="s">
        <v>49</v>
      </c>
      <c r="I219" s="147">
        <v>45705</v>
      </c>
      <c r="J219" s="113">
        <v>45715</v>
      </c>
      <c r="K219" s="401">
        <v>48202</v>
      </c>
      <c r="L219" s="398">
        <f>Tabela13[[#This Row],[VALOR
 BRUTO ]]-Tabela13[[#This Row],[VALOR 
LIQUIDO ]]</f>
        <v>2988.52</v>
      </c>
      <c r="M219" s="399">
        <f>Tabela13[[#This Row],[VALORES PAGOS 
(FORMA PAGTO)]]</f>
        <v>45213.48</v>
      </c>
      <c r="N219" s="113">
        <v>45861</v>
      </c>
      <c r="O219" s="382">
        <v>45213.48</v>
      </c>
      <c r="P219" s="147">
        <v>45861</v>
      </c>
      <c r="Q219" s="197" t="str" cm="1">
        <f t="array" aca="1" ref="Q219" ca="1">IF($P219&lt;&gt;"","PAGO",IF($N219&lt;TODAY(),"ATRASADO",IF($N219&gt;TODAY(),"NO PRAZO",IF($N219=TODAY(),"NO PRAZO",SE))))</f>
        <v>PAGO</v>
      </c>
      <c r="R219" s="150" t="str">
        <f t="shared" ca="1" si="3"/>
        <v/>
      </c>
      <c r="S219" s="241"/>
      <c r="T219" s="112"/>
      <c r="U219" s="259">
        <f ca="1">SUBTOTAL(3,Tabela13[[#This Row],[STATUS]])</f>
        <v>1</v>
      </c>
    </row>
    <row r="220" spans="1:23" ht="24.95" customHeight="1">
      <c r="A220" s="113">
        <v>45833</v>
      </c>
      <c r="B220" s="105">
        <v>73115</v>
      </c>
      <c r="C220" s="688" t="str">
        <f>IFERROR(VLOOKUP(Tabela13[[#This Row],[CÓD. EMPRESA]],Tabela3[[CÓDIGO
 EMPRESA ]:[EMPRESA]],2,FALSE),"")</f>
        <v>CONSORCIO LIMPA GUARULHOS</v>
      </c>
      <c r="D220" s="112" t="s">
        <v>350</v>
      </c>
      <c r="E220" s="112" t="s">
        <v>494</v>
      </c>
      <c r="F220" s="196">
        <v>14444</v>
      </c>
      <c r="G220" s="411">
        <v>75</v>
      </c>
      <c r="H220" s="165" t="s">
        <v>48</v>
      </c>
      <c r="I220" s="147"/>
      <c r="J220" s="113"/>
      <c r="K220" s="401">
        <v>317420.40999999997</v>
      </c>
      <c r="L220" s="398">
        <f>Tabela13[[#This Row],[VALOR
 BRUTO ]]-Tabela13[[#This Row],[VALOR 
LIQUIDO ]]</f>
        <v>47613.06</v>
      </c>
      <c r="M220" s="399">
        <f>Tabela13[[#This Row],[VALORES PAGOS 
(FORMA PAGTO)]]</f>
        <v>269807.34999999998</v>
      </c>
      <c r="N220" s="113">
        <v>45833</v>
      </c>
      <c r="O220" s="382">
        <v>269807.34999999998</v>
      </c>
      <c r="P220" s="147">
        <v>45834</v>
      </c>
      <c r="Q220" s="197" t="str" cm="1">
        <f t="array" aca="1" ref="Q220" ca="1">IF($P220&lt;&gt;"","PAGO",IF($N220&lt;TODAY(),"ATRASADO",IF($N220&gt;TODAY(),"NO PRAZO",IF($N220=TODAY(),"NO PRAZO",SE))))</f>
        <v>PAGO</v>
      </c>
      <c r="R220" s="150" t="str">
        <f t="shared" ca="1" si="3"/>
        <v/>
      </c>
      <c r="S220" s="241"/>
      <c r="T220" s="112"/>
      <c r="U220" s="259">
        <f ca="1">SUBTOTAL(3,Tabela13[[#This Row],[STATUS]])</f>
        <v>1</v>
      </c>
    </row>
    <row r="221" spans="1:23" ht="24.95" customHeight="1">
      <c r="A221" s="519">
        <v>45838</v>
      </c>
      <c r="B221" s="105">
        <v>60979</v>
      </c>
      <c r="C221" s="688" t="str">
        <f>IFERROR(VLOOKUP(Tabela13[[#This Row],[CÓD. EMPRESA]],Tabela3[[CÓDIGO
 EMPRESA ]:[EMPRESA]],2,FALSE),"")</f>
        <v>SILCON AMBIENTAL S/A</v>
      </c>
      <c r="D221" s="112" t="s">
        <v>355</v>
      </c>
      <c r="E221" s="112" t="s">
        <v>490</v>
      </c>
      <c r="F221" s="520">
        <v>5141</v>
      </c>
      <c r="G221" s="411">
        <v>38715</v>
      </c>
      <c r="H221" s="165" t="s">
        <v>49</v>
      </c>
      <c r="I221" s="521">
        <v>45778</v>
      </c>
      <c r="J221" s="519">
        <v>45808</v>
      </c>
      <c r="K221" s="522">
        <v>285714.73</v>
      </c>
      <c r="L221" s="398">
        <f>Tabela13[[#This Row],[VALOR
 BRUTO ]]-Tabela13[[#This Row],[VALOR 
LIQUIDO ]]</f>
        <v>17565.75</v>
      </c>
      <c r="M221" s="399">
        <f>Tabela13[[#This Row],[VALORES PAGOS 
(FORMA PAGTO)]]</f>
        <v>268148.98</v>
      </c>
      <c r="N221" s="519">
        <v>45862</v>
      </c>
      <c r="O221" s="523">
        <v>268148.98</v>
      </c>
      <c r="P221" s="521">
        <v>45901</v>
      </c>
      <c r="Q221" s="197" t="str" cm="1">
        <f t="array" aca="1" ref="Q221" ca="1">IF($P221&lt;&gt;"","PAGO",IF($N221&lt;TODAY(),"ATRASADO",IF($N221&gt;TODAY(),"NO PRAZO",IF($N221=TODAY(),"NO PRAZO",SE))))</f>
        <v>PAGO</v>
      </c>
      <c r="R221" s="150" t="str">
        <f t="shared" ca="1" si="3"/>
        <v/>
      </c>
      <c r="S221" s="717"/>
      <c r="T221" s="112"/>
      <c r="U221" s="524">
        <f ca="1">SUBTOTAL(3,Tabela13[[#This Row],[STATUS]])</f>
        <v>1</v>
      </c>
    </row>
    <row r="222" spans="1:23" ht="24.95" customHeight="1">
      <c r="A222" s="539">
        <v>45838</v>
      </c>
      <c r="B222" s="105">
        <v>60979</v>
      </c>
      <c r="C222" s="688" t="str">
        <f>IFERROR(VLOOKUP(Tabela13[[#This Row],[CÓD. EMPRESA]],Tabela3[[CÓDIGO
 EMPRESA ]:[EMPRESA]],2,FALSE),"")</f>
        <v>SILCON AMBIENTAL S/A</v>
      </c>
      <c r="D222" s="112" t="s">
        <v>355</v>
      </c>
      <c r="E222" s="112" t="s">
        <v>490</v>
      </c>
      <c r="F222" s="540">
        <v>11474</v>
      </c>
      <c r="G222" s="411">
        <v>38715</v>
      </c>
      <c r="H222" s="165" t="s">
        <v>49</v>
      </c>
      <c r="I222" s="542">
        <v>45778</v>
      </c>
      <c r="J222" s="539">
        <v>45808</v>
      </c>
      <c r="K222" s="522">
        <v>80238.41</v>
      </c>
      <c r="L222" s="398">
        <f>Tabela13[[#This Row],[VALOR
 BRUTO ]]-Tabela13[[#This Row],[VALOR 
LIQUIDO ]]</f>
        <v>0</v>
      </c>
      <c r="M222" s="399">
        <f>Tabela13[[#This Row],[VALORES PAGOS 
(FORMA PAGTO)]]</f>
        <v>80238.41</v>
      </c>
      <c r="N222" s="539">
        <v>45862</v>
      </c>
      <c r="O222" s="543">
        <v>80238.41</v>
      </c>
      <c r="P222" s="542">
        <v>45901</v>
      </c>
      <c r="Q222" s="197" t="str" cm="1">
        <f t="array" aca="1" ref="Q222" ca="1">IF($P222&lt;&gt;"","PAGO",IF($N222&lt;TODAY(),"ATRASADO",IF($N222&gt;TODAY(),"NO PRAZO",IF($N222=TODAY(),"NO PRAZO",SE))))</f>
        <v>PAGO</v>
      </c>
      <c r="R222" s="150" t="str">
        <f t="shared" ca="1" si="3"/>
        <v/>
      </c>
      <c r="S222" s="717"/>
      <c r="T222" s="112"/>
      <c r="U222" s="544">
        <f ca="1">SUBTOTAL(3,Tabela13[[#This Row],[STATUS]])</f>
        <v>1</v>
      </c>
    </row>
    <row r="223" spans="1:23" ht="24.95" customHeight="1">
      <c r="A223" s="489">
        <v>45838</v>
      </c>
      <c r="B223" s="105">
        <v>60979</v>
      </c>
      <c r="C223" s="688" t="str">
        <f>IFERROR(VLOOKUP(Tabela13[[#This Row],[CÓD. EMPRESA]],Tabela3[[CÓDIGO
 EMPRESA ]:[EMPRESA]],2,FALSE),"")</f>
        <v>SILCON AMBIENTAL S/A</v>
      </c>
      <c r="D223" s="112" t="s">
        <v>355</v>
      </c>
      <c r="E223" s="112" t="s">
        <v>490</v>
      </c>
      <c r="F223" s="491">
        <v>5141</v>
      </c>
      <c r="G223" s="411">
        <v>38714</v>
      </c>
      <c r="H223" s="165" t="s">
        <v>49</v>
      </c>
      <c r="I223" s="493">
        <v>45778</v>
      </c>
      <c r="J223" s="489">
        <v>45808</v>
      </c>
      <c r="K223" s="494">
        <v>2518.0700000000002</v>
      </c>
      <c r="L223" s="398">
        <f>Tabela13[[#This Row],[VALOR
 BRUTO ]]-Tabela13[[#This Row],[VALOR 
LIQUIDO ]]</f>
        <v>523.76</v>
      </c>
      <c r="M223" s="399">
        <f>Tabela13[[#This Row],[VALORES PAGOS 
(FORMA PAGTO)]]</f>
        <v>1994.31</v>
      </c>
      <c r="N223" s="489">
        <v>45862</v>
      </c>
      <c r="O223" s="382">
        <v>1994.31</v>
      </c>
      <c r="P223" s="412">
        <v>45869</v>
      </c>
      <c r="Q223" s="197" t="str" cm="1">
        <f t="array" aca="1" ref="Q223" ca="1">IF($P223&lt;&gt;"","PAGO",IF($N223&lt;TODAY(),"ATRASADO",IF($N223&gt;TODAY(),"NO PRAZO",IF($N223=TODAY(),"NO PRAZO",SE))))</f>
        <v>PAGO</v>
      </c>
      <c r="R223" s="150" t="str">
        <f t="shared" ca="1" si="3"/>
        <v/>
      </c>
      <c r="S223" s="719"/>
      <c r="T223" s="112"/>
      <c r="U223" s="497">
        <f ca="1">SUBTOTAL(3,Tabela13[[#This Row],[STATUS]])</f>
        <v>1</v>
      </c>
    </row>
    <row r="224" spans="1:23" ht="24.95" customHeight="1">
      <c r="A224" s="489">
        <v>45838</v>
      </c>
      <c r="B224" s="105">
        <v>60979</v>
      </c>
      <c r="C224" s="688" t="str">
        <f>IFERROR(VLOOKUP(Tabela13[[#This Row],[CÓD. EMPRESA]],Tabela3[[CÓDIGO
 EMPRESA ]:[EMPRESA]],2,FALSE),"")</f>
        <v>SILCON AMBIENTAL S/A</v>
      </c>
      <c r="D224" s="112" t="s">
        <v>355</v>
      </c>
      <c r="E224" s="112" t="s">
        <v>490</v>
      </c>
      <c r="F224" s="491">
        <v>5141</v>
      </c>
      <c r="G224" s="411">
        <v>38713</v>
      </c>
      <c r="H224" s="165" t="s">
        <v>49</v>
      </c>
      <c r="I224" s="493">
        <v>45778</v>
      </c>
      <c r="J224" s="489">
        <v>45808</v>
      </c>
      <c r="K224" s="494">
        <v>3777.1</v>
      </c>
      <c r="L224" s="398">
        <f>Tabela13[[#This Row],[VALOR
 BRUTO ]]-Tabela13[[#This Row],[VALOR 
LIQUIDO ]]</f>
        <v>181.3</v>
      </c>
      <c r="M224" s="399">
        <f>Tabela13[[#This Row],[VALORES PAGOS 
(FORMA PAGTO)]]</f>
        <v>3595.8</v>
      </c>
      <c r="N224" s="489">
        <v>45862</v>
      </c>
      <c r="O224" s="382">
        <v>3595.8</v>
      </c>
      <c r="P224" s="493">
        <v>45869</v>
      </c>
      <c r="Q224" s="197" t="str" cm="1">
        <f t="array" aca="1" ref="Q224" ca="1">IF($P224&lt;&gt;"","PAGO",IF($N224&lt;TODAY(),"ATRASADO",IF($N224&gt;TODAY(),"NO PRAZO",IF($N224=TODAY(),"NO PRAZO",SE))))</f>
        <v>PAGO</v>
      </c>
      <c r="R224" s="150" t="str">
        <f t="shared" ca="1" si="3"/>
        <v/>
      </c>
      <c r="S224" s="722"/>
      <c r="T224" s="112"/>
      <c r="U224" s="497">
        <f ca="1">SUBTOTAL(3,Tabela13[[#This Row],[STATUS]])</f>
        <v>1</v>
      </c>
    </row>
    <row r="225" spans="1:23" ht="25.5" customHeight="1">
      <c r="A225" s="489">
        <v>45838</v>
      </c>
      <c r="B225" s="105">
        <v>60979</v>
      </c>
      <c r="C225" s="688" t="str">
        <f>IFERROR(VLOOKUP(Tabela13[[#This Row],[CÓD. EMPRESA]],Tabela3[[CÓDIGO
 EMPRESA ]:[EMPRESA]],2,FALSE),"")</f>
        <v>SILCON AMBIENTAL S/A</v>
      </c>
      <c r="D225" s="112" t="s">
        <v>355</v>
      </c>
      <c r="E225" s="112" t="s">
        <v>490</v>
      </c>
      <c r="F225" s="491">
        <v>11474</v>
      </c>
      <c r="G225" s="411">
        <v>38716</v>
      </c>
      <c r="H225" s="165" t="s">
        <v>49</v>
      </c>
      <c r="I225" s="493">
        <v>45778</v>
      </c>
      <c r="J225" s="489">
        <v>45808</v>
      </c>
      <c r="K225" s="494">
        <v>219761.59</v>
      </c>
      <c r="L225" s="398">
        <f>Tabela13[[#This Row],[VALOR
 BRUTO ]]-Tabela13[[#This Row],[VALOR 
LIQUIDO ]]</f>
        <v>11710.5</v>
      </c>
      <c r="M225" s="399">
        <f>Tabela13[[#This Row],[VALORES PAGOS 
(FORMA PAGTO)]]</f>
        <v>208051.09</v>
      </c>
      <c r="N225" s="489">
        <v>45862</v>
      </c>
      <c r="O225" s="382">
        <v>208051.09</v>
      </c>
      <c r="P225" s="493">
        <v>45919</v>
      </c>
      <c r="Q225" s="197" t="str" cm="1">
        <f t="array" aca="1" ref="Q225" ca="1">IF($P225&lt;&gt;"","PAGO",IF($N225&lt;TODAY(),"ATRASADO",IF($N225&gt;TODAY(),"NO PRAZO",IF($N225=TODAY(),"NO PRAZO",SE))))</f>
        <v>PAGO</v>
      </c>
      <c r="R225" s="150" t="str">
        <f t="shared" ca="1" si="3"/>
        <v/>
      </c>
      <c r="S225" s="717"/>
      <c r="T225" s="112"/>
      <c r="U225" s="497">
        <f ca="1">SUBTOTAL(3,Tabela13[[#This Row],[STATUS]])</f>
        <v>1</v>
      </c>
    </row>
    <row r="226" spans="1:23" ht="24.75" customHeight="1">
      <c r="A226" s="489">
        <v>45838</v>
      </c>
      <c r="B226" s="105">
        <v>60979</v>
      </c>
      <c r="C226" s="688" t="str">
        <f>IFERROR(VLOOKUP(Tabela13[[#This Row],[CÓD. EMPRESA]],Tabela3[[CÓDIGO
 EMPRESA ]:[EMPRESA]],2,FALSE),"")</f>
        <v>SILCON AMBIENTAL S/A</v>
      </c>
      <c r="D226" s="112" t="s">
        <v>552</v>
      </c>
      <c r="E226" s="112" t="s">
        <v>490</v>
      </c>
      <c r="F226" s="491">
        <v>13556</v>
      </c>
      <c r="G226" s="411">
        <v>38716</v>
      </c>
      <c r="H226" s="165" t="s">
        <v>49</v>
      </c>
      <c r="I226" s="493">
        <v>45778</v>
      </c>
      <c r="J226" s="489">
        <v>45808</v>
      </c>
      <c r="K226" s="494">
        <v>24207.17</v>
      </c>
      <c r="L226" s="398">
        <f>Tabela13[[#This Row],[VALOR
 BRUTO ]]-Tabela13[[#This Row],[VALOR 
LIQUIDO ]]</f>
        <v>0</v>
      </c>
      <c r="M226" s="399">
        <f>Tabela13[[#This Row],[VALORES PAGOS 
(FORMA PAGTO)]]</f>
        <v>24207.17</v>
      </c>
      <c r="N226" s="489">
        <v>45862</v>
      </c>
      <c r="O226" s="382">
        <v>24207.17</v>
      </c>
      <c r="P226" s="493">
        <v>45919</v>
      </c>
      <c r="Q226" s="197" t="str" cm="1">
        <f t="array" aca="1" ref="Q226" ca="1">IF($P226&lt;&gt;"","PAGO",IF($N226&lt;TODAY(),"ATRASADO",IF($N226&gt;TODAY(),"NO PRAZO",IF($N226=TODAY(),"NO PRAZO",SE))))</f>
        <v>PAGO</v>
      </c>
      <c r="R226" s="150" t="str">
        <f t="shared" ca="1" si="3"/>
        <v/>
      </c>
      <c r="S226" s="717"/>
      <c r="T226" s="112"/>
      <c r="U226" s="497">
        <f ca="1">SUBTOTAL(3,Tabela13[[#This Row],[STATUS]])</f>
        <v>1</v>
      </c>
    </row>
    <row r="227" spans="1:23" ht="24.95" customHeight="1">
      <c r="A227" s="113">
        <v>45838</v>
      </c>
      <c r="B227" s="105">
        <v>41807</v>
      </c>
      <c r="C227" s="688" t="str">
        <f>IFERROR(VLOOKUP(Tabela13[[#This Row],[CÓD. EMPRESA]],Tabela3[[CÓDIGO
 EMPRESA ]:[EMPRESA]],2,FALSE),"")</f>
        <v>BIGNOTTO INDUSTRIA E COMERCIO LTDA</v>
      </c>
      <c r="D227" s="112" t="s">
        <v>416</v>
      </c>
      <c r="E227" s="112" t="s">
        <v>417</v>
      </c>
      <c r="F227" s="806">
        <v>12759</v>
      </c>
      <c r="G227" s="411">
        <v>77230</v>
      </c>
      <c r="H227" s="165" t="s">
        <v>49</v>
      </c>
      <c r="I227" s="147"/>
      <c r="J227" s="113"/>
      <c r="K227" s="401">
        <v>125800</v>
      </c>
      <c r="L227" s="398">
        <f>Tabela13[[#This Row],[VALOR
 BRUTO ]]-Tabela13[[#This Row],[VALOR 
LIQUIDO ]]</f>
        <v>1509.6</v>
      </c>
      <c r="M227" s="399">
        <f>Tabela13[[#This Row],[VALORES PAGOS 
(FORMA PAGTO)]]</f>
        <v>124290.4</v>
      </c>
      <c r="N227" s="113">
        <v>45861</v>
      </c>
      <c r="O227" s="382">
        <v>124290.4</v>
      </c>
      <c r="P227" s="147">
        <v>45915</v>
      </c>
      <c r="Q227" s="197" t="str" cm="1">
        <f t="array" aca="1" ref="Q227" ca="1">IF($P227&lt;&gt;"","PAGO",IF($N227&lt;TODAY(),"ATRASADO",IF($N227&gt;TODAY(),"NO PRAZO",IF($N227=TODAY(),"NO PRAZO",SE))))</f>
        <v>PAGO</v>
      </c>
      <c r="R227" s="150" t="str">
        <f t="shared" ca="1" si="3"/>
        <v/>
      </c>
      <c r="S227" s="241"/>
      <c r="T227" s="112"/>
      <c r="U227" s="259">
        <f ca="1">SUBTOTAL(3,Tabela13[[#This Row],[STATUS]])</f>
        <v>1</v>
      </c>
    </row>
    <row r="228" spans="1:23" ht="24.95" customHeight="1">
      <c r="A228" s="113">
        <v>45838</v>
      </c>
      <c r="B228" s="105">
        <v>67547</v>
      </c>
      <c r="C228" s="688" t="str">
        <f>IFERROR(VLOOKUP(Tabela13[[#This Row],[CÓD. EMPRESA]],Tabela3[[CÓDIGO
 EMPRESA ]:[EMPRESA]],2,FALSE),"")</f>
        <v>L.C. KLIEMANN</v>
      </c>
      <c r="D228" s="112" t="s">
        <v>424</v>
      </c>
      <c r="E228" s="112" t="s">
        <v>553</v>
      </c>
      <c r="F228" s="196">
        <v>10197</v>
      </c>
      <c r="G228" s="411">
        <v>4219</v>
      </c>
      <c r="H228" s="165" t="s">
        <v>49</v>
      </c>
      <c r="I228" s="147"/>
      <c r="J228" s="113"/>
      <c r="K228" s="401">
        <v>22240</v>
      </c>
      <c r="L228" s="398">
        <f>Tabela13[[#This Row],[VALOR
 BRUTO ]]-Tabela13[[#This Row],[VALOR 
LIQUIDO ]]</f>
        <v>0</v>
      </c>
      <c r="M228" s="399">
        <f>Tabela13[[#This Row],[VALORES PAGOS 
(FORMA PAGTO)]]</f>
        <v>22240</v>
      </c>
      <c r="N228" s="113">
        <v>45855</v>
      </c>
      <c r="O228" s="382">
        <v>22240</v>
      </c>
      <c r="P228" s="147">
        <v>45862</v>
      </c>
      <c r="Q228" s="197" t="str" cm="1">
        <f t="array" aca="1" ref="Q228" ca="1">IF($P228&lt;&gt;"","PAGO",IF($N228&lt;TODAY(),"ATRASADO",IF($N228&gt;TODAY(),"NO PRAZO",IF($N228=TODAY(),"NO PRAZO",SE))))</f>
        <v>PAGO</v>
      </c>
      <c r="R228" s="150" t="str">
        <f t="shared" ca="1" si="3"/>
        <v/>
      </c>
      <c r="S228" s="241"/>
      <c r="T228" s="112"/>
      <c r="U228" s="259">
        <f ca="1">SUBTOTAL(3,Tabela13[[#This Row],[STATUS]])</f>
        <v>1</v>
      </c>
    </row>
    <row r="229" spans="1:23" ht="25.5" customHeight="1">
      <c r="A229" s="489">
        <v>45838</v>
      </c>
      <c r="B229" s="105">
        <v>73402</v>
      </c>
      <c r="C229" s="688" t="str">
        <f>IFERROR(VLOOKUP(Tabela13[[#This Row],[CÓD. EMPRESA]],Tabela3[[CÓDIGO
 EMPRESA ]:[EMPRESA]],2,FALSE),"")</f>
        <v>NELSON TAKAO YOSHIDA</v>
      </c>
      <c r="D229" s="112" t="s">
        <v>414</v>
      </c>
      <c r="E229" s="112" t="s">
        <v>415</v>
      </c>
      <c r="F229" s="491">
        <v>2830</v>
      </c>
      <c r="G229" s="411">
        <v>170</v>
      </c>
      <c r="H229" s="165" t="s">
        <v>49</v>
      </c>
      <c r="I229" s="493"/>
      <c r="J229" s="489"/>
      <c r="K229" s="494">
        <v>13293.06</v>
      </c>
      <c r="L229" s="398">
        <f>Tabela13[[#This Row],[VALOR
 BRUTO ]]-Tabela13[[#This Row],[VALOR 
LIQUIDO ]]</f>
        <v>199.4</v>
      </c>
      <c r="M229" s="399">
        <f>Tabela13[[#This Row],[VALORES PAGOS 
(FORMA PAGTO)]]</f>
        <v>13093.66</v>
      </c>
      <c r="N229" s="489">
        <v>45854</v>
      </c>
      <c r="O229" s="382">
        <v>13093.66</v>
      </c>
      <c r="P229" s="493">
        <v>45862</v>
      </c>
      <c r="Q229" s="197" t="str" cm="1">
        <f t="array" aca="1" ref="Q229" ca="1">IF($P229&lt;&gt;"","PAGO",IF($N229&lt;TODAY(),"ATRASADO",IF($N229&gt;TODAY(),"NO PRAZO",IF($N229=TODAY(),"NO PRAZO",SE))))</f>
        <v>PAGO</v>
      </c>
      <c r="R229" s="150" t="str">
        <f t="shared" ca="1" si="3"/>
        <v/>
      </c>
      <c r="S229" s="722"/>
      <c r="T229" s="112"/>
      <c r="U229" s="497">
        <f ca="1">SUBTOTAL(3,Tabela13[[#This Row],[STATUS]])</f>
        <v>1</v>
      </c>
    </row>
    <row r="230" spans="1:23" ht="24.95" customHeight="1">
      <c r="A230" s="809">
        <v>45838</v>
      </c>
      <c r="B230" s="105">
        <v>67547</v>
      </c>
      <c r="C230" s="688" t="str">
        <f>IFERROR(VLOOKUP(Tabela13[[#This Row],[CÓD. EMPRESA]],Tabela3[[CÓDIGO
 EMPRESA ]:[EMPRESA]],2,FALSE),"")</f>
        <v>L.C. KLIEMANN</v>
      </c>
      <c r="D230" s="139" t="s">
        <v>424</v>
      </c>
      <c r="E230" s="139" t="s">
        <v>553</v>
      </c>
      <c r="F230" s="810">
        <v>6192</v>
      </c>
      <c r="G230" s="411">
        <v>4221</v>
      </c>
      <c r="H230" s="424" t="s">
        <v>49</v>
      </c>
      <c r="I230" s="811"/>
      <c r="J230" s="809"/>
      <c r="K230" s="812">
        <v>24320</v>
      </c>
      <c r="L230" s="398">
        <f>Tabela13[[#This Row],[VALOR
 BRUTO ]]-Tabela13[[#This Row],[VALOR 
LIQUIDO ]]</f>
        <v>0</v>
      </c>
      <c r="M230" s="399">
        <f>Tabela13[[#This Row],[VALORES PAGOS 
(FORMA PAGTO)]]</f>
        <v>24320</v>
      </c>
      <c r="N230" s="809">
        <v>45853</v>
      </c>
      <c r="O230" s="495">
        <v>24320</v>
      </c>
      <c r="P230" s="811">
        <v>45862</v>
      </c>
      <c r="Q230" s="197" t="str" cm="1">
        <f t="array" aca="1" ref="Q230" ca="1">IF($P230&lt;&gt;"","PAGO",IF($N230&lt;TODAY(),"ATRASADO",IF($N230&gt;TODAY(),"NO PRAZO",IF($N230=TODAY(),"NO PRAZO",SE))))</f>
        <v>PAGO</v>
      </c>
      <c r="R230" s="150" t="str">
        <f t="shared" ca="1" si="3"/>
        <v/>
      </c>
      <c r="S230" s="815"/>
      <c r="T230" s="112"/>
      <c r="U230" s="804">
        <f ca="1">SUBTOTAL(3,Tabela13[[#This Row],[STATUS]])</f>
        <v>1</v>
      </c>
    </row>
    <row r="231" spans="1:23" ht="24.95" customHeight="1">
      <c r="A231" s="489">
        <v>45840</v>
      </c>
      <c r="B231" s="105">
        <v>51481</v>
      </c>
      <c r="C231" s="688" t="s">
        <v>481</v>
      </c>
      <c r="D231" s="112" t="s">
        <v>560</v>
      </c>
      <c r="E231" s="112" t="s">
        <v>561</v>
      </c>
      <c r="F231" s="491">
        <v>11414</v>
      </c>
      <c r="G231" s="411">
        <v>84</v>
      </c>
      <c r="H231" s="492" t="s">
        <v>49</v>
      </c>
      <c r="I231" s="493"/>
      <c r="J231" s="489"/>
      <c r="K231" s="382">
        <v>5600</v>
      </c>
      <c r="L231" s="398">
        <f>Tabela13[[#This Row],[VALOR
 BRUTO ]]-Tabela13[[#This Row],[VALOR 
LIQUIDO ]]</f>
        <v>179.2</v>
      </c>
      <c r="M231" s="399">
        <f>Tabela13[[#This Row],[VALORES PAGOS 
(FORMA PAGTO)]]</f>
        <v>5420.8</v>
      </c>
      <c r="N231" s="489">
        <v>45849</v>
      </c>
      <c r="O231" s="382">
        <v>5420.8</v>
      </c>
      <c r="P231" s="493">
        <v>45862</v>
      </c>
      <c r="Q231" s="197" t="str" cm="1">
        <f t="array" aca="1" ref="Q231" ca="1">IF($P231&lt;&gt;"","PAGO",IF($N231&lt;TODAY(),"ATRASADO",IF($N231&gt;TODAY(),"NO PRAZO",IF($N231=TODAY(),"NO PRAZO",SE))))</f>
        <v>PAGO</v>
      </c>
      <c r="R231" s="150" t="str">
        <f t="shared" ca="1" si="3"/>
        <v/>
      </c>
      <c r="S231" s="722"/>
      <c r="T231" s="112"/>
      <c r="U231" s="497">
        <f ca="1">SUBTOTAL(3,Tabela13[[#This Row],[STATUS]])</f>
        <v>1</v>
      </c>
      <c r="W231" s="11"/>
    </row>
    <row r="232" spans="1:23" ht="24.95" customHeight="1">
      <c r="A232" s="489">
        <v>45841</v>
      </c>
      <c r="B232" s="105">
        <v>76390</v>
      </c>
      <c r="C232" s="688" t="str">
        <f>IFERROR(VLOOKUP(Tabela13[[#This Row],[CÓD. EMPRESA]],Tabela3[[CÓDIGO
 EMPRESA ]:[EMPRESA]],2,FALSE),"")</f>
        <v>TELAFER COMERCIO DE TELAS E FERRAGENS LTDA</v>
      </c>
      <c r="D232" s="112" t="s">
        <v>562</v>
      </c>
      <c r="E232" s="112" t="s">
        <v>563</v>
      </c>
      <c r="F232" s="491">
        <v>14173</v>
      </c>
      <c r="G232" s="411">
        <v>9405</v>
      </c>
      <c r="H232" s="165" t="s">
        <v>49</v>
      </c>
      <c r="I232" s="493"/>
      <c r="J232" s="489"/>
      <c r="K232" s="495">
        <v>13000</v>
      </c>
      <c r="L232" s="398">
        <f>Tabela13[[#This Row],[VALOR
 BRUTO ]]-Tabela13[[#This Row],[VALOR 
LIQUIDO ]]</f>
        <v>156</v>
      </c>
      <c r="M232" s="399">
        <f>Tabela13[[#This Row],[VALORES PAGOS 
(FORMA PAGTO)]]</f>
        <v>12844</v>
      </c>
      <c r="N232" s="489">
        <v>45869</v>
      </c>
      <c r="O232" s="495">
        <v>12844</v>
      </c>
      <c r="P232" s="493">
        <v>45869</v>
      </c>
      <c r="Q232" s="197" t="str" cm="1">
        <f t="array" aca="1" ref="Q232" ca="1">IF($P232&lt;&gt;"","PAGO",IF($N232&lt;TODAY(),"ATRASADO",IF($N232&gt;TODAY(),"NO PRAZO",IF($N232=TODAY(),"NO PRAZO",SE))))</f>
        <v>PAGO</v>
      </c>
      <c r="R232" s="150" t="str">
        <f t="shared" ca="1" si="3"/>
        <v/>
      </c>
      <c r="S232" s="722"/>
      <c r="T232" s="112"/>
      <c r="U232" s="497">
        <f ca="1">SUBTOTAL(3,Tabela13[[#This Row],[STATUS]])</f>
        <v>1</v>
      </c>
      <c r="W232" s="11"/>
    </row>
    <row r="233" spans="1:23" ht="24.95" customHeight="1">
      <c r="A233" s="489">
        <v>45845</v>
      </c>
      <c r="B233" s="105">
        <v>121973</v>
      </c>
      <c r="C233" s="688" t="str">
        <f>IFERROR(VLOOKUP(Tabela13[[#This Row],[CÓD. EMPRESA]],Tabela3[[CÓDIGO
 EMPRESA ]:[EMPRESA]],2,FALSE),"")</f>
        <v>CONSORCIO CENTRO DE TRATAMENTO DE RESIDUOS GUARULHOS</v>
      </c>
      <c r="D233" s="112" t="s">
        <v>446</v>
      </c>
      <c r="E233" s="112" t="s">
        <v>564</v>
      </c>
      <c r="F233" s="491">
        <v>4211</v>
      </c>
      <c r="G233" s="411">
        <v>6</v>
      </c>
      <c r="H233" s="165" t="s">
        <v>49</v>
      </c>
      <c r="I233" s="493">
        <v>45778</v>
      </c>
      <c r="J233" s="489">
        <v>45808</v>
      </c>
      <c r="K233" s="495">
        <v>300000</v>
      </c>
      <c r="L233" s="398">
        <f>Tabela13[[#This Row],[VALOR
 BRUTO ]]-Tabela13[[#This Row],[VALOR 
LIQUIDO ]]</f>
        <v>68720.710000000006</v>
      </c>
      <c r="M233" s="399">
        <f>Tabela13[[#This Row],[VALORES PAGOS 
(FORMA PAGTO)]]</f>
        <v>231279.29</v>
      </c>
      <c r="N233" s="489">
        <v>45862</v>
      </c>
      <c r="O233" s="495">
        <v>231279.29</v>
      </c>
      <c r="P233" s="493">
        <v>45926</v>
      </c>
      <c r="Q233" s="197" t="str" cm="1">
        <f t="array" aca="1" ref="Q233" ca="1">IF($P233&lt;&gt;"","PAGO",IF($N233&lt;TODAY(),"ATRASADO",IF($N233&gt;TODAY(),"NO PRAZO",IF($N233=TODAY(),"NO PRAZO",SE))))</f>
        <v>PAGO</v>
      </c>
      <c r="R233" s="150" t="str">
        <f t="shared" ca="1" si="3"/>
        <v/>
      </c>
      <c r="S233" s="722"/>
      <c r="T233" s="112"/>
      <c r="U233" s="497">
        <f ca="1">SUBTOTAL(3,Tabela13[[#This Row],[STATUS]])</f>
        <v>1</v>
      </c>
    </row>
    <row r="234" spans="1:23" ht="24.95" customHeight="1">
      <c r="A234" s="489">
        <v>45845</v>
      </c>
      <c r="B234" s="105">
        <v>121973</v>
      </c>
      <c r="C234" s="688" t="str">
        <f>IFERROR(VLOOKUP(Tabela13[[#This Row],[CÓD. EMPRESA]],Tabela3[[CÓDIGO
 EMPRESA ]:[EMPRESA]],2,FALSE),"")</f>
        <v>CONSORCIO CENTRO DE TRATAMENTO DE RESIDUOS GUARULHOS</v>
      </c>
      <c r="D234" s="112" t="s">
        <v>446</v>
      </c>
      <c r="E234" s="112" t="s">
        <v>564</v>
      </c>
      <c r="F234" s="491">
        <v>3681</v>
      </c>
      <c r="G234" s="411">
        <v>6</v>
      </c>
      <c r="H234" s="165" t="s">
        <v>49</v>
      </c>
      <c r="I234" s="493">
        <v>45778</v>
      </c>
      <c r="J234" s="489">
        <v>45808</v>
      </c>
      <c r="K234" s="551">
        <v>149154.98000000001</v>
      </c>
      <c r="L234" s="398">
        <f>Tabela13[[#This Row],[VALOR
 BRUTO ]]-Tabela13[[#This Row],[VALOR 
LIQUIDO ]]</f>
        <v>0</v>
      </c>
      <c r="M234" s="399">
        <f>Tabela13[[#This Row],[VALORES PAGOS 
(FORMA PAGTO)]]</f>
        <v>149154.98000000001</v>
      </c>
      <c r="N234" s="489">
        <v>45862</v>
      </c>
      <c r="O234" s="495">
        <v>149154.98000000001</v>
      </c>
      <c r="P234" s="493">
        <v>45926</v>
      </c>
      <c r="Q234" s="197" t="str" cm="1">
        <f t="array" aca="1" ref="Q234" ca="1">IF($P234&lt;&gt;"","PAGO",IF($N234&lt;TODAY(),"ATRASADO",IF($N234&gt;TODAY(),"NO PRAZO",IF($N234=TODAY(),"NO PRAZO",SE))))</f>
        <v>PAGO</v>
      </c>
      <c r="R234" s="150" t="str">
        <f t="shared" ca="1" si="3"/>
        <v/>
      </c>
      <c r="S234" s="722"/>
      <c r="T234" s="112"/>
      <c r="U234" s="497">
        <f ca="1">SUBTOTAL(3,Tabela13[[#This Row],[STATUS]])</f>
        <v>1</v>
      </c>
    </row>
    <row r="235" spans="1:23" ht="24.95" customHeight="1">
      <c r="A235" s="489">
        <v>45845</v>
      </c>
      <c r="B235" s="105">
        <v>46674</v>
      </c>
      <c r="C235" s="688" t="str">
        <f>IFERROR(VLOOKUP(Tabela13[[#This Row],[CÓD. EMPRESA]],Tabela3[[CÓDIGO
 EMPRESA ]:[EMPRESA]],2,FALSE),"")</f>
        <v>NOA SERVICOS E LOCACAO LTDA</v>
      </c>
      <c r="D235" s="112" t="s">
        <v>102</v>
      </c>
      <c r="E235" s="112" t="s">
        <v>437</v>
      </c>
      <c r="F235" s="491">
        <v>14449</v>
      </c>
      <c r="G235" s="411">
        <v>1677</v>
      </c>
      <c r="H235" s="165" t="s">
        <v>49</v>
      </c>
      <c r="I235" s="493">
        <v>45778</v>
      </c>
      <c r="J235" s="489">
        <v>45808</v>
      </c>
      <c r="K235" s="551">
        <v>64645.82</v>
      </c>
      <c r="L235" s="398"/>
      <c r="M235" s="399">
        <f>Tabela13[[#This Row],[VALORES PAGOS 
(FORMA PAGTO)]]</f>
        <v>64645.82</v>
      </c>
      <c r="N235" s="489">
        <v>45875</v>
      </c>
      <c r="O235" s="382">
        <v>64645.82</v>
      </c>
      <c r="P235" s="493">
        <v>45875</v>
      </c>
      <c r="Q235" s="197" t="str" cm="1">
        <f t="array" aca="1" ref="Q235" ca="1">IF($P235&lt;&gt;"","PAGO",IF($N235&lt;TODAY(),"ATRASADO",IF($N235&gt;TODAY(),"NO PRAZO",IF($N235=TODAY(),"NO PRAZO",SE))))</f>
        <v>PAGO</v>
      </c>
      <c r="R235" s="150" t="str">
        <f t="shared" ca="1" si="3"/>
        <v/>
      </c>
      <c r="S235" s="722"/>
      <c r="T235" s="112"/>
      <c r="U235" s="497">
        <f ca="1">SUBTOTAL(3,Tabela13[[#This Row],[STATUS]])</f>
        <v>1</v>
      </c>
    </row>
    <row r="236" spans="1:23" ht="24" customHeight="1">
      <c r="A236" s="113">
        <v>45845</v>
      </c>
      <c r="B236" s="105">
        <v>46674</v>
      </c>
      <c r="C236" s="688" t="str">
        <f>IFERROR(VLOOKUP(Tabela13[[#This Row],[CÓD. EMPRESA]],Tabela3[[CÓDIGO
 EMPRESA ]:[EMPRESA]],2,FALSE),"")</f>
        <v>NOA SERVICOS E LOCACAO LTDA</v>
      </c>
      <c r="D236" s="112" t="s">
        <v>324</v>
      </c>
      <c r="E236" s="112" t="s">
        <v>437</v>
      </c>
      <c r="F236" s="196">
        <v>4177</v>
      </c>
      <c r="G236" s="411">
        <v>1677</v>
      </c>
      <c r="H236" s="165" t="s">
        <v>49</v>
      </c>
      <c r="I236" s="147">
        <v>45778</v>
      </c>
      <c r="J236" s="113">
        <v>45808</v>
      </c>
      <c r="K236" s="385">
        <v>88836.22</v>
      </c>
      <c r="L236" s="398">
        <f>Tabela13[[#This Row],[VALOR
 BRUTO ]]-Tabela13[[#This Row],[VALOR 
LIQUIDO ]]</f>
        <v>13352.93</v>
      </c>
      <c r="M236" s="399">
        <f>Tabela13[[#This Row],[VALORES PAGOS 
(FORMA PAGTO)]]</f>
        <v>75483.289999999994</v>
      </c>
      <c r="N236" s="113">
        <v>45875</v>
      </c>
      <c r="O236" s="382">
        <v>75483.289999999994</v>
      </c>
      <c r="P236" s="147">
        <v>45875</v>
      </c>
      <c r="Q236" s="197" t="str" cm="1">
        <f t="array" aca="1" ref="Q236" ca="1">IF($P236&lt;&gt;"","PAGO",IF($N236&lt;TODAY(),"ATRASADO",IF($N236&gt;TODAY(),"NO PRAZO",IF($N236=TODAY(),"NO PRAZO",SE))))</f>
        <v>PAGO</v>
      </c>
      <c r="R236" s="150" t="str">
        <f t="shared" ca="1" si="3"/>
        <v/>
      </c>
      <c r="S236" s="241"/>
      <c r="T236" s="112"/>
      <c r="U236" s="259">
        <f ca="1">SUBTOTAL(3,Tabela13[[#This Row],[STATUS]])</f>
        <v>1</v>
      </c>
    </row>
    <row r="237" spans="1:23" ht="24" customHeight="1">
      <c r="A237" s="113">
        <v>45846</v>
      </c>
      <c r="B237" s="105">
        <v>58778</v>
      </c>
      <c r="C237" s="688" t="str">
        <f>IFERROR(VLOOKUP(Tabela13[[#This Row],[CÓD. EMPRESA]],Tabela3[[CÓDIGO
 EMPRESA ]:[EMPRESA]],2,FALSE),"")</f>
        <v>ATTEND AMBIENTAL S.A</v>
      </c>
      <c r="D237" s="112" t="s">
        <v>335</v>
      </c>
      <c r="E237" s="112" t="s">
        <v>451</v>
      </c>
      <c r="F237" s="196">
        <v>4189</v>
      </c>
      <c r="G237" s="411">
        <v>47964</v>
      </c>
      <c r="H237" s="165" t="s">
        <v>49</v>
      </c>
      <c r="I237" s="147">
        <v>45809</v>
      </c>
      <c r="J237" s="113">
        <v>45838</v>
      </c>
      <c r="K237" s="382">
        <v>80580.960000000006</v>
      </c>
      <c r="L237" s="398">
        <f>Tabela13[[#This Row],[VALOR
 BRUTO ]]-Tabela13[[#This Row],[VALOR 
LIQUIDO ]]</f>
        <v>3867.89</v>
      </c>
      <c r="M237" s="399">
        <f>Tabela13[[#This Row],[VALORES PAGOS 
(FORMA PAGTO)]]</f>
        <v>76713.070000000007</v>
      </c>
      <c r="N237" s="113">
        <v>45869</v>
      </c>
      <c r="O237" s="382">
        <v>76713.070000000007</v>
      </c>
      <c r="P237" s="147">
        <v>45869</v>
      </c>
      <c r="Q237" s="197" t="str" cm="1">
        <f t="array" aca="1" ref="Q237" ca="1">IF($P237&lt;&gt;"","PAGO",IF($N237&lt;TODAY(),"ATRASADO",IF($N237&gt;TODAY(),"NO PRAZO",IF($N237=TODAY(),"NO PRAZO",SE))))</f>
        <v>PAGO</v>
      </c>
      <c r="R237" s="150" t="str">
        <f t="shared" ca="1" si="3"/>
        <v/>
      </c>
      <c r="S237" s="241"/>
      <c r="T237" s="112"/>
      <c r="U237" s="259">
        <f ca="1">SUBTOTAL(3,Tabela13[[#This Row],[STATUS]])</f>
        <v>1</v>
      </c>
    </row>
    <row r="238" spans="1:23" ht="24" customHeight="1">
      <c r="A238" s="113">
        <v>45846</v>
      </c>
      <c r="B238" s="105">
        <v>103747</v>
      </c>
      <c r="C238" s="688" t="str">
        <f>IFERROR(VLOOKUP(Tabela13[[#This Row],[CÓD. EMPRESA]],Tabela3[[CÓDIGO
 EMPRESA ]:[EMPRESA]],2,FALSE),"")</f>
        <v>CDR PEDREIRA CENTRO DE DISPOSIÇÃO DE RESÍDUOS LTDA</v>
      </c>
      <c r="D238" s="112" t="s">
        <v>334</v>
      </c>
      <c r="E238" s="112" t="s">
        <v>431</v>
      </c>
      <c r="F238" s="196">
        <v>11507</v>
      </c>
      <c r="G238" s="411">
        <v>3498</v>
      </c>
      <c r="H238" s="165" t="s">
        <v>49</v>
      </c>
      <c r="I238" s="147">
        <v>45778</v>
      </c>
      <c r="J238" s="113">
        <v>45808</v>
      </c>
      <c r="K238" s="495">
        <v>955650</v>
      </c>
      <c r="L238" s="398">
        <f>Tabela13[[#This Row],[VALOR
 BRUTO ]]-Tabela13[[#This Row],[VALOR 
LIQUIDO ]]</f>
        <v>0</v>
      </c>
      <c r="M238" s="399">
        <f>Tabela13[[#This Row],[VALORES PAGOS 
(FORMA PAGTO)]]</f>
        <v>955650</v>
      </c>
      <c r="N238" s="113">
        <v>45854</v>
      </c>
      <c r="O238" s="382">
        <v>955650</v>
      </c>
      <c r="P238" s="147">
        <v>45883</v>
      </c>
      <c r="Q238" s="197" t="str" cm="1">
        <f t="array" aca="1" ref="Q238" ca="1">IF($P238&lt;&gt;"","PAGO",IF($N238&lt;TODAY(),"ATRASADO",IF($N238&gt;TODAY(),"NO PRAZO",IF($N238=TODAY(),"NO PRAZO",SE))))</f>
        <v>PAGO</v>
      </c>
      <c r="R238" s="150" t="str">
        <f t="shared" ca="1" si="3"/>
        <v/>
      </c>
      <c r="S238" s="241"/>
      <c r="T238" s="112"/>
      <c r="U238" s="259">
        <f ca="1">SUBTOTAL(3,Tabela13[[#This Row],[STATUS]])</f>
        <v>1</v>
      </c>
    </row>
    <row r="239" spans="1:23" ht="24" customHeight="1">
      <c r="A239" s="113">
        <v>45846</v>
      </c>
      <c r="B239" s="105">
        <v>103747</v>
      </c>
      <c r="C239" s="688" t="str">
        <f>IFERROR(VLOOKUP(Tabela13[[#This Row],[CÓD. EMPRESA]],Tabela3[[CÓDIGO
 EMPRESA ]:[EMPRESA]],2,FALSE),"")</f>
        <v>CDR PEDREIRA CENTRO DE DISPOSIÇÃO DE RESÍDUOS LTDA</v>
      </c>
      <c r="D239" s="112" t="s">
        <v>565</v>
      </c>
      <c r="E239" s="112" t="s">
        <v>431</v>
      </c>
      <c r="F239" s="196">
        <v>9363</v>
      </c>
      <c r="G239" s="411">
        <v>3498</v>
      </c>
      <c r="H239" s="165" t="s">
        <v>49</v>
      </c>
      <c r="I239" s="147">
        <v>45778</v>
      </c>
      <c r="J239" s="113">
        <v>45808</v>
      </c>
      <c r="K239" s="495">
        <v>2811714.7</v>
      </c>
      <c r="L239" s="398">
        <f>Tabela13[[#This Row],[VALOR
 BRUTO ]]-Tabela13[[#This Row],[VALOR 
LIQUIDO ]]</f>
        <v>369201.75</v>
      </c>
      <c r="M239" s="399">
        <f>Tabela13[[#This Row],[VALORES PAGOS 
(FORMA PAGTO)]]</f>
        <v>2442512.9500000002</v>
      </c>
      <c r="N239" s="113">
        <v>45854</v>
      </c>
      <c r="O239" s="382">
        <v>2442512.9500000002</v>
      </c>
      <c r="P239" s="147">
        <v>45883</v>
      </c>
      <c r="Q239" s="197" t="str" cm="1">
        <f t="array" aca="1" ref="Q239" ca="1">IF($P239&lt;&gt;"","PAGO",IF($N239&lt;TODAY(),"ATRASADO",IF($N239&gt;TODAY(),"NO PRAZO",IF($N239=TODAY(),"NO PRAZO",SE))))</f>
        <v>PAGO</v>
      </c>
      <c r="R239" s="150" t="str">
        <f t="shared" ca="1" si="3"/>
        <v/>
      </c>
      <c r="S239" s="241"/>
      <c r="T239" s="112"/>
      <c r="U239" s="259">
        <f ca="1">SUBTOTAL(3,Tabela13[[#This Row],[STATUS]])</f>
        <v>1</v>
      </c>
    </row>
    <row r="240" spans="1:23" ht="24" customHeight="1">
      <c r="A240" s="489">
        <v>45846</v>
      </c>
      <c r="B240" s="105">
        <v>69169</v>
      </c>
      <c r="C240" s="688" t="str">
        <f>IFERROR(VLOOKUP(Tabela13[[#This Row],[CÓD. EMPRESA]],Tabela3[[CÓDIGO
 EMPRESA ]:[EMPRESA]],2,FALSE),"")</f>
        <v>CECM PÂES LTDA</v>
      </c>
      <c r="D240" s="112" t="s">
        <v>429</v>
      </c>
      <c r="E240" s="112" t="s">
        <v>450</v>
      </c>
      <c r="F240" s="491">
        <v>3881</v>
      </c>
      <c r="G240" s="411">
        <v>19391</v>
      </c>
      <c r="H240" s="165" t="s">
        <v>49</v>
      </c>
      <c r="I240" s="493"/>
      <c r="J240" s="489"/>
      <c r="K240" s="551">
        <v>7151.4</v>
      </c>
      <c r="L240" s="398">
        <f>Tabela13[[#This Row],[VALOR
 BRUTO ]]-Tabela13[[#This Row],[VALOR 
LIQUIDO ]]</f>
        <v>0</v>
      </c>
      <c r="M240" s="399">
        <f>Tabela13[[#This Row],[VALORES PAGOS 
(FORMA PAGTO)]]</f>
        <v>7151.4</v>
      </c>
      <c r="N240" s="489">
        <v>45869</v>
      </c>
      <c r="O240" s="551">
        <v>7151.4</v>
      </c>
      <c r="P240" s="549">
        <v>45869</v>
      </c>
      <c r="Q240" s="197" t="str" cm="1">
        <f t="array" aca="1" ref="Q240" ca="1">IF($P240&lt;&gt;"","PAGO",IF($N240&lt;TODAY(),"ATRASADO",IF($N240&gt;TODAY(),"NO PRAZO",IF($N240=TODAY(),"NO PRAZO",SE))))</f>
        <v>PAGO</v>
      </c>
      <c r="R240" s="150" t="str">
        <f t="shared" ca="1" si="3"/>
        <v/>
      </c>
      <c r="S240" s="729"/>
      <c r="T240" s="112"/>
      <c r="U240" s="552">
        <f ca="1">SUBTOTAL(3,Tabela13[[#This Row],[STATUS]])</f>
        <v>1</v>
      </c>
    </row>
    <row r="241" spans="1:21" ht="24" customHeight="1">
      <c r="A241" s="489">
        <v>45848</v>
      </c>
      <c r="B241" s="105">
        <v>2808</v>
      </c>
      <c r="C241" s="688" t="str">
        <f>IFERROR(VLOOKUP(Tabela13[[#This Row],[CÓD. EMPRESA]],Tabela3[[CÓDIGO
 EMPRESA ]:[EMPRESA]],2,FALSE),"")</f>
        <v>EMPRESA BRASILEIRA DE CORREIOS E TELEGRAFOS</v>
      </c>
      <c r="D241" s="112" t="s">
        <v>34</v>
      </c>
      <c r="E241" s="112" t="s">
        <v>443</v>
      </c>
      <c r="F241" s="593">
        <v>3678</v>
      </c>
      <c r="G241" s="411">
        <v>3609021</v>
      </c>
      <c r="H241" s="165" t="s">
        <v>49</v>
      </c>
      <c r="I241" s="493">
        <v>45810</v>
      </c>
      <c r="J241" s="489">
        <v>45825</v>
      </c>
      <c r="K241" s="551">
        <v>217.62</v>
      </c>
      <c r="L241" s="398"/>
      <c r="M241" s="399"/>
      <c r="N241" s="489">
        <v>45859</v>
      </c>
      <c r="O241" s="551">
        <v>217.62</v>
      </c>
      <c r="P241" s="549">
        <v>45859</v>
      </c>
      <c r="Q241" s="197" t="str" cm="1">
        <f t="array" aca="1" ref="Q241" ca="1">IF($P241&lt;&gt;"","PAGO",IF($N241&lt;TODAY(),"ATRASADO",IF($N241&gt;TODAY(),"NO PRAZO",IF($N241=TODAY(),"NO PRAZO",SE))))</f>
        <v>PAGO</v>
      </c>
      <c r="R241" s="150" t="str">
        <f t="shared" ca="1" si="3"/>
        <v/>
      </c>
      <c r="S241" s="722"/>
      <c r="T241" s="112"/>
      <c r="U241" s="552">
        <f ca="1">SUBTOTAL(3,Tabela13[[#This Row],[STATUS]])</f>
        <v>1</v>
      </c>
    </row>
    <row r="242" spans="1:21" ht="24" customHeight="1">
      <c r="A242" s="113">
        <v>45853</v>
      </c>
      <c r="B242" s="105">
        <v>117936</v>
      </c>
      <c r="C242" s="688" t="str">
        <f>IFERROR(VLOOKUP(Tabela13[[#This Row],[CÓD. EMPRESA]],Tabela3[[CÓDIGO
 EMPRESA ]:[EMPRESA]],2,FALSE),"")</f>
        <v>LOPES SAAB ENGENHARIA LTDA</v>
      </c>
      <c r="D242" s="112" t="s">
        <v>449</v>
      </c>
      <c r="E242" s="112" t="s">
        <v>452</v>
      </c>
      <c r="F242" s="196">
        <v>8371</v>
      </c>
      <c r="G242" s="411">
        <v>154</v>
      </c>
      <c r="H242" s="165" t="s">
        <v>50</v>
      </c>
      <c r="I242" s="147">
        <v>45778</v>
      </c>
      <c r="J242" s="113">
        <v>45808</v>
      </c>
      <c r="K242" s="385">
        <v>18500</v>
      </c>
      <c r="L242" s="398">
        <f>Tabela13[[#This Row],[VALOR
 BRUTO ]]-Tabela13[[#This Row],[VALOR 
LIQUIDO ]]</f>
        <v>0</v>
      </c>
      <c r="M242" s="399">
        <f>Tabela13[[#This Row],[VALORES PAGOS 
(FORMA PAGTO)]]</f>
        <v>18500</v>
      </c>
      <c r="N242" s="113">
        <v>45877</v>
      </c>
      <c r="O242" s="382">
        <v>18500</v>
      </c>
      <c r="P242" s="147">
        <v>45923</v>
      </c>
      <c r="Q242" s="197" t="str" cm="1">
        <f t="array" aca="1" ref="Q242" ca="1">IF($P242&lt;&gt;"","PAGO",IF($N242&lt;TODAY(),"ATRASADO",IF($N242&gt;TODAY(),"NO PRAZO",IF($N242=TODAY(),"NO PRAZO",SE))))</f>
        <v>PAGO</v>
      </c>
      <c r="R242" s="150" t="str">
        <f t="shared" ca="1" si="3"/>
        <v/>
      </c>
      <c r="S242" s="241"/>
      <c r="T242" s="112"/>
      <c r="U242" s="259">
        <f ca="1">SUBTOTAL(3,Tabela13[[#This Row],[STATUS]])</f>
        <v>1</v>
      </c>
    </row>
    <row r="243" spans="1:21" ht="24" customHeight="1">
      <c r="A243" s="489">
        <v>45853</v>
      </c>
      <c r="B243" s="105">
        <v>76116</v>
      </c>
      <c r="C243" s="688" t="str">
        <f>IFERROR(VLOOKUP(Tabela13[[#This Row],[CÓD. EMPRESA]],Tabela3[[CÓDIGO
 EMPRESA ]:[EMPRESA]],2,FALSE),"")</f>
        <v>ALVORADA SISTEMA AMBIENTAL EIRELI</v>
      </c>
      <c r="D243" s="112" t="s">
        <v>342</v>
      </c>
      <c r="E243" s="112" t="s">
        <v>460</v>
      </c>
      <c r="F243" s="491">
        <v>4190</v>
      </c>
      <c r="G243" s="411">
        <v>14231</v>
      </c>
      <c r="H243" s="492" t="s">
        <v>50</v>
      </c>
      <c r="I243" s="493">
        <v>45809</v>
      </c>
      <c r="J243" s="489">
        <v>45838</v>
      </c>
      <c r="K243" s="382">
        <v>87218.21</v>
      </c>
      <c r="L243" s="398">
        <f>Tabela13[[#This Row],[VALOR
 BRUTO ]]-Tabela13[[#This Row],[VALOR 
LIQUIDO ]]</f>
        <v>8547.3799999999992</v>
      </c>
      <c r="M243" s="399">
        <f>Tabela13[[#This Row],[VALORES PAGOS 
(FORMA PAGTO)]]</f>
        <v>78670.83</v>
      </c>
      <c r="N243" s="489">
        <v>45870</v>
      </c>
      <c r="O243" s="382">
        <v>78670.83</v>
      </c>
      <c r="P243" s="493">
        <v>45923</v>
      </c>
      <c r="Q243" s="197" t="str" cm="1">
        <f t="array" aca="1" ref="Q243" ca="1">IF($P243&lt;&gt;"","PAGO",IF($N243&lt;TODAY(),"ATRASADO",IF($N243&gt;TODAY(),"NO PRAZO",IF($N243=TODAY(),"NO PRAZO",SE))))</f>
        <v>PAGO</v>
      </c>
      <c r="R243" s="150" t="str">
        <f t="shared" ca="1" si="3"/>
        <v/>
      </c>
      <c r="S243" s="722"/>
      <c r="T243" s="112"/>
      <c r="U243" s="497">
        <f ca="1">SUBTOTAL(3,Tabela13[[#This Row],[STATUS]])</f>
        <v>1</v>
      </c>
    </row>
    <row r="244" spans="1:21" ht="24" customHeight="1">
      <c r="A244" s="489">
        <v>45856</v>
      </c>
      <c r="B244" s="105">
        <v>103747</v>
      </c>
      <c r="C244" s="688" t="str">
        <f>IFERROR(VLOOKUP(Tabela13[[#This Row],[CÓD. EMPRESA]],Tabela3[[CÓDIGO
 EMPRESA ]:[EMPRESA]],2,FALSE),"")</f>
        <v>CDR PEDREIRA CENTRO DE DISPOSIÇÃO DE RESÍDUOS LTDA</v>
      </c>
      <c r="D244" s="112" t="s">
        <v>334</v>
      </c>
      <c r="E244" s="112" t="s">
        <v>431</v>
      </c>
      <c r="F244" s="491">
        <v>13555</v>
      </c>
      <c r="G244" s="411">
        <v>3612</v>
      </c>
      <c r="H244" s="492" t="s">
        <v>50</v>
      </c>
      <c r="I244" s="493">
        <v>45809</v>
      </c>
      <c r="J244" s="489">
        <v>45838</v>
      </c>
      <c r="K244" s="495">
        <v>3626722</v>
      </c>
      <c r="L244" s="398">
        <f>Tabela13[[#This Row],[VALOR
 BRUTO ]]-Tabela13[[#This Row],[VALOR 
LIQUIDO ]]</f>
        <v>355418.76</v>
      </c>
      <c r="M244" s="399">
        <f>Tabela13[[#This Row],[VALORES PAGOS 
(FORMA PAGTO)]]</f>
        <v>3271303.24</v>
      </c>
      <c r="N244" s="489">
        <v>45883</v>
      </c>
      <c r="O244" s="495">
        <v>3271303.24</v>
      </c>
      <c r="P244" s="493">
        <v>45898</v>
      </c>
      <c r="Q244" s="197" t="str" cm="1">
        <f t="array" aca="1" ref="Q244" ca="1">IF($P244&lt;&gt;"","PAGO",IF($N244&lt;TODAY(),"ATRASADO",IF($N244&gt;TODAY(),"NO PRAZO",IF($N244=TODAY(),"NO PRAZO",SE))))</f>
        <v>PAGO</v>
      </c>
      <c r="R244" s="150" t="str">
        <f t="shared" ca="1" si="3"/>
        <v/>
      </c>
      <c r="S244" s="722"/>
      <c r="T244" s="112"/>
      <c r="U244" s="497">
        <f ca="1">SUBTOTAL(3,Tabela13[[#This Row],[STATUS]])</f>
        <v>1</v>
      </c>
    </row>
    <row r="245" spans="1:21" ht="24" customHeight="1">
      <c r="A245" s="519">
        <v>45859</v>
      </c>
      <c r="B245" s="105">
        <v>104133</v>
      </c>
      <c r="C245" s="688" t="str">
        <f>IFERROR(VLOOKUP(Tabela13[[#This Row],[CÓD. EMPRESA]],Tabela3[[CÓDIGO
 EMPRESA ]:[EMPRESA]],2,FALSE),"")</f>
        <v>MADWORK COMERCIO E REPRESENTACOES LTDA</v>
      </c>
      <c r="D245" s="112" t="s">
        <v>573</v>
      </c>
      <c r="E245" s="112" t="s">
        <v>419</v>
      </c>
      <c r="F245" s="520">
        <v>9229</v>
      </c>
      <c r="G245" s="411">
        <v>1763</v>
      </c>
      <c r="H245" s="165" t="s">
        <v>50</v>
      </c>
      <c r="I245" s="521"/>
      <c r="J245" s="519"/>
      <c r="K245" s="495">
        <v>7141.9</v>
      </c>
      <c r="L245" s="398">
        <f>Tabela13[[#This Row],[VALOR
 BRUTO ]]-Tabela13[[#This Row],[VALOR 
LIQUIDO ]]</f>
        <v>85.7</v>
      </c>
      <c r="M245" s="399">
        <f>Tabela13[[#This Row],[VALORES PAGOS 
(FORMA PAGTO)]]</f>
        <v>7056.2</v>
      </c>
      <c r="N245" s="519">
        <v>45882</v>
      </c>
      <c r="O245" s="523">
        <v>7056.2</v>
      </c>
      <c r="P245" s="521">
        <v>45923</v>
      </c>
      <c r="Q245" s="197" t="str" cm="1">
        <f t="array" aca="1" ref="Q245" ca="1">IF($P245&lt;&gt;"","PAGO",IF($N245&lt;TODAY(),"ATRASADO",IF($N245&gt;TODAY(),"NO PRAZO",IF($N245=TODAY(),"NO PRAZO",SE))))</f>
        <v>PAGO</v>
      </c>
      <c r="R245" s="150" t="str">
        <f t="shared" ca="1" si="3"/>
        <v/>
      </c>
      <c r="S245" s="241"/>
      <c r="T245" s="112"/>
      <c r="U245" s="524">
        <f ca="1">SUBTOTAL(3,Tabela13[[#This Row],[STATUS]])</f>
        <v>1</v>
      </c>
    </row>
    <row r="246" spans="1:21" ht="24" customHeight="1">
      <c r="A246" s="489">
        <v>45859</v>
      </c>
      <c r="B246" s="105">
        <v>46674</v>
      </c>
      <c r="C246" s="688" t="str">
        <f>IFERROR(VLOOKUP(Tabela13[[#This Row],[CÓD. EMPRESA]],Tabela3[[CÓDIGO
 EMPRESA ]:[EMPRESA]],2,FALSE),"")</f>
        <v>NOA SERVICOS E LOCACAO LTDA</v>
      </c>
      <c r="D246" s="112" t="s">
        <v>324</v>
      </c>
      <c r="E246" s="112" t="s">
        <v>437</v>
      </c>
      <c r="F246" s="491">
        <v>14449</v>
      </c>
      <c r="G246" s="411">
        <v>1703</v>
      </c>
      <c r="H246" s="165" t="s">
        <v>49</v>
      </c>
      <c r="I246" s="493">
        <v>45809</v>
      </c>
      <c r="J246" s="489">
        <v>45838</v>
      </c>
      <c r="K246" s="551">
        <v>145693.79999999999</v>
      </c>
      <c r="L246" s="398">
        <f>Tabela13[[#This Row],[VALOR
 BRUTO ]]-Tabela13[[#This Row],[VALOR 
LIQUIDO ]]</f>
        <v>12675.36</v>
      </c>
      <c r="M246" s="399">
        <f>Tabela13[[#This Row],[VALORES PAGOS 
(FORMA PAGTO)]]</f>
        <v>133018.44</v>
      </c>
      <c r="N246" s="489">
        <v>45886</v>
      </c>
      <c r="O246" s="382">
        <v>133018.44</v>
      </c>
      <c r="P246" s="493">
        <v>45945</v>
      </c>
      <c r="Q246" s="197" t="str" cm="1">
        <f t="array" aca="1" ref="Q246" ca="1">IF($P246&lt;&gt;"","PAGO",IF($N246&lt;TODAY(),"ATRASADO",IF($N246&gt;TODAY(),"NO PRAZO",IF($N246=TODAY(),"NO PRAZO",SE))))</f>
        <v>PAGO</v>
      </c>
      <c r="R246" s="150" t="str">
        <f t="shared" ca="1" si="3"/>
        <v/>
      </c>
      <c r="S246" s="728"/>
      <c r="T246" s="112"/>
      <c r="U246" s="497">
        <f ca="1">SUBTOTAL(3,Tabela13[[#This Row],[STATUS]])</f>
        <v>1</v>
      </c>
    </row>
    <row r="247" spans="1:21" ht="24" customHeight="1">
      <c r="A247" s="489">
        <v>45860</v>
      </c>
      <c r="B247" s="105">
        <v>124054</v>
      </c>
      <c r="C247" s="688" t="str">
        <f>IFERROR(VLOOKUP(Tabela13[[#This Row],[CÓD. EMPRESA]],Tabela3[[CÓDIGO
 EMPRESA ]:[EMPRESA]],2,FALSE),"")</f>
        <v>GIGA INTEGRAÇÕES COMERCIAIS LTDA</v>
      </c>
      <c r="D247" s="112" t="s">
        <v>657</v>
      </c>
      <c r="E247" s="112" t="s">
        <v>576</v>
      </c>
      <c r="F247" s="491">
        <v>12718</v>
      </c>
      <c r="G247" s="411">
        <v>170</v>
      </c>
      <c r="H247" s="492" t="s">
        <v>50</v>
      </c>
      <c r="I247" s="493"/>
      <c r="J247" s="489"/>
      <c r="K247" s="551">
        <v>8977.5</v>
      </c>
      <c r="L247" s="398">
        <f>Tabela13[[#This Row],[VALOR
 BRUTO ]]-Tabela13[[#This Row],[VALOR 
LIQUIDO ]]</f>
        <v>0</v>
      </c>
      <c r="M247" s="399">
        <f>Tabela13[[#This Row],[VALORES PAGOS 
(FORMA PAGTO)]]</f>
        <v>8977.5</v>
      </c>
      <c r="N247" s="489">
        <v>45870</v>
      </c>
      <c r="O247" s="569">
        <v>8977.5</v>
      </c>
      <c r="P247" s="493">
        <v>45923</v>
      </c>
      <c r="Q247" s="197" t="str" cm="1">
        <f t="array" aca="1" ref="Q247" ca="1">IF($P247&lt;&gt;"","PAGO",IF($N247&lt;TODAY(),"ATRASADO",IF($N247&gt;TODAY(),"NO PRAZO",IF($N247=TODAY(),"NO PRAZO",SE))))</f>
        <v>PAGO</v>
      </c>
      <c r="R247" s="150" t="str">
        <f t="shared" ca="1" si="3"/>
        <v/>
      </c>
      <c r="S247" s="722"/>
      <c r="T247" s="112"/>
      <c r="U247" s="497">
        <f ca="1">SUBTOTAL(3,Tabela13[[#This Row],[STATUS]])</f>
        <v>1</v>
      </c>
    </row>
    <row r="248" spans="1:21" ht="24" customHeight="1">
      <c r="A248" s="489">
        <v>45860</v>
      </c>
      <c r="B248" s="105">
        <v>123753</v>
      </c>
      <c r="C248" s="688" t="str">
        <f>IFERROR(VLOOKUP(Tabela13[[#This Row],[CÓD. EMPRESA]],Tabela3[[CÓDIGO
 EMPRESA ]:[EMPRESA]],2,FALSE),"")</f>
        <v>M V SERVIÇOS E COMERCIO LTDA</v>
      </c>
      <c r="D248" s="112" t="s">
        <v>658</v>
      </c>
      <c r="E248" s="112" t="s">
        <v>577</v>
      </c>
      <c r="F248" s="491">
        <v>13764</v>
      </c>
      <c r="G248" s="411">
        <v>8932</v>
      </c>
      <c r="H248" s="492" t="s">
        <v>49</v>
      </c>
      <c r="I248" s="493"/>
      <c r="J248" s="489"/>
      <c r="K248" s="385">
        <v>67030</v>
      </c>
      <c r="L248" s="398">
        <f>Tabela13[[#This Row],[VALOR
 BRUTO ]]-Tabela13[[#This Row],[VALOR 
LIQUIDO ]]</f>
        <v>0</v>
      </c>
      <c r="M248" s="399">
        <f>Tabela13[[#This Row],[VALORES PAGOS 
(FORMA PAGTO)]]</f>
        <v>67030</v>
      </c>
      <c r="N248" s="489">
        <v>45869</v>
      </c>
      <c r="O248" s="495">
        <v>67030</v>
      </c>
      <c r="P248" s="493">
        <v>45881</v>
      </c>
      <c r="Q248" s="197" t="str" cm="1">
        <f t="array" aca="1" ref="Q248" ca="1">IF($P248&lt;&gt;"","PAGO",IF($N248&lt;TODAY(),"ATRASADO",IF($N248&gt;TODAY(),"NO PRAZO",IF($N248=TODAY(),"NO PRAZO",SE))))</f>
        <v>PAGO</v>
      </c>
      <c r="R248" s="150" t="str">
        <f t="shared" ca="1" si="3"/>
        <v/>
      </c>
      <c r="S248" s="722"/>
      <c r="T248" s="112"/>
      <c r="U248" s="497">
        <f ca="1">SUBTOTAL(3,Tabela13[[#This Row],[STATUS]])</f>
        <v>1</v>
      </c>
    </row>
    <row r="249" spans="1:21" ht="24" customHeight="1">
      <c r="A249" s="489">
        <v>45860</v>
      </c>
      <c r="B249" s="105">
        <v>42326</v>
      </c>
      <c r="C249" s="688" t="str">
        <f>IFERROR(VLOOKUP(Tabela13[[#This Row],[CÓD. EMPRESA]],Tabela3[[CÓDIGO
 EMPRESA ]:[EMPRESA]],2,FALSE),"")</f>
        <v>CASAMAX COMERCIAL E SERVICOS LTDA</v>
      </c>
      <c r="D249" s="112" t="s">
        <v>703</v>
      </c>
      <c r="E249" s="112" t="s">
        <v>615</v>
      </c>
      <c r="F249" s="491">
        <v>5709</v>
      </c>
      <c r="G249" s="411">
        <v>11300</v>
      </c>
      <c r="H249" s="492" t="s">
        <v>50</v>
      </c>
      <c r="I249" s="493">
        <v>45774</v>
      </c>
      <c r="J249" s="489">
        <v>45777</v>
      </c>
      <c r="K249" s="382">
        <v>20223.32</v>
      </c>
      <c r="L249" s="398">
        <f>Tabela13[[#This Row],[VALOR
 BRUTO ]]-Tabela13[[#This Row],[VALOR 
LIQUIDO ]]</f>
        <v>2760.49</v>
      </c>
      <c r="M249" s="399">
        <f>Tabela13[[#This Row],[VALORES PAGOS 
(FORMA PAGTO)]]</f>
        <v>17462.830000000002</v>
      </c>
      <c r="N249" s="489">
        <v>45889</v>
      </c>
      <c r="O249" s="495">
        <v>17462.830000000002</v>
      </c>
      <c r="P249" s="493">
        <v>45937</v>
      </c>
      <c r="Q249" s="197" t="str" cm="1">
        <f t="array" aca="1" ref="Q249" ca="1">IF($P249&lt;&gt;"","PAGO",IF($N249&lt;TODAY(),"ATRASADO",IF($N249&gt;TODAY(),"NO PRAZO",IF($N249=TODAY(),"NO PRAZO",SE))))</f>
        <v>PAGO</v>
      </c>
      <c r="R249" s="150" t="str">
        <f t="shared" ca="1" si="3"/>
        <v/>
      </c>
      <c r="S249" s="242"/>
      <c r="T249" s="112"/>
      <c r="U249" s="497">
        <f ca="1">SUBTOTAL(3,Tabela13[[#This Row],[STATUS]])</f>
        <v>1</v>
      </c>
    </row>
    <row r="250" spans="1:21" ht="24" customHeight="1">
      <c r="A250" s="489">
        <v>45860</v>
      </c>
      <c r="B250" s="105">
        <v>42326</v>
      </c>
      <c r="C250" s="688" t="str">
        <f>IFERROR(VLOOKUP(Tabela13[[#This Row],[CÓD. EMPRESA]],Tabela3[[CÓDIGO
 EMPRESA ]:[EMPRESA]],2,FALSE),"")</f>
        <v>CASAMAX COMERCIAL E SERVICOS LTDA</v>
      </c>
      <c r="D250" s="112" t="s">
        <v>703</v>
      </c>
      <c r="E250" s="112" t="s">
        <v>615</v>
      </c>
      <c r="F250" s="491">
        <v>5709</v>
      </c>
      <c r="G250" s="411">
        <v>11299</v>
      </c>
      <c r="H250" s="492" t="s">
        <v>50</v>
      </c>
      <c r="I250" s="493">
        <v>45748</v>
      </c>
      <c r="J250" s="489">
        <v>45773</v>
      </c>
      <c r="K250" s="495">
        <v>112165.64</v>
      </c>
      <c r="L250" s="398">
        <f>Tabela13[[#This Row],[VALOR
 BRUTO ]]-Tabela13[[#This Row],[VALOR 
LIQUIDO ]]</f>
        <v>15310.61</v>
      </c>
      <c r="M250" s="399">
        <f>Tabela13[[#This Row],[VALORES PAGOS 
(FORMA PAGTO)]]</f>
        <v>96855.03</v>
      </c>
      <c r="N250" s="489">
        <v>45889</v>
      </c>
      <c r="O250" s="495">
        <v>96855.03</v>
      </c>
      <c r="P250" s="493">
        <v>45930</v>
      </c>
      <c r="Q250" s="197" t="str" cm="1">
        <f t="array" aca="1" ref="Q250" ca="1">IF($P250&lt;&gt;"","PAGO",IF($N250&lt;TODAY(),"ATRASADO",IF($N250&gt;TODAY(),"NO PRAZO",IF($N250=TODAY(),"NO PRAZO",SE))))</f>
        <v>PAGO</v>
      </c>
      <c r="R250" s="150" t="str">
        <f t="shared" ca="1" si="3"/>
        <v/>
      </c>
      <c r="S250" s="722"/>
      <c r="T250" s="112"/>
      <c r="U250" s="497">
        <f ca="1">SUBTOTAL(3,Tabela13[[#This Row],[STATUS]])</f>
        <v>1</v>
      </c>
    </row>
    <row r="251" spans="1:21" ht="24" customHeight="1">
      <c r="A251" s="489">
        <v>45861</v>
      </c>
      <c r="B251" s="105">
        <v>73115</v>
      </c>
      <c r="C251" s="688" t="str">
        <f>IFERROR(VLOOKUP(Tabela13[[#This Row],[CÓD. EMPRESA]],Tabela3[[CÓDIGO
 EMPRESA ]:[EMPRESA]],2,FALSE),"")</f>
        <v>CONSORCIO LIMPA GUARULHOS</v>
      </c>
      <c r="D251" s="112" t="s">
        <v>350</v>
      </c>
      <c r="E251" s="112" t="s">
        <v>494</v>
      </c>
      <c r="F251" s="491">
        <v>16759</v>
      </c>
      <c r="G251" s="411">
        <v>77</v>
      </c>
      <c r="H251" s="492" t="s">
        <v>49</v>
      </c>
      <c r="I251" s="493">
        <v>45820</v>
      </c>
      <c r="J251" s="489">
        <v>45838</v>
      </c>
      <c r="K251" s="495">
        <v>4218445.87</v>
      </c>
      <c r="L251" s="398">
        <f>Tabela13[[#This Row],[VALOR
 BRUTO ]]-Tabela13[[#This Row],[VALORES PAGOS 
(FORMA PAGTO)]]-O252</f>
        <v>854928.92</v>
      </c>
      <c r="M251" s="399">
        <f>Tabela13[[#This Row],[VALORES PAGOS 
(FORMA PAGTO)]]</f>
        <v>3000000</v>
      </c>
      <c r="N251" s="489">
        <v>45861</v>
      </c>
      <c r="O251" s="382">
        <v>3000000</v>
      </c>
      <c r="P251" s="493">
        <v>45898</v>
      </c>
      <c r="Q251" s="197" t="str" cm="1">
        <f t="array" aca="1" ref="Q251" ca="1">IF($P251&lt;&gt;"","PAGO",IF($N251&lt;TODAY(),"ATRASADO",IF($N251&gt;TODAY(),"NO PRAZO",IF($N251=TODAY(),"NO PRAZO",SE))))</f>
        <v>PAGO</v>
      </c>
      <c r="R251" s="150" t="str">
        <f t="shared" ca="1" si="3"/>
        <v/>
      </c>
      <c r="S251" s="722"/>
      <c r="T251" s="112"/>
      <c r="U251" s="497">
        <f ca="1">SUBTOTAL(3,Tabela13[[#This Row],[STATUS]])</f>
        <v>1</v>
      </c>
    </row>
    <row r="252" spans="1:21" ht="24" customHeight="1">
      <c r="A252" s="489">
        <v>45861</v>
      </c>
      <c r="B252" s="105">
        <v>73115</v>
      </c>
      <c r="C252" s="688" t="str">
        <f>IFERROR(VLOOKUP(Tabela13[[#This Row],[CÓD. EMPRESA]],Tabela3[[CÓDIGO
 EMPRESA ]:[EMPRESA]],2,FALSE),"")</f>
        <v>CONSORCIO LIMPA GUARULHOS</v>
      </c>
      <c r="D252" s="112" t="s">
        <v>350</v>
      </c>
      <c r="E252" s="112" t="s">
        <v>494</v>
      </c>
      <c r="F252" s="491">
        <v>16759</v>
      </c>
      <c r="G252" s="411">
        <v>77</v>
      </c>
      <c r="H252" s="492" t="s">
        <v>49</v>
      </c>
      <c r="I252" s="493">
        <v>45820</v>
      </c>
      <c r="J252" s="489">
        <v>45838</v>
      </c>
      <c r="K252" s="551"/>
      <c r="L252" s="842"/>
      <c r="M252" s="843"/>
      <c r="N252" s="838">
        <v>45861</v>
      </c>
      <c r="O252" s="844">
        <v>363516.95</v>
      </c>
      <c r="P252" s="840">
        <v>45902</v>
      </c>
      <c r="Q252" s="845" t="str" cm="1">
        <f t="array" aca="1" ref="Q252" ca="1">IF($P252&lt;&gt;"","PAGO",IF($N252&lt;TODAY(),"ATRASADO",IF($N252&gt;TODAY(),"NO PRAZO",IF($N252=TODAY(),"NO PRAZO",SE))))</f>
        <v>PAGO</v>
      </c>
      <c r="R252" s="259" t="str">
        <f t="shared" ca="1" si="3"/>
        <v/>
      </c>
      <c r="S252" s="839"/>
      <c r="T252" s="839"/>
      <c r="U252" s="846">
        <f ca="1">SUBTOTAL(3,Tabela13[[#This Row],[STATUS]])</f>
        <v>1</v>
      </c>
    </row>
    <row r="253" spans="1:21" ht="24" customHeight="1">
      <c r="A253" s="489">
        <v>45861</v>
      </c>
      <c r="B253" s="105">
        <v>73115</v>
      </c>
      <c r="C253" s="688" t="str">
        <f>IFERROR(VLOOKUP(Tabela13[[#This Row],[CÓD. EMPRESA]],Tabela3[[CÓDIGO
 EMPRESA ]:[EMPRESA]],2,FALSE),"")</f>
        <v>CONSORCIO LIMPA GUARULHOS</v>
      </c>
      <c r="D253" s="112" t="s">
        <v>350</v>
      </c>
      <c r="E253" s="112" t="s">
        <v>494</v>
      </c>
      <c r="F253" s="491">
        <v>11869</v>
      </c>
      <c r="G253" s="411">
        <v>77</v>
      </c>
      <c r="H253" s="492" t="s">
        <v>49</v>
      </c>
      <c r="I253" s="493">
        <v>45820</v>
      </c>
      <c r="J253" s="489">
        <v>45838</v>
      </c>
      <c r="K253" s="551">
        <v>752071.1</v>
      </c>
      <c r="L253" s="398">
        <f>Tabela13[[#This Row],[VALOR
 BRUTO ]]-Tabela13[[#This Row],[VALOR 
LIQUIDO ]]</f>
        <v>0</v>
      </c>
      <c r="M253" s="399">
        <f>Tabela13[[#This Row],[VALORES PAGOS 
(FORMA PAGTO)]]</f>
        <v>752071.1</v>
      </c>
      <c r="N253" s="489">
        <v>45861</v>
      </c>
      <c r="O253" s="495">
        <v>752071.1</v>
      </c>
      <c r="P253" s="493">
        <v>45902</v>
      </c>
      <c r="Q253" s="197" t="str" cm="1">
        <f t="array" aca="1" ref="Q253" ca="1">IF($P253&lt;&gt;"","PAGO",IF($N253&lt;TODAY(),"ATRASADO",IF($N253&gt;TODAY(),"NO PRAZO",IF($N253=TODAY(),"NO PRAZO",SE))))</f>
        <v>PAGO</v>
      </c>
      <c r="R253" s="150" t="str">
        <f t="shared" ca="1" si="3"/>
        <v/>
      </c>
      <c r="S253" s="722"/>
      <c r="T253" s="112"/>
      <c r="U253" s="497">
        <f ca="1">SUBTOTAL(3,Tabela13[[#This Row],[STATUS]])</f>
        <v>1</v>
      </c>
    </row>
    <row r="254" spans="1:21" ht="24" customHeight="1">
      <c r="A254" s="489">
        <v>45861</v>
      </c>
      <c r="B254" s="105">
        <v>73115</v>
      </c>
      <c r="C254" s="688" t="str">
        <f>IFERROR(VLOOKUP(Tabela13[[#This Row],[CÓD. EMPRESA]],Tabela3[[CÓDIGO
 EMPRESA ]:[EMPRESA]],2,FALSE),"")</f>
        <v>CONSORCIO LIMPA GUARULHOS</v>
      </c>
      <c r="D254" s="112" t="s">
        <v>350</v>
      </c>
      <c r="E254" s="112" t="s">
        <v>494</v>
      </c>
      <c r="F254" s="491">
        <v>11869</v>
      </c>
      <c r="G254" s="411">
        <v>76</v>
      </c>
      <c r="H254" s="492" t="s">
        <v>49</v>
      </c>
      <c r="I254" s="493">
        <v>45809</v>
      </c>
      <c r="J254" s="489">
        <v>45819</v>
      </c>
      <c r="K254" s="385">
        <v>2908064.85</v>
      </c>
      <c r="L254" s="398">
        <f>Tabela13[[#This Row],[VALOR
 BRUTO ]]-Tabela13[[#This Row],[VALOR 
LIQUIDO ]]</f>
        <v>500187.15</v>
      </c>
      <c r="M254" s="399">
        <f>Tabela13[[#This Row],[VALORES PAGOS 
(FORMA PAGTO)]]</f>
        <v>2407877.7000000002</v>
      </c>
      <c r="N254" s="489">
        <v>45861</v>
      </c>
      <c r="O254" s="495">
        <v>2407877.7000000002</v>
      </c>
      <c r="P254" s="493">
        <v>45891</v>
      </c>
      <c r="Q254" s="197" t="str" cm="1">
        <f t="array" aca="1" ref="Q254" ca="1">IF($P254&lt;&gt;"","PAGO",IF($N254&lt;TODAY(),"ATRASADO",IF($N254&gt;TODAY(),"NO PRAZO",IF($N254=TODAY(),"NO PRAZO",SE))))</f>
        <v>PAGO</v>
      </c>
      <c r="R254" s="150" t="str">
        <f t="shared" ca="1" si="3"/>
        <v/>
      </c>
      <c r="S254" s="722"/>
      <c r="T254" s="112"/>
      <c r="U254" s="804">
        <f ca="1">SUBTOTAL(3,Tabela13[[#This Row],[STATUS]])</f>
        <v>1</v>
      </c>
    </row>
    <row r="255" spans="1:21" ht="24" customHeight="1">
      <c r="A255" s="113">
        <v>45861</v>
      </c>
      <c r="B255" s="105">
        <v>60979</v>
      </c>
      <c r="C255" s="688" t="str">
        <f>IFERROR(VLOOKUP(Tabela13[[#This Row],[CÓD. EMPRESA]],Tabela3[[CÓDIGO
 EMPRESA ]:[EMPRESA]],2,FALSE),"")</f>
        <v>SILCON AMBIENTAL S/A</v>
      </c>
      <c r="D255" s="112" t="s">
        <v>355</v>
      </c>
      <c r="E255" s="112" t="s">
        <v>490</v>
      </c>
      <c r="F255" s="434">
        <v>13556</v>
      </c>
      <c r="G255" s="411">
        <v>39073</v>
      </c>
      <c r="H255" s="165" t="s">
        <v>49</v>
      </c>
      <c r="I255" s="147">
        <v>45809</v>
      </c>
      <c r="J255" s="113">
        <v>45838</v>
      </c>
      <c r="K255" s="382">
        <v>347048.1</v>
      </c>
      <c r="L255" s="398">
        <f>Tabela13[[#This Row],[VALOR
 BRUTO ]]-Tabela13[[#This Row],[VALOR 
LIQUIDO ]]</f>
        <v>16658.310000000001</v>
      </c>
      <c r="M255" s="399">
        <f>Tabela13[[#This Row],[VALORES PAGOS 
(FORMA PAGTO)]]</f>
        <v>330389.78999999998</v>
      </c>
      <c r="N255" s="113">
        <v>45889</v>
      </c>
      <c r="O255" s="382">
        <v>330389.78999999998</v>
      </c>
      <c r="P255" s="147">
        <v>45938</v>
      </c>
      <c r="Q255" s="197" t="str" cm="1">
        <f t="array" aca="1" ref="Q255" ca="1">IF($P255&lt;&gt;"","PAGO",IF($N255&lt;TODAY(),"ATRASADO",IF($N255&gt;TODAY(),"NO PRAZO",IF($N255=TODAY(),"NO PRAZO",SE))))</f>
        <v>PAGO</v>
      </c>
      <c r="R255" s="150" t="str">
        <f t="shared" ca="1" si="3"/>
        <v/>
      </c>
      <c r="S255" s="241"/>
      <c r="T255" s="112"/>
      <c r="U255" s="259">
        <f ca="1">SUBTOTAL(3,Tabela13[[#This Row],[STATUS]])</f>
        <v>1</v>
      </c>
    </row>
    <row r="256" spans="1:21" ht="24" customHeight="1">
      <c r="A256" s="113">
        <v>45861</v>
      </c>
      <c r="B256" s="105">
        <v>60979</v>
      </c>
      <c r="C256" s="688" t="str">
        <f>IFERROR(VLOOKUP(Tabela13[[#This Row],[CÓD. EMPRESA]],Tabela3[[CÓDIGO
 EMPRESA ]:[EMPRESA]],2,FALSE),"")</f>
        <v>SILCON AMBIENTAL S/A</v>
      </c>
      <c r="D256" s="112" t="s">
        <v>355</v>
      </c>
      <c r="E256" s="112" t="s">
        <v>490</v>
      </c>
      <c r="F256" s="434">
        <v>13556</v>
      </c>
      <c r="G256" s="411">
        <v>39074</v>
      </c>
      <c r="H256" s="165" t="s">
        <v>49</v>
      </c>
      <c r="I256" s="147">
        <v>45809</v>
      </c>
      <c r="J256" s="113">
        <v>45838</v>
      </c>
      <c r="K256" s="495">
        <v>231365.4</v>
      </c>
      <c r="L256" s="398">
        <f>Tabela13[[#This Row],[VALOR
 BRUTO ]]-Tabela13[[#This Row],[VALOR 
LIQUIDO ]]</f>
        <v>48124</v>
      </c>
      <c r="M256" s="399">
        <f>Tabela13[[#This Row],[VALORES PAGOS 
(FORMA PAGTO)]]</f>
        <v>183241.4</v>
      </c>
      <c r="N256" s="113">
        <v>45889</v>
      </c>
      <c r="O256" s="382">
        <v>183241.4</v>
      </c>
      <c r="P256" s="147">
        <v>45938</v>
      </c>
      <c r="Q256" s="197" t="str" cm="1">
        <f t="array" aca="1" ref="Q256" ca="1">IF($P256&lt;&gt;"","PAGO",IF($N256&lt;TODAY(),"ATRASADO",IF($N256&gt;TODAY(),"NO PRAZO",IF($N256=TODAY(),"NO PRAZO",SE))))</f>
        <v>PAGO</v>
      </c>
      <c r="R256" s="150" t="str">
        <f t="shared" ca="1" si="3"/>
        <v/>
      </c>
      <c r="S256" s="241"/>
      <c r="T256" s="112"/>
      <c r="U256" s="259">
        <f ca="1">SUBTOTAL(3,Tabela13[[#This Row],[STATUS]])</f>
        <v>1</v>
      </c>
    </row>
    <row r="257" spans="1:21" ht="24" customHeight="1">
      <c r="A257" s="113">
        <v>45861</v>
      </c>
      <c r="B257" s="105">
        <v>60979</v>
      </c>
      <c r="C257" s="688" t="str">
        <f>IFERROR(VLOOKUP(Tabela13[[#This Row],[CÓD. EMPRESA]],Tabela3[[CÓDIGO
 EMPRESA ]:[EMPRESA]],2,FALSE),"")</f>
        <v>SILCON AMBIENTAL S/A</v>
      </c>
      <c r="D257" s="112" t="s">
        <v>355</v>
      </c>
      <c r="E257" s="112" t="s">
        <v>490</v>
      </c>
      <c r="F257" s="434">
        <v>13556</v>
      </c>
      <c r="G257" s="411">
        <v>39075</v>
      </c>
      <c r="H257" s="165" t="s">
        <v>49</v>
      </c>
      <c r="I257" s="147">
        <v>45809</v>
      </c>
      <c r="J257" s="113">
        <v>45838</v>
      </c>
      <c r="K257" s="495">
        <v>4348.68</v>
      </c>
      <c r="L257" s="398">
        <f>Tabela13[[#This Row],[VALOR
 BRUTO ]]-Tabela13[[#This Row],[VALOR 
LIQUIDO ]]</f>
        <v>904.52</v>
      </c>
      <c r="M257" s="399">
        <f>Tabela13[[#This Row],[VALORES PAGOS 
(FORMA PAGTO)]]</f>
        <v>3444.16</v>
      </c>
      <c r="N257" s="113">
        <v>45889</v>
      </c>
      <c r="O257" s="385">
        <v>3444.16</v>
      </c>
      <c r="P257" s="147">
        <v>45923</v>
      </c>
      <c r="Q257" s="197" t="str" cm="1">
        <f t="array" aca="1" ref="Q257" ca="1">IF($P257&lt;&gt;"","PAGO",IF($N257&lt;TODAY(),"ATRASADO",IF($N257&gt;TODAY(),"NO PRAZO",IF($N257=TODAY(),"NO PRAZO",SE))))</f>
        <v>PAGO</v>
      </c>
      <c r="R257" s="150" t="str">
        <f t="shared" ca="1" si="3"/>
        <v/>
      </c>
      <c r="S257" s="241"/>
      <c r="T257" s="112"/>
      <c r="U257" s="259">
        <f ca="1">SUBTOTAL(3,Tabela13[[#This Row],[STATUS]])</f>
        <v>1</v>
      </c>
    </row>
    <row r="258" spans="1:21" ht="24" customHeight="1">
      <c r="A258" s="113">
        <v>45861</v>
      </c>
      <c r="B258" s="105">
        <v>60979</v>
      </c>
      <c r="C258" s="688" t="str">
        <f>IFERROR(VLOOKUP(Tabela13[[#This Row],[CÓD. EMPRESA]],Tabela3[[CÓDIGO
 EMPRESA ]:[EMPRESA]],2,FALSE),"")</f>
        <v>SILCON AMBIENTAL S/A</v>
      </c>
      <c r="D258" s="112" t="s">
        <v>355</v>
      </c>
      <c r="E258" s="112" t="s">
        <v>490</v>
      </c>
      <c r="F258" s="434">
        <v>13556</v>
      </c>
      <c r="G258" s="411">
        <v>39076</v>
      </c>
      <c r="H258" s="165" t="s">
        <v>49</v>
      </c>
      <c r="I258" s="147">
        <v>45809</v>
      </c>
      <c r="J258" s="113">
        <v>45838</v>
      </c>
      <c r="K258" s="551">
        <v>6523.02</v>
      </c>
      <c r="L258" s="398">
        <f>Tabela13[[#This Row],[VALOR
 BRUTO ]]-Tabela13[[#This Row],[VALOR 
LIQUIDO ]]</f>
        <v>313.10000000000002</v>
      </c>
      <c r="M258" s="399">
        <f>Tabela13[[#This Row],[VALORES PAGOS 
(FORMA PAGTO)]]</f>
        <v>6209.92</v>
      </c>
      <c r="N258" s="113">
        <v>45889</v>
      </c>
      <c r="O258" s="385">
        <v>6209.92</v>
      </c>
      <c r="P258" s="147">
        <v>45923</v>
      </c>
      <c r="Q258" s="197" t="str" cm="1">
        <f t="array" aca="1" ref="Q258" ca="1">IF($P258&lt;&gt;"","PAGO",IF($N258&lt;TODAY(),"ATRASADO",IF($N258&gt;TODAY(),"NO PRAZO",IF($N258=TODAY(),"NO PRAZO",SE))))</f>
        <v>PAGO</v>
      </c>
      <c r="R258" s="150" t="str">
        <f t="shared" ca="1" si="3"/>
        <v/>
      </c>
      <c r="S258" s="241"/>
      <c r="T258" s="112"/>
      <c r="U258" s="259">
        <f ca="1">SUBTOTAL(3,Tabela13[[#This Row],[STATUS]])</f>
        <v>1</v>
      </c>
    </row>
    <row r="259" spans="1:21" ht="24" customHeight="1">
      <c r="A259" s="489">
        <v>45861</v>
      </c>
      <c r="B259" s="105">
        <v>68004</v>
      </c>
      <c r="C259" s="688" t="str">
        <f>IFERROR(VLOOKUP(Tabela13[[#This Row],[CÓD. EMPRESA]],Tabela3[[CÓDIGO
 EMPRESA ]:[EMPRESA]],2,FALSE),"")</f>
        <v>VB AMBIENTAL CONSULTORIA E PROJETOS LTDA-ME</v>
      </c>
      <c r="D259" s="112" t="s">
        <v>349</v>
      </c>
      <c r="E259" s="112" t="s">
        <v>489</v>
      </c>
      <c r="F259" s="196">
        <v>11321</v>
      </c>
      <c r="G259" s="411">
        <v>2072</v>
      </c>
      <c r="H259" s="492" t="s">
        <v>50</v>
      </c>
      <c r="I259" s="493">
        <v>45809</v>
      </c>
      <c r="J259" s="489">
        <v>45838</v>
      </c>
      <c r="K259" s="551">
        <v>5430.18</v>
      </c>
      <c r="L259" s="398">
        <f>Tabela13[[#This Row],[VALOR
 BRUTO ]]-Tabela13[[#This Row],[VALOR 
LIQUIDO ]]</f>
        <v>260.64999999999998</v>
      </c>
      <c r="M259" s="399">
        <f>Tabela13[[#This Row],[VALORES PAGOS 
(FORMA PAGTO)]]</f>
        <v>5169.53</v>
      </c>
      <c r="N259" s="489">
        <v>45878</v>
      </c>
      <c r="O259" s="495">
        <v>5169.53</v>
      </c>
      <c r="P259" s="493">
        <v>45923</v>
      </c>
      <c r="Q259" s="197" t="str" cm="1">
        <f t="array" aca="1" ref="Q259" ca="1">IF($P259&lt;&gt;"","PAGO",IF($N259&lt;TODAY(),"ATRASADO",IF($N259&gt;TODAY(),"NO PRAZO",IF($N259=TODAY(),"NO PRAZO",SE))))</f>
        <v>PAGO</v>
      </c>
      <c r="R259" s="150" t="str">
        <f t="shared" ca="1" si="3"/>
        <v/>
      </c>
      <c r="S259" s="722"/>
      <c r="T259" s="112"/>
      <c r="U259" s="497">
        <f ca="1">SUBTOTAL(3,Tabela13[[#This Row],[STATUS]])</f>
        <v>1</v>
      </c>
    </row>
    <row r="260" spans="1:21" ht="24" customHeight="1">
      <c r="A260" s="489">
        <v>45861</v>
      </c>
      <c r="B260" s="105">
        <v>73402</v>
      </c>
      <c r="C260" s="688" t="str">
        <f>IFERROR(VLOOKUP(Tabela13[[#This Row],[CÓD. EMPRESA]],Tabela3[[CÓDIGO
 EMPRESA ]:[EMPRESA]],2,FALSE),"")</f>
        <v>NELSON TAKAO YOSHIDA</v>
      </c>
      <c r="D260" s="112" t="s">
        <v>414</v>
      </c>
      <c r="E260" s="112" t="s">
        <v>415</v>
      </c>
      <c r="F260" s="491">
        <v>12190</v>
      </c>
      <c r="G260" s="411">
        <v>179</v>
      </c>
      <c r="H260" s="492" t="s">
        <v>49</v>
      </c>
      <c r="I260" s="493"/>
      <c r="J260" s="489"/>
      <c r="K260" s="385">
        <v>17367</v>
      </c>
      <c r="L260" s="398">
        <f>Tabela13[[#This Row],[VALOR
 BRUTO ]]-Tabela13[[#This Row],[VALOR 
LIQUIDO ]]</f>
        <v>260.51</v>
      </c>
      <c r="M260" s="399">
        <f>Tabela13[[#This Row],[VALORES PAGOS 
(FORMA PAGTO)]]</f>
        <v>17106.490000000002</v>
      </c>
      <c r="N260" s="489">
        <v>45869</v>
      </c>
      <c r="O260" s="382">
        <v>17106.490000000002</v>
      </c>
      <c r="P260" s="493">
        <v>45881</v>
      </c>
      <c r="Q260" s="197" t="str" cm="1">
        <f t="array" aca="1" ref="Q260" ca="1">IF($P260&lt;&gt;"","PAGO",IF($N260&lt;TODAY(),"ATRASADO",IF($N260&gt;TODAY(),"NO PRAZO",IF($N260=TODAY(),"NO PRAZO",SE))))</f>
        <v>PAGO</v>
      </c>
      <c r="R260" s="150" t="str">
        <f t="shared" ca="1" si="3"/>
        <v/>
      </c>
      <c r="S260" s="722"/>
      <c r="T260" s="112"/>
      <c r="U260" s="497">
        <f ca="1">SUBTOTAL(3,Tabela13[[#This Row],[STATUS]])</f>
        <v>1</v>
      </c>
    </row>
    <row r="261" spans="1:21" ht="26.25" customHeight="1">
      <c r="A261" s="489">
        <v>45867</v>
      </c>
      <c r="B261" s="105">
        <v>51481</v>
      </c>
      <c r="C261" s="688" t="s">
        <v>481</v>
      </c>
      <c r="D261" s="112" t="s">
        <v>575</v>
      </c>
      <c r="E261" s="112" t="s">
        <v>561</v>
      </c>
      <c r="F261" s="491">
        <v>11414</v>
      </c>
      <c r="G261" s="411">
        <v>85</v>
      </c>
      <c r="H261" s="492" t="s">
        <v>50</v>
      </c>
      <c r="I261" s="493"/>
      <c r="J261" s="489"/>
      <c r="K261" s="382">
        <v>3920</v>
      </c>
      <c r="L261" s="398">
        <f>Tabela13[[#This Row],[VALOR
 BRUTO ]]-Tabela13[[#This Row],[VALOR 
LIQUIDO ]]</f>
        <v>125.44</v>
      </c>
      <c r="M261" s="399">
        <f>Tabela13[[#This Row],[VALORES PAGOS 
(FORMA PAGTO)]]</f>
        <v>3794.56</v>
      </c>
      <c r="N261" s="489">
        <v>45893</v>
      </c>
      <c r="O261" s="495">
        <v>3794.56</v>
      </c>
      <c r="P261" s="493">
        <v>45923</v>
      </c>
      <c r="Q261" s="197" t="str" cm="1">
        <f t="array" aca="1" ref="Q261" ca="1">IF($P261&lt;&gt;"","PAGO",IF($N261&lt;TODAY(),"ATRASADO",IF($N261&gt;TODAY(),"NO PRAZO",IF($N261=TODAY(),"NO PRAZO",SE))))</f>
        <v>PAGO</v>
      </c>
      <c r="R261" s="150" t="str">
        <f t="shared" ca="1" si="3"/>
        <v/>
      </c>
      <c r="S261" s="722"/>
      <c r="T261" s="112"/>
      <c r="U261" s="497">
        <f ca="1">SUBTOTAL(3,Tabela13[[#This Row],[STATUS]])</f>
        <v>1</v>
      </c>
    </row>
    <row r="262" spans="1:21" ht="24" customHeight="1">
      <c r="A262" s="489">
        <v>45868</v>
      </c>
      <c r="B262" s="105">
        <v>119899</v>
      </c>
      <c r="C262" s="688" t="str">
        <f>IFERROR(VLOOKUP(Tabela13[[#This Row],[CÓD. EMPRESA]],Tabela3[[CÓDIGO
 EMPRESA ]:[EMPRESA]],2,FALSE),"")</f>
        <v>PALETRANS EQUIPAMENTOS LTDA</v>
      </c>
      <c r="D262" s="112" t="s">
        <v>659</v>
      </c>
      <c r="E262" s="112" t="s">
        <v>582</v>
      </c>
      <c r="F262" s="491">
        <v>16416</v>
      </c>
      <c r="G262" s="411">
        <v>253903</v>
      </c>
      <c r="H262" s="492" t="s">
        <v>50</v>
      </c>
      <c r="I262" s="493"/>
      <c r="J262" s="489"/>
      <c r="K262" s="495">
        <v>1600</v>
      </c>
      <c r="L262" s="398">
        <f>Tabela13[[#This Row],[VALOR
 BRUTO ]]-Tabela13[[#This Row],[VALOR 
LIQUIDO ]]</f>
        <v>19.2</v>
      </c>
      <c r="M262" s="399">
        <f>Tabela13[[#This Row],[VALORES PAGOS 
(FORMA PAGTO)]]</f>
        <v>1580.8</v>
      </c>
      <c r="N262" s="489">
        <v>45897</v>
      </c>
      <c r="O262" s="495">
        <v>1580.8</v>
      </c>
      <c r="P262" s="493">
        <v>45923</v>
      </c>
      <c r="Q262" s="197" t="str" cm="1">
        <f t="array" aca="1" ref="Q262" ca="1">IF($P262&lt;&gt;"","PAGO",IF($N262&lt;TODAY(),"ATRASADO",IF($N262&gt;TODAY(),"NO PRAZO",IF($N262=TODAY(),"NO PRAZO",SE))))</f>
        <v>PAGO</v>
      </c>
      <c r="R262" s="150" t="str">
        <f t="shared" ref="R262:R325" ca="1" si="4">IF(Q262="ATRASADO",N262-TODAY(),IF(Q262="NO PRAZO",N262-TODAY(),IF(Q262="PAGO","")))</f>
        <v/>
      </c>
      <c r="S262" s="722"/>
      <c r="T262" s="298"/>
      <c r="U262" s="497">
        <f ca="1">SUBTOTAL(3,Tabela13[[#This Row],[STATUS]])</f>
        <v>1</v>
      </c>
    </row>
    <row r="263" spans="1:21" ht="24" customHeight="1">
      <c r="A263" s="113">
        <v>45868</v>
      </c>
      <c r="B263" s="114" t="s">
        <v>125</v>
      </c>
      <c r="C263" s="688" t="str">
        <f>IFERROR(VLOOKUP(Tabela13[[#This Row],[CÓD. EMPRESA]],Tabela3[[CÓDIGO
 EMPRESA ]:[EMPRESA]],2,FALSE),"")</f>
        <v>LOOPINVEST CAMPO SANTO</v>
      </c>
      <c r="D263" s="112" t="s">
        <v>583</v>
      </c>
      <c r="E263" s="112" t="s">
        <v>473</v>
      </c>
      <c r="F263" s="196">
        <v>21778</v>
      </c>
      <c r="G263" s="411">
        <v>288</v>
      </c>
      <c r="H263" s="165" t="s">
        <v>50</v>
      </c>
      <c r="I263" s="147">
        <v>45778</v>
      </c>
      <c r="J263" s="113">
        <v>45808</v>
      </c>
      <c r="K263" s="495">
        <v>168024.93</v>
      </c>
      <c r="L263" s="398">
        <f>Tabela13[[#This Row],[VALOR
 BRUTO ]]-Tabela13[[#This Row],[VALOR 
LIQUIDO ]]</f>
        <v>19658.919999999998</v>
      </c>
      <c r="M263" s="399">
        <f>Tabela13[[#This Row],[VALORES PAGOS 
(FORMA PAGTO)]]</f>
        <v>148366.01</v>
      </c>
      <c r="N263" s="113">
        <v>45892</v>
      </c>
      <c r="O263" s="657">
        <v>148366.01</v>
      </c>
      <c r="P263" s="147">
        <v>45926</v>
      </c>
      <c r="Q263" s="197" t="str" cm="1">
        <f t="array" aca="1" ref="Q263" ca="1">IF($P263&lt;&gt;"","PAGO",IF($N263&lt;TODAY(),"ATRASADO",IF($N263&gt;TODAY(),"NO PRAZO",IF($N263=TODAY(),"NO PRAZO",SE))))</f>
        <v>PAGO</v>
      </c>
      <c r="R263" s="150" t="str">
        <f t="shared" ca="1" si="4"/>
        <v/>
      </c>
      <c r="S263" s="241"/>
      <c r="T263" s="112"/>
      <c r="U263" s="259">
        <f ca="1">SUBTOTAL(3,Tabela13[[#This Row],[STATUS]])</f>
        <v>1</v>
      </c>
    </row>
    <row r="264" spans="1:21" ht="24" customHeight="1">
      <c r="A264" s="489">
        <v>45868</v>
      </c>
      <c r="B264" s="114" t="s">
        <v>126</v>
      </c>
      <c r="C264" s="688" t="str">
        <f>IFERROR(VLOOKUP(Tabela13[[#This Row],[CÓD. EMPRESA]],Tabela3[[CÓDIGO
 EMPRESA ]:[EMPRESA]],2,FALSE),"")</f>
        <v>LOOPINVEST BONSUCESSO</v>
      </c>
      <c r="D264" s="112" t="s">
        <v>106</v>
      </c>
      <c r="E264" s="112" t="s">
        <v>534</v>
      </c>
      <c r="F264" s="491">
        <v>21787</v>
      </c>
      <c r="G264" s="411">
        <v>289</v>
      </c>
      <c r="H264" s="492" t="s">
        <v>50</v>
      </c>
      <c r="I264" s="493">
        <v>45809</v>
      </c>
      <c r="J264" s="489">
        <v>45838</v>
      </c>
      <c r="K264" s="551">
        <v>113936.51</v>
      </c>
      <c r="L264" s="398">
        <f>Tabela13[[#This Row],[VALOR
 BRUTO ]]-Tabela13[[#This Row],[VALOR 
LIQUIDO ]]</f>
        <v>24680.11</v>
      </c>
      <c r="M264" s="399">
        <f>Tabela13[[#This Row],[VALORES PAGOS 
(FORMA PAGTO)]]</f>
        <v>89256.4</v>
      </c>
      <c r="N264" s="489">
        <v>45892</v>
      </c>
      <c r="O264" s="495">
        <v>89256.4</v>
      </c>
      <c r="P264" s="493">
        <v>45926</v>
      </c>
      <c r="Q264" s="197" t="str" cm="1">
        <f t="array" aca="1" ref="Q264" ca="1">IF($P264&lt;&gt;"","PAGO",IF($N264&lt;TODAY(),"ATRASADO",IF($N264&gt;TODAY(),"NO PRAZO",IF($N264=TODAY(),"NO PRAZO",SE))))</f>
        <v>PAGO</v>
      </c>
      <c r="R264" s="150" t="str">
        <f t="shared" ca="1" si="4"/>
        <v/>
      </c>
      <c r="S264" s="722"/>
      <c r="T264" s="112"/>
      <c r="U264" s="497">
        <f ca="1">SUBTOTAL(3,Tabela13[[#This Row],[STATUS]])</f>
        <v>1</v>
      </c>
    </row>
    <row r="265" spans="1:21" ht="24" customHeight="1">
      <c r="A265" s="489">
        <v>45868</v>
      </c>
      <c r="B265" s="114" t="s">
        <v>126</v>
      </c>
      <c r="C265" s="688" t="str">
        <f>IFERROR(VLOOKUP(Tabela13[[#This Row],[CÓD. EMPRESA]],Tabela3[[CÓDIGO
 EMPRESA ]:[EMPRESA]],2,FALSE),"")</f>
        <v>LOOPINVEST BONSUCESSO</v>
      </c>
      <c r="D265" s="112" t="s">
        <v>106</v>
      </c>
      <c r="E265" s="112" t="s">
        <v>584</v>
      </c>
      <c r="F265" s="491">
        <v>21795</v>
      </c>
      <c r="G265" s="411">
        <v>289</v>
      </c>
      <c r="H265" s="492" t="s">
        <v>50</v>
      </c>
      <c r="I265" s="493">
        <v>45809</v>
      </c>
      <c r="J265" s="489">
        <v>45838</v>
      </c>
      <c r="K265" s="551">
        <v>97004.62</v>
      </c>
      <c r="L265" s="398">
        <f>Tabela13[[#This Row],[VALOR
 BRUTO ]]-Tabela13[[#This Row],[VALOR 
LIQUIDO ]]</f>
        <v>0</v>
      </c>
      <c r="M265" s="399">
        <f>Tabela13[[#This Row],[VALORES PAGOS 
(FORMA PAGTO)]]</f>
        <v>97004.62</v>
      </c>
      <c r="N265" s="489">
        <v>45892</v>
      </c>
      <c r="O265" s="495">
        <v>97004.62</v>
      </c>
      <c r="P265" s="493">
        <v>45926</v>
      </c>
      <c r="Q265" s="197" t="str" cm="1">
        <f t="array" aca="1" ref="Q265" ca="1">IF($P265&lt;&gt;"","PAGO",IF($N265&lt;TODAY(),"ATRASADO",IF($N265&gt;TODAY(),"NO PRAZO",IF($N265=TODAY(),"NO PRAZO",SE))))</f>
        <v>PAGO</v>
      </c>
      <c r="R265" s="150" t="str">
        <f t="shared" ca="1" si="4"/>
        <v/>
      </c>
      <c r="S265" s="722"/>
      <c r="T265" s="112"/>
      <c r="U265" s="497">
        <f ca="1">SUBTOTAL(3,Tabela13[[#This Row],[STATUS]])</f>
        <v>1</v>
      </c>
    </row>
    <row r="266" spans="1:21" ht="24" customHeight="1">
      <c r="A266" s="489">
        <v>45868</v>
      </c>
      <c r="B266" s="105">
        <v>73963</v>
      </c>
      <c r="C266" s="688" t="str">
        <f>IFERROR(VLOOKUP(Tabela13[[#This Row],[CÓD. EMPRESA]],Tabela3[[CÓDIGO
 EMPRESA ]:[EMPRESA]],2,FALSE),"")</f>
        <v>REINALDO CRUZ LIMA</v>
      </c>
      <c r="D266" s="112" t="s">
        <v>585</v>
      </c>
      <c r="E266" s="112" t="s">
        <v>419</v>
      </c>
      <c r="F266" s="491">
        <v>17315</v>
      </c>
      <c r="G266" s="411">
        <v>86</v>
      </c>
      <c r="H266" s="492" t="s">
        <v>49</v>
      </c>
      <c r="I266" s="493"/>
      <c r="J266" s="489"/>
      <c r="K266" s="385">
        <v>4140</v>
      </c>
      <c r="L266" s="398">
        <f>Tabela13[[#This Row],[VALOR
 BRUTO ]]-Tabela13[[#This Row],[VALOR 
LIQUIDO ]]</f>
        <v>0</v>
      </c>
      <c r="M266" s="399">
        <f>Tabela13[[#This Row],[VALORES PAGOS 
(FORMA PAGTO)]]</f>
        <v>4140</v>
      </c>
      <c r="N266" s="489">
        <v>45868</v>
      </c>
      <c r="O266" s="495">
        <v>4140</v>
      </c>
      <c r="P266" s="493">
        <v>45894</v>
      </c>
      <c r="Q266" s="197" t="str" cm="1">
        <f t="array" aca="1" ref="Q266" ca="1">IF($P266&lt;&gt;"","PAGO",IF($N266&lt;TODAY(),"ATRASADO",IF($N266&gt;TODAY(),"NO PRAZO",IF($N266=TODAY(),"NO PRAZO",SE))))</f>
        <v>PAGO</v>
      </c>
      <c r="R266" s="150" t="str">
        <f t="shared" ca="1" si="4"/>
        <v/>
      </c>
      <c r="S266" s="722"/>
      <c r="T266" s="112"/>
      <c r="U266" s="497">
        <f ca="1">SUBTOTAL(3,Tabela13[[#This Row],[STATUS]])</f>
        <v>1</v>
      </c>
    </row>
    <row r="267" spans="1:21" ht="24" customHeight="1">
      <c r="A267" s="539">
        <v>45868</v>
      </c>
      <c r="B267" s="105">
        <v>73963</v>
      </c>
      <c r="C267" s="688" t="str">
        <f>IFERROR(VLOOKUP(Tabela13[[#This Row],[CÓD. EMPRESA]],Tabela3[[CÓDIGO
 EMPRESA ]:[EMPRESA]],2,FALSE),"")</f>
        <v>REINALDO CRUZ LIMA</v>
      </c>
      <c r="D267" s="112" t="s">
        <v>585</v>
      </c>
      <c r="E267" s="112" t="s">
        <v>419</v>
      </c>
      <c r="F267" s="540">
        <v>17316</v>
      </c>
      <c r="G267" s="411">
        <v>85</v>
      </c>
      <c r="H267" s="541" t="s">
        <v>49</v>
      </c>
      <c r="I267" s="542"/>
      <c r="J267" s="539"/>
      <c r="K267" s="382">
        <v>2600</v>
      </c>
      <c r="L267" s="398">
        <f>Tabela13[[#This Row],[VALOR
 BRUTO ]]-Tabela13[[#This Row],[VALOR 
LIQUIDO ]]</f>
        <v>0</v>
      </c>
      <c r="M267" s="399">
        <f>Tabela13[[#This Row],[VALORES PAGOS 
(FORMA PAGTO)]]</f>
        <v>2600</v>
      </c>
      <c r="N267" s="539">
        <v>45868</v>
      </c>
      <c r="O267" s="10">
        <v>2600</v>
      </c>
      <c r="P267" s="542">
        <v>45894</v>
      </c>
      <c r="Q267" s="197" t="str" cm="1">
        <f t="array" aca="1" ref="Q267" ca="1">IF($P267&lt;&gt;"","PAGO",IF($N267&lt;TODAY(),"ATRASADO",IF($N267&gt;TODAY(),"NO PRAZO",IF($N267=TODAY(),"NO PRAZO",SE))))</f>
        <v>PAGO</v>
      </c>
      <c r="R267" s="150" t="str">
        <f t="shared" ca="1" si="4"/>
        <v/>
      </c>
      <c r="S267" s="726"/>
      <c r="T267" s="112"/>
      <c r="U267" s="544">
        <f ca="1">SUBTOTAL(3,Tabela13[[#This Row],[STATUS]])</f>
        <v>1</v>
      </c>
    </row>
    <row r="268" spans="1:21" ht="24" customHeight="1">
      <c r="A268" s="489">
        <v>45869</v>
      </c>
      <c r="B268" s="105">
        <v>121973</v>
      </c>
      <c r="C268" s="688" t="str">
        <f>IFERROR(VLOOKUP(Tabela13[[#This Row],[CÓD. EMPRESA]],Tabela3[[CÓDIGO
 EMPRESA ]:[EMPRESA]],2,FALSE),"")</f>
        <v>CONSORCIO CENTRO DE TRATAMENTO DE RESIDUOS GUARULHOS</v>
      </c>
      <c r="D268" s="112" t="s">
        <v>586</v>
      </c>
      <c r="E268" s="112" t="s">
        <v>564</v>
      </c>
      <c r="F268" s="491">
        <v>3681</v>
      </c>
      <c r="G268" s="411">
        <v>7</v>
      </c>
      <c r="H268" s="165" t="s">
        <v>50</v>
      </c>
      <c r="I268" s="493">
        <v>45809</v>
      </c>
      <c r="J268" s="489">
        <v>45838</v>
      </c>
      <c r="K268" s="495">
        <v>586074.67000000004</v>
      </c>
      <c r="L268" s="398">
        <f>Tabela13[[#This Row],[VALOR
 BRUTO ]]-Tabela13[[#This Row],[VALOR 
LIQUIDO ]]</f>
        <v>89669.42</v>
      </c>
      <c r="M268" s="399">
        <f>Tabela13[[#This Row],[VALORES PAGOS 
(FORMA PAGTO)]]</f>
        <v>496405.25</v>
      </c>
      <c r="N268" s="489">
        <v>45890</v>
      </c>
      <c r="O268" s="495">
        <v>496405.25</v>
      </c>
      <c r="P268" s="493">
        <v>45926</v>
      </c>
      <c r="Q268" s="197" t="str" cm="1">
        <f t="array" aca="1" ref="Q268" ca="1">IF($P268&lt;&gt;"","PAGO",IF($N268&lt;TODAY(),"ATRASADO",IF($N268&gt;TODAY(),"NO PRAZO",IF($N268=TODAY(),"NO PRAZO",SE))))</f>
        <v>PAGO</v>
      </c>
      <c r="R268" s="150" t="str">
        <f t="shared" ca="1" si="4"/>
        <v/>
      </c>
      <c r="S268" s="722"/>
      <c r="T268" s="112"/>
      <c r="U268" s="497">
        <f ca="1">SUBTOTAL(3,Tabela13[[#This Row],[STATUS]])</f>
        <v>1</v>
      </c>
    </row>
    <row r="269" spans="1:21" ht="24" customHeight="1">
      <c r="A269" s="546">
        <v>45875</v>
      </c>
      <c r="B269" s="105">
        <v>69169</v>
      </c>
      <c r="C269" s="688" t="str">
        <f>IFERROR(VLOOKUP(Tabela13[[#This Row],[CÓD. EMPRESA]],Tabela3[[CÓDIGO
 EMPRESA ]:[EMPRESA]],2,FALSE),"")</f>
        <v>CECM PÂES LTDA</v>
      </c>
      <c r="D269" s="112" t="s">
        <v>429</v>
      </c>
      <c r="E269" s="112" t="s">
        <v>450</v>
      </c>
      <c r="F269" s="547">
        <v>3881</v>
      </c>
      <c r="G269" s="411">
        <v>19499</v>
      </c>
      <c r="H269" s="165" t="s">
        <v>51</v>
      </c>
      <c r="I269" s="549"/>
      <c r="J269" s="546"/>
      <c r="K269" s="495">
        <v>7044.3</v>
      </c>
      <c r="L269" s="398">
        <f>Tabela13[[#This Row],[VALOR
 BRUTO ]]-Tabela13[[#This Row],[VALOR 
LIQUIDO ]]</f>
        <v>0</v>
      </c>
      <c r="M269" s="399">
        <f>Tabela13[[#This Row],[VALORES PAGOS 
(FORMA PAGTO)]]</f>
        <v>7044.3</v>
      </c>
      <c r="N269" s="546">
        <v>45904</v>
      </c>
      <c r="O269" s="551">
        <v>7044.3</v>
      </c>
      <c r="P269" s="549">
        <v>45951</v>
      </c>
      <c r="Q269" s="197" t="str" cm="1">
        <f t="array" aca="1" ref="Q269" ca="1">IF($P269&lt;&gt;"","PAGO",IF($N269&lt;TODAY(),"ATRASADO",IF($N269&gt;TODAY(),"NO PRAZO",IF($N269=TODAY(),"NO PRAZO",SE))))</f>
        <v>PAGO</v>
      </c>
      <c r="R269" s="150" t="str">
        <f t="shared" ca="1" si="4"/>
        <v/>
      </c>
      <c r="S269" s="729"/>
      <c r="T269" s="112"/>
      <c r="U269" s="552">
        <f ca="1">SUBTOTAL(3,Tabela13[[#This Row],[STATUS]])</f>
        <v>1</v>
      </c>
    </row>
    <row r="270" spans="1:21" ht="24" customHeight="1">
      <c r="A270" s="489">
        <v>45877</v>
      </c>
      <c r="B270" s="105">
        <v>46901</v>
      </c>
      <c r="C270" s="688" t="str">
        <f>IFERROR(VLOOKUP(Tabela13[[#This Row],[CÓD. EMPRESA]],Tabela3[[CÓDIGO
 EMPRESA ]:[EMPRESA]],2,FALSE),"")</f>
        <v>LAVANDERIA PAULISTA LTDA</v>
      </c>
      <c r="D270" s="112" t="s">
        <v>588</v>
      </c>
      <c r="E270" s="112" t="s">
        <v>453</v>
      </c>
      <c r="F270" s="491">
        <v>10388</v>
      </c>
      <c r="G270" s="411">
        <v>28546</v>
      </c>
      <c r="H270" s="165" t="s">
        <v>51</v>
      </c>
      <c r="I270" s="493">
        <v>45809</v>
      </c>
      <c r="J270" s="489">
        <v>45838</v>
      </c>
      <c r="K270" s="551">
        <v>25594.799999999999</v>
      </c>
      <c r="L270" s="398">
        <f>Tabela13[[#This Row],[VALOR
 BRUTO ]]-Tabela13[[#This Row],[VALOR 
LIQUIDO ]]</f>
        <v>1164.56</v>
      </c>
      <c r="M270" s="399">
        <f>Tabela13[[#This Row],[VALORES PAGOS 
(FORMA PAGTO)]]</f>
        <v>24430.240000000002</v>
      </c>
      <c r="N270" s="489">
        <v>45877</v>
      </c>
      <c r="O270" s="551">
        <v>24430.240000000002</v>
      </c>
      <c r="P270" s="493">
        <v>45951</v>
      </c>
      <c r="Q270" s="197" t="str" cm="1">
        <f t="array" aca="1" ref="Q270" ca="1">IF($P270&lt;&gt;"","PAGO",IF($N270&lt;TODAY(),"ATRASADO",IF($N270&gt;TODAY(),"NO PRAZO",IF($N270=TODAY(),"NO PRAZO",SE))))</f>
        <v>PAGO</v>
      </c>
      <c r="R270" s="150" t="str">
        <f t="shared" ca="1" si="4"/>
        <v/>
      </c>
      <c r="S270" s="722"/>
      <c r="T270" s="112"/>
      <c r="U270" s="497">
        <f ca="1">SUBTOTAL(3,Tabela13[[#This Row],[STATUS]])</f>
        <v>1</v>
      </c>
    </row>
    <row r="271" spans="1:21" ht="24" customHeight="1">
      <c r="A271" s="489">
        <v>45877</v>
      </c>
      <c r="B271" s="105">
        <v>46901</v>
      </c>
      <c r="C271" s="688" t="str">
        <f>IFERROR(VLOOKUP(Tabela13[[#This Row],[CÓD. EMPRESA]],Tabela3[[CÓDIGO
 EMPRESA ]:[EMPRESA]],2,FALSE),"")</f>
        <v>LAVANDERIA PAULISTA LTDA</v>
      </c>
      <c r="D271" s="112" t="s">
        <v>588</v>
      </c>
      <c r="E271" s="112" t="s">
        <v>453</v>
      </c>
      <c r="F271" s="491">
        <v>10388</v>
      </c>
      <c r="G271" s="411">
        <v>28341</v>
      </c>
      <c r="H271" s="165" t="s">
        <v>51</v>
      </c>
      <c r="I271" s="493">
        <v>45839</v>
      </c>
      <c r="J271" s="489">
        <v>45869</v>
      </c>
      <c r="K271" s="551">
        <v>25594.799999999999</v>
      </c>
      <c r="L271" s="398">
        <f>Tabela13[[#This Row],[VALOR
 BRUTO ]]-Tabela13[[#This Row],[VALOR 
LIQUIDO ]]</f>
        <v>1164.56</v>
      </c>
      <c r="M271" s="399">
        <f>Tabela13[[#This Row],[VALORES PAGOS 
(FORMA PAGTO)]]</f>
        <v>24430.240000000002</v>
      </c>
      <c r="N271" s="489">
        <v>45877</v>
      </c>
      <c r="O271" s="551">
        <v>24430.240000000002</v>
      </c>
      <c r="P271" s="493">
        <v>45923</v>
      </c>
      <c r="Q271" s="197" t="str" cm="1">
        <f t="array" aca="1" ref="Q271" ca="1">IF($P271&lt;&gt;"","PAGO",IF($N271&lt;TODAY(),"ATRASADO",IF($N271&gt;TODAY(),"NO PRAZO",IF($N271=TODAY(),"NO PRAZO",SE))))</f>
        <v>PAGO</v>
      </c>
      <c r="R271" s="150" t="str">
        <f t="shared" ca="1" si="4"/>
        <v/>
      </c>
      <c r="S271" s="722"/>
      <c r="T271" s="112"/>
      <c r="U271" s="497">
        <f ca="1">SUBTOTAL(3,Tabela13[[#This Row],[STATUS]])</f>
        <v>1</v>
      </c>
    </row>
    <row r="272" spans="1:21" ht="24" customHeight="1">
      <c r="A272" s="489">
        <v>45877</v>
      </c>
      <c r="B272" s="105">
        <v>73402</v>
      </c>
      <c r="C272" s="688" t="str">
        <f>IFERROR(VLOOKUP(Tabela13[[#This Row],[CÓD. EMPRESA]],Tabela3[[CÓDIGO
 EMPRESA ]:[EMPRESA]],2,FALSE),"")</f>
        <v>NELSON TAKAO YOSHIDA</v>
      </c>
      <c r="D272" s="112" t="s">
        <v>414</v>
      </c>
      <c r="E272" s="112" t="s">
        <v>415</v>
      </c>
      <c r="F272" s="491">
        <v>12190</v>
      </c>
      <c r="G272" s="411">
        <v>183</v>
      </c>
      <c r="H272" s="492" t="s">
        <v>50</v>
      </c>
      <c r="I272" s="493"/>
      <c r="J272" s="489"/>
      <c r="K272" s="385">
        <v>19723.439999999999</v>
      </c>
      <c r="L272" s="398">
        <f>Tabela13[[#This Row],[VALOR
 BRUTO ]]-Tabela13[[#This Row],[VALOR 
LIQUIDO ]]</f>
        <v>295.85000000000002</v>
      </c>
      <c r="M272" s="399">
        <f>Tabela13[[#This Row],[VALORES PAGOS 
(FORMA PAGTO)]]</f>
        <v>19427.59</v>
      </c>
      <c r="N272" s="489">
        <v>45884</v>
      </c>
      <c r="O272" s="551">
        <v>19427.59</v>
      </c>
      <c r="P272" s="493">
        <v>45923</v>
      </c>
      <c r="Q272" s="197" t="str" cm="1">
        <f t="array" aca="1" ref="Q272" ca="1">IF($P272&lt;&gt;"","PAGO",IF($N272&lt;TODAY(),"ATRASADO",IF($N272&gt;TODAY(),"NO PRAZO",IF($N272=TODAY(),"NO PRAZO",SE))))</f>
        <v>PAGO</v>
      </c>
      <c r="R272" s="150" t="str">
        <f t="shared" ca="1" si="4"/>
        <v/>
      </c>
      <c r="S272" s="722"/>
      <c r="T272" s="112"/>
      <c r="U272" s="497">
        <f ca="1">SUBTOTAL(3,Tabela13[[#This Row],[STATUS]])</f>
        <v>1</v>
      </c>
    </row>
    <row r="273" spans="1:24" ht="24" customHeight="1">
      <c r="A273" s="489">
        <v>45877</v>
      </c>
      <c r="B273" s="105">
        <v>73402</v>
      </c>
      <c r="C273" s="688" t="str">
        <f>IFERROR(VLOOKUP(Tabela13[[#This Row],[CÓD. EMPRESA]],Tabela3[[CÓDIGO
 EMPRESA ]:[EMPRESA]],2,FALSE),"")</f>
        <v>NELSON TAKAO YOSHIDA</v>
      </c>
      <c r="D273" s="112" t="s">
        <v>414</v>
      </c>
      <c r="E273" s="112" t="s">
        <v>589</v>
      </c>
      <c r="F273" s="491">
        <v>12190</v>
      </c>
      <c r="G273" s="411">
        <v>192</v>
      </c>
      <c r="H273" s="492" t="s">
        <v>51</v>
      </c>
      <c r="I273" s="493"/>
      <c r="J273" s="489"/>
      <c r="K273" s="382">
        <v>13989.6</v>
      </c>
      <c r="L273" s="398">
        <f>Tabela13[[#This Row],[VALOR
 BRUTO ]]-Tabela13[[#This Row],[VALOR 
LIQUIDO ]]</f>
        <v>209.84</v>
      </c>
      <c r="M273" s="399">
        <f>Tabela13[[#This Row],[VALORES PAGOS 
(FORMA PAGTO)]]</f>
        <v>13779.76</v>
      </c>
      <c r="N273" s="489">
        <v>45901</v>
      </c>
      <c r="O273" s="495">
        <v>13779.76</v>
      </c>
      <c r="P273" s="493">
        <v>45951</v>
      </c>
      <c r="Q273" s="197" t="str" cm="1">
        <f t="array" aca="1" ref="Q273" ca="1">IF($P273&lt;&gt;"","PAGO",IF($N273&lt;TODAY(),"ATRASADO",IF($N273&gt;TODAY(),"NO PRAZO",IF($N273=TODAY(),"NO PRAZO",SE))))</f>
        <v>PAGO</v>
      </c>
      <c r="R273" s="150" t="str">
        <f t="shared" ca="1" si="4"/>
        <v/>
      </c>
      <c r="S273" s="722"/>
      <c r="T273" s="112"/>
      <c r="U273" s="497">
        <f ca="1">SUBTOTAL(3,Tabela13[[#This Row],[STATUS]])</f>
        <v>1</v>
      </c>
    </row>
    <row r="274" spans="1:24" ht="24" customHeight="1">
      <c r="A274" s="489">
        <v>45877</v>
      </c>
      <c r="B274" s="105">
        <v>41807</v>
      </c>
      <c r="C274" s="688" t="str">
        <f>IFERROR(VLOOKUP(Tabela13[[#This Row],[CÓD. EMPRESA]],Tabela3[[CÓDIGO
 EMPRESA ]:[EMPRESA]],2,FALSE),"")</f>
        <v>BIGNOTTO INDUSTRIA E COMERCIO LTDA</v>
      </c>
      <c r="D274" s="112" t="s">
        <v>416</v>
      </c>
      <c r="E274" s="112" t="s">
        <v>417</v>
      </c>
      <c r="F274" s="491">
        <v>6191</v>
      </c>
      <c r="G274" s="411">
        <v>76727</v>
      </c>
      <c r="H274" s="492" t="s">
        <v>50</v>
      </c>
      <c r="I274" s="493">
        <v>45748</v>
      </c>
      <c r="J274" s="489">
        <v>45777</v>
      </c>
      <c r="K274" s="495">
        <v>12920</v>
      </c>
      <c r="L274" s="398">
        <f>Tabela13[[#This Row],[VALOR
 BRUTO ]]-Tabela13[[#This Row],[VALOR 
LIQUIDO ]]</f>
        <v>155.04</v>
      </c>
      <c r="M274" s="399">
        <f>Tabela13[[#This Row],[VALORES PAGOS 
(FORMA PAGTO)]]</f>
        <v>12764.96</v>
      </c>
      <c r="N274" s="489">
        <v>45877</v>
      </c>
      <c r="O274" s="10">
        <v>12764.96</v>
      </c>
      <c r="P274" s="493">
        <v>45923</v>
      </c>
      <c r="Q274" s="197" t="str" cm="1">
        <f t="array" aca="1" ref="Q274" ca="1">IF($P274&lt;&gt;"","PAGO",IF($N274&lt;TODAY(),"ATRASADO",IF($N274&gt;TODAY(),"NO PRAZO",IF($N274=TODAY(),"NO PRAZO",SE))))</f>
        <v>PAGO</v>
      </c>
      <c r="R274" s="150" t="str">
        <f t="shared" ca="1" si="4"/>
        <v/>
      </c>
      <c r="S274" s="722"/>
      <c r="T274" s="112"/>
      <c r="U274" s="497">
        <f ca="1">SUBTOTAL(3,Tabela13[[#This Row],[STATUS]])</f>
        <v>1</v>
      </c>
    </row>
    <row r="275" spans="1:24" ht="24" customHeight="1">
      <c r="A275" s="489">
        <v>45877</v>
      </c>
      <c r="B275" s="105">
        <v>112466</v>
      </c>
      <c r="C275" s="688" t="str">
        <f>IFERROR(VLOOKUP(Tabela13[[#This Row],[CÓD. EMPRESA]],Tabela3[[CÓDIGO
 EMPRESA ]:[EMPRESA]],2,FALSE),"")</f>
        <v>COOPERATIVA DE TRABALHO DE RECICLAGEM ECO GUARULHOS</v>
      </c>
      <c r="D275" s="112" t="s">
        <v>337</v>
      </c>
      <c r="E275" s="112" t="s">
        <v>630</v>
      </c>
      <c r="F275" s="491">
        <v>9417</v>
      </c>
      <c r="G275" s="411">
        <v>19</v>
      </c>
      <c r="H275" s="492" t="s">
        <v>50</v>
      </c>
      <c r="I275" s="493">
        <v>45748</v>
      </c>
      <c r="J275" s="489">
        <v>45777</v>
      </c>
      <c r="K275" s="495">
        <v>4174.04</v>
      </c>
      <c r="L275" s="398">
        <f>Tabela13[[#This Row],[VALOR
 BRUTO ]]-Tabela13[[#This Row],[VALOR 
LIQUIDO ]]</f>
        <v>0</v>
      </c>
      <c r="M275" s="399">
        <f>Tabela13[[#This Row],[VALORES PAGOS 
(FORMA PAGTO)]]</f>
        <v>4174.04</v>
      </c>
      <c r="N275" s="489">
        <v>45877</v>
      </c>
      <c r="O275" s="495">
        <v>4174.04</v>
      </c>
      <c r="P275" s="493">
        <v>45923</v>
      </c>
      <c r="Q275" s="197" t="str" cm="1">
        <f t="array" aca="1" ref="Q275" ca="1">IF($P275&lt;&gt;"","PAGO",IF($N275&lt;TODAY(),"ATRASADO",IF($N275&gt;TODAY(),"NO PRAZO",IF($N275=TODAY(),"NO PRAZO",SE))))</f>
        <v>PAGO</v>
      </c>
      <c r="R275" s="150" t="str">
        <f t="shared" ca="1" si="4"/>
        <v/>
      </c>
      <c r="S275" s="722"/>
      <c r="T275" s="112"/>
      <c r="U275" s="497">
        <f ca="1">SUBTOTAL(3,Tabela13[[#This Row],[STATUS]])</f>
        <v>1</v>
      </c>
    </row>
    <row r="276" spans="1:24" ht="24" customHeight="1">
      <c r="A276" s="489">
        <v>45877</v>
      </c>
      <c r="B276" s="105">
        <v>112466</v>
      </c>
      <c r="C276" s="688" t="str">
        <f>IFERROR(VLOOKUP(Tabela13[[#This Row],[CÓD. EMPRESA]],Tabela3[[CÓDIGO
 EMPRESA ]:[EMPRESA]],2,FALSE),"")</f>
        <v>COOPERATIVA DE TRABALHO DE RECICLAGEM ECO GUARULHOS</v>
      </c>
      <c r="D276" s="112" t="s">
        <v>590</v>
      </c>
      <c r="E276" s="112" t="s">
        <v>630</v>
      </c>
      <c r="F276" s="196">
        <v>5851</v>
      </c>
      <c r="G276" s="411">
        <v>19</v>
      </c>
      <c r="H276" s="165" t="s">
        <v>50</v>
      </c>
      <c r="I276" s="493">
        <v>45748</v>
      </c>
      <c r="J276" s="489">
        <v>45777</v>
      </c>
      <c r="K276" s="551">
        <v>11909.55</v>
      </c>
      <c r="L276" s="398">
        <f>Tabela13[[#This Row],[VALOR
 BRUTO ]]-Tabela13[[#This Row],[VALOR 
LIQUIDO ]]</f>
        <v>0</v>
      </c>
      <c r="M276" s="399">
        <f>Tabela13[[#This Row],[VALORES PAGOS 
(FORMA PAGTO)]]</f>
        <v>11909.55</v>
      </c>
      <c r="N276" s="489">
        <v>45877</v>
      </c>
      <c r="O276" s="495">
        <v>11909.55</v>
      </c>
      <c r="P276" s="147">
        <v>45923</v>
      </c>
      <c r="Q276" s="197" t="str" cm="1">
        <f t="array" aca="1" ref="Q276" ca="1">IF($P276&lt;&gt;"","PAGO",IF($N276&lt;TODAY(),"ATRASADO",IF($N276&gt;TODAY(),"NO PRAZO",IF($N276=TODAY(),"NO PRAZO",SE))))</f>
        <v>PAGO</v>
      </c>
      <c r="R276" s="150" t="str">
        <f t="shared" ca="1" si="4"/>
        <v/>
      </c>
      <c r="S276" s="241"/>
      <c r="T276" s="112"/>
      <c r="U276" s="259">
        <f ca="1">SUBTOTAL(3,Tabela13[[#This Row],[STATUS]])</f>
        <v>1</v>
      </c>
    </row>
    <row r="277" spans="1:24" ht="24" customHeight="1">
      <c r="A277" s="489">
        <v>45877</v>
      </c>
      <c r="B277" s="105">
        <v>112466</v>
      </c>
      <c r="C277" s="688" t="str">
        <f>IFERROR(VLOOKUP(Tabela13[[#This Row],[CÓD. EMPRESA]],Tabela3[[CÓDIGO
 EMPRESA ]:[EMPRESA]],2,FALSE),"")</f>
        <v>COOPERATIVA DE TRABALHO DE RECICLAGEM ECO GUARULHOS</v>
      </c>
      <c r="D277" s="112" t="s">
        <v>591</v>
      </c>
      <c r="E277" s="112" t="s">
        <v>630</v>
      </c>
      <c r="F277" s="491">
        <v>4225</v>
      </c>
      <c r="G277" s="411">
        <v>19</v>
      </c>
      <c r="H277" s="165" t="s">
        <v>50</v>
      </c>
      <c r="I277" s="493">
        <v>45748</v>
      </c>
      <c r="J277" s="489">
        <v>45777</v>
      </c>
      <c r="K277" s="551">
        <v>12318.6</v>
      </c>
      <c r="L277" s="398">
        <f>Tabela13[[#This Row],[VALOR
 BRUTO ]]-Tabela13[[#This Row],[VALOR 
LIQUIDO ]]</f>
        <v>1420.11</v>
      </c>
      <c r="M277" s="399">
        <f>Tabela13[[#This Row],[VALORES PAGOS 
(FORMA PAGTO)]]</f>
        <v>10898.49</v>
      </c>
      <c r="N277" s="489">
        <v>45877</v>
      </c>
      <c r="O277" s="495">
        <v>10898.49</v>
      </c>
      <c r="P277" s="493">
        <v>45923</v>
      </c>
      <c r="Q277" s="197" t="str" cm="1">
        <f t="array" aca="1" ref="Q277" ca="1">IF($P277&lt;&gt;"","PAGO",IF($N277&lt;TODAY(),"ATRASADO",IF($N277&gt;TODAY(),"NO PRAZO",IF($N277=TODAY(),"NO PRAZO",SE))))</f>
        <v>PAGO</v>
      </c>
      <c r="R277" s="150" t="str">
        <f t="shared" ca="1" si="4"/>
        <v/>
      </c>
      <c r="S277" s="722"/>
      <c r="T277" s="112"/>
      <c r="U277" s="497">
        <f ca="1">SUBTOTAL(3,Tabela13[[#This Row],[STATUS]])</f>
        <v>1</v>
      </c>
    </row>
    <row r="278" spans="1:24" ht="24" customHeight="1">
      <c r="A278" s="489">
        <v>45877</v>
      </c>
      <c r="B278" s="105">
        <v>58778</v>
      </c>
      <c r="C278" s="688" t="str">
        <f>IFERROR(VLOOKUP(Tabela13[[#This Row],[CÓD. EMPRESA]],Tabela3[[CÓDIGO
 EMPRESA ]:[EMPRESA]],2,FALSE),"")</f>
        <v>ATTEND AMBIENTAL S.A</v>
      </c>
      <c r="D278" s="112" t="s">
        <v>335</v>
      </c>
      <c r="E278" s="112" t="s">
        <v>592</v>
      </c>
      <c r="F278" s="491">
        <v>4189</v>
      </c>
      <c r="G278" s="411">
        <v>48469</v>
      </c>
      <c r="H278" s="165" t="s">
        <v>50</v>
      </c>
      <c r="I278" s="493">
        <v>45839</v>
      </c>
      <c r="J278" s="489">
        <v>45869</v>
      </c>
      <c r="K278" s="385">
        <v>83323.759999999995</v>
      </c>
      <c r="L278" s="398">
        <f>Tabela13[[#This Row],[VALOR
 BRUTO ]]-Tabela13[[#This Row],[VALOR 
LIQUIDO ]]</f>
        <v>3999.54</v>
      </c>
      <c r="M278" s="399">
        <f>Tabela13[[#This Row],[VALORES PAGOS 
(FORMA PAGTO)]]</f>
        <v>79324.22</v>
      </c>
      <c r="N278" s="489">
        <v>45900</v>
      </c>
      <c r="O278" s="494">
        <v>79324.22</v>
      </c>
      <c r="P278" s="493">
        <v>45919</v>
      </c>
      <c r="Q278" s="197" t="str" cm="1">
        <f t="array" aca="1" ref="Q278" ca="1">IF($P278&lt;&gt;"","PAGO",IF($N278&lt;TODAY(),"ATRASADO",IF($N278&gt;TODAY(),"NO PRAZO",IF($N278=TODAY(),"NO PRAZO",SE))))</f>
        <v>PAGO</v>
      </c>
      <c r="R278" s="150" t="str">
        <f t="shared" ca="1" si="4"/>
        <v/>
      </c>
      <c r="S278" s="722"/>
      <c r="T278" s="112"/>
      <c r="U278" s="497">
        <f ca="1">SUBTOTAL(3,Tabela13[[#This Row],[STATUS]])</f>
        <v>1</v>
      </c>
    </row>
    <row r="279" spans="1:24" ht="24" customHeight="1">
      <c r="A279" s="489">
        <v>45877</v>
      </c>
      <c r="B279" s="105">
        <v>119149</v>
      </c>
      <c r="C279" s="688" t="str">
        <f>IFERROR(VLOOKUP(Tabela13[[#This Row],[CÓD. EMPRESA]],Tabela3[[CÓDIGO
 EMPRESA ]:[EMPRESA]],2,FALSE),"")</f>
        <v>COOPERATIVA DE TRABALHO NOVO BAMBI</v>
      </c>
      <c r="D279" s="112" t="s">
        <v>348</v>
      </c>
      <c r="E279" s="112" t="s">
        <v>593</v>
      </c>
      <c r="F279" s="807">
        <v>9410</v>
      </c>
      <c r="G279" s="574">
        <v>10</v>
      </c>
      <c r="H279" s="455" t="s">
        <v>50</v>
      </c>
      <c r="I279" s="722">
        <v>45748</v>
      </c>
      <c r="J279" s="808">
        <v>45777</v>
      </c>
      <c r="K279" s="382">
        <v>17995.3</v>
      </c>
      <c r="L279" s="398">
        <f>Tabela13[[#This Row],[VALOR
 BRUTO ]]-Tabela13[[#This Row],[VALOR 
LIQUIDO ]]</f>
        <v>0</v>
      </c>
      <c r="M279" s="399">
        <f>Tabela13[[#This Row],[VALORES PAGOS 
(FORMA PAGTO)]]</f>
        <v>17995.3</v>
      </c>
      <c r="N279" s="489">
        <v>45877</v>
      </c>
      <c r="O279" s="494">
        <v>17995.3</v>
      </c>
      <c r="P279" s="493">
        <v>45923</v>
      </c>
      <c r="Q279" s="197" t="str" cm="1">
        <f t="array" aca="1" ref="Q279" ca="1">IF($P279&lt;&gt;"","PAGO",IF($N279&lt;TODAY(),"ATRASADO",IF($N279&gt;TODAY(),"NO PRAZO",IF($N279=TODAY(),"NO PRAZO",SE))))</f>
        <v>PAGO</v>
      </c>
      <c r="R279" s="150" t="str">
        <f t="shared" ca="1" si="4"/>
        <v/>
      </c>
      <c r="S279" s="722"/>
      <c r="T279" s="112"/>
      <c r="U279" s="497">
        <f ca="1">SUBTOTAL(3,Tabela13[[#This Row],[STATUS]])</f>
        <v>1</v>
      </c>
    </row>
    <row r="280" spans="1:24" ht="30">
      <c r="A280" s="489">
        <v>45877</v>
      </c>
      <c r="B280" s="105">
        <v>119152</v>
      </c>
      <c r="C280" s="688" t="str">
        <f>IFERROR(VLOOKUP(Tabela13[[#This Row],[CÓD. EMPRESA]],Tabela3[[CÓDIGO
 EMPRESA ]:[EMPRESA]],2,FALSE),"")</f>
        <v>COOPERATIVA DE TRABALHO DE CATADORAS E CATADORES DE MATERIAIS RECICLAVEIS SINERGIA BRASIL</v>
      </c>
      <c r="D280" s="112" t="s">
        <v>346</v>
      </c>
      <c r="E280" s="112" t="s">
        <v>594</v>
      </c>
      <c r="F280" s="491">
        <v>5849</v>
      </c>
      <c r="G280" s="411">
        <v>8</v>
      </c>
      <c r="H280" s="165" t="s">
        <v>50</v>
      </c>
      <c r="I280" s="493">
        <v>45748</v>
      </c>
      <c r="J280" s="489">
        <v>45777</v>
      </c>
      <c r="K280" s="495">
        <v>7032.43</v>
      </c>
      <c r="L280" s="398">
        <f>Tabela13[[#This Row],[VALOR
 BRUTO ]]-Tabela13[[#This Row],[VALOR 
LIQUIDO ]]</f>
        <v>0</v>
      </c>
      <c r="M280" s="399">
        <f>Tabela13[[#This Row],[VALORES PAGOS 
(FORMA PAGTO)]]</f>
        <v>7032.43</v>
      </c>
      <c r="N280" s="489">
        <v>45877</v>
      </c>
      <c r="O280" s="551">
        <v>7032.43</v>
      </c>
      <c r="P280" s="493">
        <v>45923</v>
      </c>
      <c r="Q280" s="197" t="str" cm="1">
        <f t="array" aca="1" ref="Q280" ca="1">IF($P280&lt;&gt;"","PAGO",IF($N280&lt;TODAY(),"ATRASADO",IF($N280&gt;TODAY(),"NO PRAZO",IF($N280=TODAY(),"NO PRAZO",SE))))</f>
        <v>PAGO</v>
      </c>
      <c r="R280" s="150" t="str">
        <f t="shared" ca="1" si="4"/>
        <v/>
      </c>
      <c r="S280" s="722"/>
      <c r="T280" s="112"/>
      <c r="U280" s="497">
        <f ca="1">SUBTOTAL(3,Tabela13[[#This Row],[STATUS]])</f>
        <v>1</v>
      </c>
    </row>
    <row r="281" spans="1:24" ht="30">
      <c r="A281" s="489">
        <v>45877</v>
      </c>
      <c r="B281" s="105">
        <v>118247</v>
      </c>
      <c r="C281" s="688" t="str">
        <f>IFERROR(VLOOKUP(Tabela13[[#This Row],[CÓD. EMPRESA]],Tabela3[[CÓDIGO
 EMPRESA ]:[EMPRESA]],2,FALSE),"")</f>
        <v>COOPERATIVA DE TRABALHO DE CATADORAS DE CATADORES DE MATERIAIS RECICLAVEIS GUARULHOS RECICLA</v>
      </c>
      <c r="D281" s="112" t="s">
        <v>331</v>
      </c>
      <c r="E281" s="112" t="s">
        <v>500</v>
      </c>
      <c r="F281" s="196">
        <v>9422</v>
      </c>
      <c r="G281" s="109">
        <v>7</v>
      </c>
      <c r="H281" s="165" t="s">
        <v>50</v>
      </c>
      <c r="I281" s="493">
        <v>45748</v>
      </c>
      <c r="J281" s="489">
        <v>45777</v>
      </c>
      <c r="K281" s="495">
        <v>37984.379999999997</v>
      </c>
      <c r="L281" s="398">
        <f>Tabela13[[#This Row],[VALOR
 BRUTO ]]-Tabela13[[#This Row],[VALOR 
LIQUIDO ]]</f>
        <v>3154.92</v>
      </c>
      <c r="M281" s="399">
        <f>Tabela13[[#This Row],[VALORES PAGOS 
(FORMA PAGTO)]]</f>
        <v>34829.46</v>
      </c>
      <c r="N281" s="489">
        <v>45877</v>
      </c>
      <c r="O281" s="551">
        <v>34829.46</v>
      </c>
      <c r="P281" s="147">
        <v>45923</v>
      </c>
      <c r="Q281" s="197" t="str" cm="1">
        <f t="array" aca="1" ref="Q281" ca="1">IF($P281&lt;&gt;"","PAGO",IF($N281&lt;TODAY(),"ATRASADO",IF($N281&gt;TODAY(),"NO PRAZO",IF($N281=TODAY(),"NO PRAZO",SE))))</f>
        <v>PAGO</v>
      </c>
      <c r="R281" s="150" t="str">
        <f t="shared" ca="1" si="4"/>
        <v/>
      </c>
      <c r="S281" s="241"/>
      <c r="T281" s="112"/>
      <c r="U281" s="259">
        <f ca="1">SUBTOTAL(3,Tabela13[[#This Row],[STATUS]])</f>
        <v>1</v>
      </c>
      <c r="W281" s="11"/>
      <c r="X281" s="989" t="s">
        <v>772</v>
      </c>
    </row>
    <row r="282" spans="1:24" ht="30">
      <c r="A282" s="489">
        <v>45877</v>
      </c>
      <c r="B282" s="105">
        <v>118247</v>
      </c>
      <c r="C282" s="688" t="str">
        <f>IFERROR(VLOOKUP(Tabela13[[#This Row],[CÓD. EMPRESA]],Tabela3[[CÓDIGO
 EMPRESA ]:[EMPRESA]],2,FALSE),"")</f>
        <v>COOPERATIVA DE TRABALHO DE CATADORAS DE CATADORES DE MATERIAIS RECICLAVEIS GUARULHOS RECICLA</v>
      </c>
      <c r="D282" s="112" t="s">
        <v>331</v>
      </c>
      <c r="E282" s="112" t="s">
        <v>500</v>
      </c>
      <c r="F282" s="491">
        <v>7046</v>
      </c>
      <c r="G282" s="109">
        <v>7</v>
      </c>
      <c r="H282" s="492" t="s">
        <v>50</v>
      </c>
      <c r="I282" s="493">
        <v>45748</v>
      </c>
      <c r="J282" s="489">
        <v>45777</v>
      </c>
      <c r="K282" s="551">
        <v>25113.93</v>
      </c>
      <c r="L282" s="398">
        <f>Tabela13[[#This Row],[VALOR
 BRUTO ]]-Tabela13[[#This Row],[VALOR 
LIQUIDO ]]</f>
        <v>0</v>
      </c>
      <c r="M282" s="399">
        <f>Tabela13[[#This Row],[VALORES PAGOS 
(FORMA PAGTO)]]</f>
        <v>25113.93</v>
      </c>
      <c r="N282" s="489">
        <v>45877</v>
      </c>
      <c r="O282" s="551">
        <v>25113.93</v>
      </c>
      <c r="P282" s="493">
        <v>45923</v>
      </c>
      <c r="Q282" s="197" t="str" cm="1">
        <f t="array" aca="1" ref="Q282" ca="1">IF($P282&lt;&gt;"","PAGO",IF($N282&lt;TODAY(),"ATRASADO",IF($N282&gt;TODAY(),"NO PRAZO",IF($N282=TODAY(),"NO PRAZO",SE))))</f>
        <v>PAGO</v>
      </c>
      <c r="R282" s="150" t="str">
        <f t="shared" ca="1" si="4"/>
        <v/>
      </c>
      <c r="S282" s="722"/>
      <c r="T282" s="112"/>
      <c r="U282" s="497">
        <f ca="1">SUBTOTAL(3,Tabela13[[#This Row],[STATUS]])</f>
        <v>1</v>
      </c>
    </row>
    <row r="283" spans="1:24" ht="30">
      <c r="A283" s="489">
        <v>45877</v>
      </c>
      <c r="B283" s="105">
        <v>119152</v>
      </c>
      <c r="C283" s="688" t="str">
        <f>IFERROR(VLOOKUP(Tabela13[[#This Row],[CÓD. EMPRESA]],Tabela3[[CÓDIGO
 EMPRESA ]:[EMPRESA]],2,FALSE),"")</f>
        <v>COOPERATIVA DE TRABALHO DE CATADORAS E CATADORES DE MATERIAIS RECICLAVEIS SINERGIA BRASIL</v>
      </c>
      <c r="D283" s="112" t="s">
        <v>346</v>
      </c>
      <c r="E283" s="112" t="s">
        <v>594</v>
      </c>
      <c r="F283" s="491">
        <v>4275</v>
      </c>
      <c r="G283" s="411">
        <v>8</v>
      </c>
      <c r="H283" s="492" t="s">
        <v>50</v>
      </c>
      <c r="I283" s="493">
        <v>45748</v>
      </c>
      <c r="J283" s="489">
        <v>45777</v>
      </c>
      <c r="K283" s="551">
        <v>3483.67</v>
      </c>
      <c r="L283" s="398">
        <f>Tabela13[[#This Row],[VALOR
 BRUTO ]]-Tabela13[[#This Row],[VALOR 
LIQUIDO ]]</f>
        <v>0</v>
      </c>
      <c r="M283" s="399">
        <f>Tabela13[[#This Row],[VALORES PAGOS 
(FORMA PAGTO)]]</f>
        <v>3483.67</v>
      </c>
      <c r="N283" s="489">
        <v>45877</v>
      </c>
      <c r="O283" s="551">
        <v>3483.67</v>
      </c>
      <c r="P283" s="493">
        <v>45923</v>
      </c>
      <c r="Q283" s="197" t="str" cm="1">
        <f t="array" aca="1" ref="Q283" ca="1">IF($P283&lt;&gt;"","PAGO",IF($N283&lt;TODAY(),"ATRASADO",IF($N283&gt;TODAY(),"NO PRAZO",IF($N283=TODAY(),"NO PRAZO",SE))))</f>
        <v>PAGO</v>
      </c>
      <c r="R283" s="150" t="str">
        <f t="shared" ca="1" si="4"/>
        <v/>
      </c>
      <c r="S283" s="722"/>
      <c r="T283" s="112"/>
      <c r="U283" s="497">
        <f ca="1">SUBTOTAL(3,Tabela13[[#This Row],[STATUS]])</f>
        <v>1</v>
      </c>
      <c r="W283" s="11"/>
    </row>
    <row r="284" spans="1:24" ht="30">
      <c r="A284" s="489">
        <v>45877</v>
      </c>
      <c r="B284" s="105">
        <v>119162</v>
      </c>
      <c r="C284" s="688" t="str">
        <f>IFERROR(VLOOKUP(Tabela13[[#This Row],[CÓD. EMPRESA]],Tabela3[[CÓDIGO
 EMPRESA ]:[EMPRESA]],2,FALSE),"")</f>
        <v>COOPERATIVA DE TRABALHO COLETA TRIAGEM BENEFICIAMENTO E COMERCIO DE MATERIAIS RECICLAVEIS NOVO CICLO</v>
      </c>
      <c r="D284" s="112" t="s">
        <v>343</v>
      </c>
      <c r="E284" s="112" t="s">
        <v>595</v>
      </c>
      <c r="F284" s="491">
        <v>3689</v>
      </c>
      <c r="G284" s="411">
        <v>8</v>
      </c>
      <c r="H284" s="632" t="s">
        <v>50</v>
      </c>
      <c r="I284" s="493">
        <v>45748</v>
      </c>
      <c r="J284" s="489">
        <v>45777</v>
      </c>
      <c r="K284" s="385">
        <v>5550.83</v>
      </c>
      <c r="L284" s="398">
        <f>Tabela13[[#This Row],[VALOR
 BRUTO ]]-Tabela13[[#This Row],[VALOR 
LIQUIDO ]]</f>
        <v>0</v>
      </c>
      <c r="M284" s="399">
        <f>Tabela13[[#This Row],[VALORES PAGOS 
(FORMA PAGTO)]]</f>
        <v>5550.83</v>
      </c>
      <c r="N284" s="489">
        <v>45877</v>
      </c>
      <c r="O284" s="551">
        <v>5550.83</v>
      </c>
      <c r="P284" s="633">
        <v>45923</v>
      </c>
      <c r="Q284" s="197" t="str" cm="1">
        <f t="array" aca="1" ref="Q284" ca="1">IF($P284&lt;&gt;"","PAGO",IF($N284&lt;TODAY(),"ATRASADO",IF($N284&gt;TODAY(),"NO PRAZO",IF($N284=TODAY(),"NO PRAZO",SE))))</f>
        <v>PAGO</v>
      </c>
      <c r="R284" s="150" t="str">
        <f t="shared" ca="1" si="4"/>
        <v/>
      </c>
      <c r="S284" s="720"/>
      <c r="T284" s="112"/>
      <c r="U284" s="636">
        <f ca="1">SUBTOTAL(3,Tabela13[[#This Row],[STATUS]])</f>
        <v>1</v>
      </c>
    </row>
    <row r="285" spans="1:24" ht="30">
      <c r="A285" s="489">
        <v>45877</v>
      </c>
      <c r="B285" s="105">
        <v>119162</v>
      </c>
      <c r="C285" s="688" t="str">
        <f>IFERROR(VLOOKUP(Tabela13[[#This Row],[CÓD. EMPRESA]],Tabela3[[CÓDIGO
 EMPRESA ]:[EMPRESA]],2,FALSE),"")</f>
        <v>COOPERATIVA DE TRABALHO COLETA TRIAGEM BENEFICIAMENTO E COMERCIO DE MATERIAIS RECICLAVEIS NOVO CICLO</v>
      </c>
      <c r="D285" s="112" t="s">
        <v>343</v>
      </c>
      <c r="E285" s="112" t="s">
        <v>595</v>
      </c>
      <c r="F285" s="491">
        <v>4276</v>
      </c>
      <c r="G285" s="411">
        <v>8</v>
      </c>
      <c r="H285" s="492" t="s">
        <v>50</v>
      </c>
      <c r="I285" s="493">
        <v>45748</v>
      </c>
      <c r="J285" s="489">
        <v>45777</v>
      </c>
      <c r="K285" s="382">
        <v>8338.0300000000007</v>
      </c>
      <c r="L285" s="398">
        <f>Tabela13[[#This Row],[VALOR
 BRUTO ]]-Tabela13[[#This Row],[VALOR 
LIQUIDO ]]</f>
        <v>694.44</v>
      </c>
      <c r="M285" s="399">
        <f>Tabela13[[#This Row],[VALORES PAGOS 
(FORMA PAGTO)]]</f>
        <v>7643.59</v>
      </c>
      <c r="N285" s="489">
        <v>45877</v>
      </c>
      <c r="O285" s="551">
        <v>7643.59</v>
      </c>
      <c r="P285" s="493">
        <v>45923</v>
      </c>
      <c r="Q285" s="197" t="str" cm="1">
        <f t="array" aca="1" ref="Q285" ca="1">IF($P285&lt;&gt;"","PAGO",IF($N285&lt;TODAY(),"ATRASADO",IF($N285&gt;TODAY(),"NO PRAZO",IF($N285=TODAY(),"NO PRAZO",SE))))</f>
        <v>PAGO</v>
      </c>
      <c r="R285" s="150" t="str">
        <f t="shared" ca="1" si="4"/>
        <v/>
      </c>
      <c r="S285" s="722"/>
      <c r="T285" s="112"/>
      <c r="U285" s="497">
        <f ca="1">SUBTOTAL(3,Tabela13[[#This Row],[STATUS]])</f>
        <v>1</v>
      </c>
      <c r="W285" s="11"/>
    </row>
    <row r="286" spans="1:24" ht="30">
      <c r="A286" s="489">
        <v>45877</v>
      </c>
      <c r="B286" s="105">
        <v>118229</v>
      </c>
      <c r="C286" s="688" t="str">
        <f>IFERROR(VLOOKUP(Tabela13[[#This Row],[CÓD. EMPRESA]],Tabela3[[CÓDIGO
 EMPRESA ]:[EMPRESA]],2,FALSE),"")</f>
        <v>COOPERATIVA DE TRABALHO DAS CATADORAS E CATADORES DE MATERIAIS RECICLAVEIS LUTA E VIDA</v>
      </c>
      <c r="D286" s="112" t="s">
        <v>330</v>
      </c>
      <c r="E286" s="112" t="s">
        <v>498</v>
      </c>
      <c r="F286" s="491">
        <v>3693</v>
      </c>
      <c r="G286" s="411">
        <v>9</v>
      </c>
      <c r="H286" s="492" t="s">
        <v>50</v>
      </c>
      <c r="I286" s="493">
        <v>45748</v>
      </c>
      <c r="J286" s="489">
        <v>45777</v>
      </c>
      <c r="K286" s="495">
        <v>7468.44</v>
      </c>
      <c r="L286" s="398">
        <f>Tabela13[[#This Row],[VALOR
 BRUTO ]]-Tabela13[[#This Row],[VALOR 
LIQUIDO ]]</f>
        <v>528.22</v>
      </c>
      <c r="M286" s="399">
        <f>Tabela13[[#This Row],[VALORES PAGOS 
(FORMA PAGTO)]]</f>
        <v>6940.22</v>
      </c>
      <c r="N286" s="489">
        <v>45877</v>
      </c>
      <c r="O286" s="551">
        <v>6940.22</v>
      </c>
      <c r="P286" s="596">
        <v>45923</v>
      </c>
      <c r="Q286" s="197" t="str" cm="1">
        <f t="array" aca="1" ref="Q286" ca="1">IF($P286&lt;&gt;"","PAGO",IF($N286&lt;TODAY(),"ATRASADO",IF($N286&gt;TODAY(),"NO PRAZO",IF($N286=TODAY(),"NO PRAZO",SE))))</f>
        <v>PAGO</v>
      </c>
      <c r="R286" s="150" t="str">
        <f t="shared" ca="1" si="4"/>
        <v/>
      </c>
      <c r="S286" s="711"/>
      <c r="T286" s="112"/>
      <c r="U286" s="599">
        <f ca="1">SUBTOTAL(3,Tabela13[[#This Row],[STATUS]])</f>
        <v>1</v>
      </c>
      <c r="W286" s="11"/>
    </row>
    <row r="287" spans="1:24" ht="30">
      <c r="A287" s="489">
        <v>45877</v>
      </c>
      <c r="B287" s="105">
        <v>118229</v>
      </c>
      <c r="C287" s="688" t="str">
        <f>IFERROR(VLOOKUP(Tabela13[[#This Row],[CÓD. EMPRESA]],Tabela3[[CÓDIGO
 EMPRESA ]:[EMPRESA]],2,FALSE),"")</f>
        <v>COOPERATIVA DE TRABALHO DAS CATADORAS E CATADORES DE MATERIAIS RECICLAVEIS LUTA E VIDA</v>
      </c>
      <c r="D287" s="112" t="s">
        <v>330</v>
      </c>
      <c r="E287" s="112" t="s">
        <v>498</v>
      </c>
      <c r="F287" s="491">
        <v>4196</v>
      </c>
      <c r="G287" s="411">
        <v>9</v>
      </c>
      <c r="H287" s="492" t="s">
        <v>50</v>
      </c>
      <c r="I287" s="493">
        <v>45748</v>
      </c>
      <c r="J287" s="489">
        <v>45777</v>
      </c>
      <c r="K287" s="495">
        <v>3096.04</v>
      </c>
      <c r="L287" s="398">
        <f>Tabela13[[#This Row],[VALOR
 BRUTO ]]-Tabela13[[#This Row],[VALOR 
LIQUIDO ]]</f>
        <v>0</v>
      </c>
      <c r="M287" s="399">
        <f>Tabela13[[#This Row],[VALORES PAGOS 
(FORMA PAGTO)]]</f>
        <v>3096.04</v>
      </c>
      <c r="N287" s="489">
        <v>45877</v>
      </c>
      <c r="O287" s="551">
        <v>3096.04</v>
      </c>
      <c r="P287" s="493">
        <v>45923</v>
      </c>
      <c r="Q287" s="197" t="str" cm="1">
        <f t="array" aca="1" ref="Q287" ca="1">IF($P287&lt;&gt;"","PAGO",IF($N287&lt;TODAY(),"ATRASADO",IF($N287&gt;TODAY(),"NO PRAZO",IF($N287=TODAY(),"NO PRAZO",SE))))</f>
        <v>PAGO</v>
      </c>
      <c r="R287" s="150" t="str">
        <f t="shared" ca="1" si="4"/>
        <v/>
      </c>
      <c r="S287" s="722"/>
      <c r="T287" s="112"/>
      <c r="U287" s="497">
        <f ca="1">SUBTOTAL(3,Tabela13[[#This Row],[STATUS]])</f>
        <v>1</v>
      </c>
      <c r="W287" s="11"/>
    </row>
    <row r="288" spans="1:24" ht="24" customHeight="1">
      <c r="A288" s="489">
        <v>45877</v>
      </c>
      <c r="B288" s="105">
        <v>73963</v>
      </c>
      <c r="C288" s="688" t="str">
        <f>IFERROR(VLOOKUP(Tabela13[[#This Row],[CÓD. EMPRESA]],Tabela3[[CÓDIGO
 EMPRESA ]:[EMPRESA]],2,FALSE),"")</f>
        <v>REINALDO CRUZ LIMA</v>
      </c>
      <c r="D288" s="112" t="s">
        <v>597</v>
      </c>
      <c r="E288" s="112" t="s">
        <v>419</v>
      </c>
      <c r="F288" s="491">
        <v>18111</v>
      </c>
      <c r="G288" s="411">
        <v>109</v>
      </c>
      <c r="H288" s="492" t="s">
        <v>50</v>
      </c>
      <c r="I288" s="493">
        <v>45748</v>
      </c>
      <c r="J288" s="489">
        <v>45777</v>
      </c>
      <c r="K288" s="551">
        <v>1719</v>
      </c>
      <c r="L288" s="398">
        <f>Tabela13[[#This Row],[VALOR
 BRUTO ]]-Tabela13[[#This Row],[VALOR 
LIQUIDO ]]</f>
        <v>0</v>
      </c>
      <c r="M288" s="399">
        <f>Tabela13[[#This Row],[VALORES PAGOS 
(FORMA PAGTO)]]</f>
        <v>1719</v>
      </c>
      <c r="N288" s="489">
        <v>45877</v>
      </c>
      <c r="O288" s="551">
        <v>1719</v>
      </c>
      <c r="P288" s="493">
        <v>45894</v>
      </c>
      <c r="Q288" s="197" t="str" cm="1">
        <f t="array" aca="1" ref="Q288" ca="1">IF($P288&lt;&gt;"","PAGO",IF($N288&lt;TODAY(),"ATRASADO",IF($N288&gt;TODAY(),"NO PRAZO",IF($N288=TODAY(),"NO PRAZO",SE))))</f>
        <v>PAGO</v>
      </c>
      <c r="R288" s="150" t="str">
        <f t="shared" ca="1" si="4"/>
        <v/>
      </c>
      <c r="S288" s="722"/>
      <c r="T288" s="112"/>
      <c r="U288" s="497">
        <f ca="1">SUBTOTAL(3,Tabela13[[#This Row],[STATUS]])</f>
        <v>1</v>
      </c>
      <c r="W288" s="11"/>
    </row>
    <row r="289" spans="1:21" ht="24" customHeight="1">
      <c r="A289" s="489">
        <v>45877</v>
      </c>
      <c r="B289" s="105">
        <v>73963</v>
      </c>
      <c r="C289" s="688" t="str">
        <f>IFERROR(VLOOKUP(Tabela13[[#This Row],[CÓD. EMPRESA]],Tabela3[[CÓDIGO
 EMPRESA ]:[EMPRESA]],2,FALSE),"")</f>
        <v>REINALDO CRUZ LIMA</v>
      </c>
      <c r="D289" s="112" t="s">
        <v>597</v>
      </c>
      <c r="E289" s="112" t="s">
        <v>419</v>
      </c>
      <c r="F289" s="491">
        <v>18119</v>
      </c>
      <c r="G289" s="411">
        <v>110</v>
      </c>
      <c r="H289" s="492" t="s">
        <v>50</v>
      </c>
      <c r="I289" s="493">
        <v>45748</v>
      </c>
      <c r="J289" s="489">
        <v>45777</v>
      </c>
      <c r="K289" s="551">
        <v>240</v>
      </c>
      <c r="L289" s="398">
        <f>Tabela13[[#This Row],[VALOR
 BRUTO ]]-Tabela13[[#This Row],[VALOR 
LIQUIDO ]]</f>
        <v>0</v>
      </c>
      <c r="M289" s="399">
        <f>Tabela13[[#This Row],[VALORES PAGOS 
(FORMA PAGTO)]]</f>
        <v>240</v>
      </c>
      <c r="N289" s="489">
        <v>45877</v>
      </c>
      <c r="O289" s="551">
        <v>240</v>
      </c>
      <c r="P289" s="493">
        <v>45894</v>
      </c>
      <c r="Q289" s="197" t="str" cm="1">
        <f t="array" aca="1" ref="Q289" ca="1">IF($P289&lt;&gt;"","PAGO",IF($N289&lt;TODAY(),"ATRASADO",IF($N289&gt;TODAY(),"NO PRAZO",IF($N289=TODAY(),"NO PRAZO",SE))))</f>
        <v>PAGO</v>
      </c>
      <c r="R289" s="150" t="str">
        <f t="shared" ca="1" si="4"/>
        <v/>
      </c>
      <c r="S289" s="722"/>
      <c r="T289" s="112"/>
      <c r="U289" s="497">
        <f ca="1">SUBTOTAL(3,Tabela13[[#This Row],[STATUS]])</f>
        <v>1</v>
      </c>
    </row>
    <row r="290" spans="1:21" ht="30">
      <c r="A290" s="489">
        <v>45877</v>
      </c>
      <c r="B290" s="105">
        <v>119152</v>
      </c>
      <c r="C290" s="688" t="str">
        <f>IFERROR(VLOOKUP(Tabela13[[#This Row],[CÓD. EMPRESA]],Tabela3[[CÓDIGO
 EMPRESA ]:[EMPRESA]],2,FALSE),"")</f>
        <v>COOPERATIVA DE TRABALHO DE CATADORAS E CATADORES DE MATERIAIS RECICLAVEIS SINERGIA BRASIL</v>
      </c>
      <c r="D290" s="112" t="s">
        <v>346</v>
      </c>
      <c r="E290" s="112" t="s">
        <v>599</v>
      </c>
      <c r="F290" s="196">
        <v>7086</v>
      </c>
      <c r="G290" s="411">
        <v>8</v>
      </c>
      <c r="H290" s="492" t="s">
        <v>50</v>
      </c>
      <c r="I290" s="493">
        <v>45748</v>
      </c>
      <c r="J290" s="489">
        <v>45777</v>
      </c>
      <c r="K290" s="385">
        <v>16463.150000000001</v>
      </c>
      <c r="L290" s="398">
        <f>Tabela13[[#This Row],[VALOR
 BRUTO ]]-Tabela13[[#This Row],[VALOR 
LIQUIDO ]]</f>
        <v>1348.96</v>
      </c>
      <c r="M290" s="399">
        <f>Tabela13[[#This Row],[VALORES PAGOS 
(FORMA PAGTO)]]</f>
        <v>15114.19</v>
      </c>
      <c r="N290" s="489">
        <v>45877</v>
      </c>
      <c r="O290" s="551">
        <v>15114.19</v>
      </c>
      <c r="P290" s="493">
        <v>45923</v>
      </c>
      <c r="Q290" s="197" t="str" cm="1">
        <f t="array" aca="1" ref="Q290" ca="1">IF($P290&lt;&gt;"","PAGO",IF($N290&lt;TODAY(),"ATRASADO",IF($N290&gt;TODAY(),"NO PRAZO",IF($N290=TODAY(),"NO PRAZO",SE))))</f>
        <v>PAGO</v>
      </c>
      <c r="R290" s="150" t="str">
        <f t="shared" ca="1" si="4"/>
        <v/>
      </c>
      <c r="S290" s="722"/>
      <c r="T290" s="112"/>
      <c r="U290" s="497">
        <f ca="1">SUBTOTAL(3,Tabela13[[#This Row],[STATUS]])</f>
        <v>1</v>
      </c>
    </row>
    <row r="291" spans="1:21" ht="24" customHeight="1">
      <c r="A291" s="519">
        <v>45877</v>
      </c>
      <c r="B291" s="105">
        <v>119149</v>
      </c>
      <c r="C291" s="688" t="str">
        <f>IFERROR(VLOOKUP(Tabela13[[#This Row],[CÓD. EMPRESA]],Tabela3[[CÓDIGO
 EMPRESA ]:[EMPRESA]],2,FALSE),"")</f>
        <v>COOPERATIVA DE TRABALHO NOVO BAMBI</v>
      </c>
      <c r="D291" s="112" t="s">
        <v>348</v>
      </c>
      <c r="E291" s="112" t="s">
        <v>501</v>
      </c>
      <c r="F291" s="196">
        <v>7078</v>
      </c>
      <c r="G291" s="411">
        <v>10</v>
      </c>
      <c r="H291" s="165" t="s">
        <v>51</v>
      </c>
      <c r="I291" s="521">
        <v>45748</v>
      </c>
      <c r="J291" s="519">
        <v>45777</v>
      </c>
      <c r="K291" s="382">
        <v>18914.36</v>
      </c>
      <c r="L291" s="398">
        <f>Tabela13[[#This Row],[VALOR
 BRUTO ]]-Tabela13[[#This Row],[VALOR 
LIQUIDO ]]</f>
        <v>1845.48</v>
      </c>
      <c r="M291" s="399">
        <f>Tabela13[[#This Row],[VALORES PAGOS 
(FORMA PAGTO)]]</f>
        <v>17068.88</v>
      </c>
      <c r="N291" s="519">
        <v>45877</v>
      </c>
      <c r="O291" s="523">
        <v>17068.88</v>
      </c>
      <c r="P291" s="521">
        <v>45923</v>
      </c>
      <c r="Q291" s="197" t="str" cm="1">
        <f t="array" aca="1" ref="Q291" ca="1">IF($P291&lt;&gt;"","PAGO",IF($N291&lt;TODAY(),"ATRASADO",IF($N291&gt;TODAY(),"NO PRAZO",IF($N291=TODAY(),"NO PRAZO",SE))))</f>
        <v>PAGO</v>
      </c>
      <c r="R291" s="150" t="str">
        <f t="shared" ca="1" si="4"/>
        <v/>
      </c>
      <c r="S291" s="717"/>
      <c r="T291" s="112"/>
      <c r="U291" s="524">
        <f ca="1">SUBTOTAL(3,Tabela13[[#This Row],[STATUS]])</f>
        <v>1</v>
      </c>
    </row>
    <row r="292" spans="1:21" ht="30">
      <c r="A292" s="489">
        <v>45880</v>
      </c>
      <c r="B292" s="105">
        <v>119166</v>
      </c>
      <c r="C292" s="688" t="str">
        <f>IFERROR(VLOOKUP(Tabela13[[#This Row],[CÓD. EMPRESA]],Tabela3[[CÓDIGO
 EMPRESA ]:[EMPRESA]],2,FALSE),"")</f>
        <v>COOPERATIVA DE TRABALHO DE CATADORES E CATADORAS DE MATERIAL DE RECICLAGEM VILA RENATA CRV</v>
      </c>
      <c r="D292" s="112" t="s">
        <v>347</v>
      </c>
      <c r="E292" s="112" t="s">
        <v>596</v>
      </c>
      <c r="F292" s="491">
        <v>4270</v>
      </c>
      <c r="G292" s="411">
        <v>6</v>
      </c>
      <c r="H292" s="492" t="s">
        <v>50</v>
      </c>
      <c r="I292" s="493">
        <v>45748</v>
      </c>
      <c r="J292" s="489">
        <v>45777</v>
      </c>
      <c r="K292" s="495">
        <v>11921.92</v>
      </c>
      <c r="L292" s="398">
        <f>Tabela13[[#This Row],[VALOR
 BRUTO ]]-Tabela13[[#This Row],[VALOR 
LIQUIDO ]]</f>
        <v>1051.6300000000001</v>
      </c>
      <c r="M292" s="399">
        <f>Tabela13[[#This Row],[VALORES PAGOS 
(FORMA PAGTO)]]</f>
        <v>10870.29</v>
      </c>
      <c r="N292" s="489">
        <v>45877</v>
      </c>
      <c r="O292" s="551">
        <v>10870.29</v>
      </c>
      <c r="P292" s="607">
        <v>45800</v>
      </c>
      <c r="Q292" s="197" t="str" cm="1">
        <f t="array" aca="1" ref="Q292" ca="1">IF($P292&lt;&gt;"","PAGO",IF($N292&lt;TODAY(),"ATRASADO",IF($N292&gt;TODAY(),"NO PRAZO",IF($N292=TODAY(),"NO PRAZO",SE))))</f>
        <v>PAGO</v>
      </c>
      <c r="R292" s="150" t="str">
        <f t="shared" ca="1" si="4"/>
        <v/>
      </c>
      <c r="S292" s="732"/>
      <c r="T292" s="686"/>
      <c r="U292" s="610">
        <f ca="1">SUBTOTAL(3,Tabela13[[#This Row],[STATUS]])</f>
        <v>1</v>
      </c>
    </row>
    <row r="293" spans="1:21" ht="30">
      <c r="A293" s="489">
        <v>45880</v>
      </c>
      <c r="B293" s="105">
        <v>119166</v>
      </c>
      <c r="C293" s="688" t="str">
        <f>IFERROR(VLOOKUP(Tabela13[[#This Row],[CÓD. EMPRESA]],Tabela3[[CÓDIGO
 EMPRESA ]:[EMPRESA]],2,FALSE),"")</f>
        <v>COOPERATIVA DE TRABALHO DE CATADORES E CATADORAS DE MATERIAL DE RECICLAGEM VILA RENATA CRV</v>
      </c>
      <c r="D293" s="112" t="s">
        <v>347</v>
      </c>
      <c r="E293" s="112" t="s">
        <v>596</v>
      </c>
      <c r="F293" s="491">
        <v>7087</v>
      </c>
      <c r="G293" s="411">
        <v>6</v>
      </c>
      <c r="H293" s="492" t="s">
        <v>50</v>
      </c>
      <c r="I293" s="493">
        <v>45748</v>
      </c>
      <c r="J293" s="489">
        <v>45777</v>
      </c>
      <c r="K293" s="495">
        <v>9110.64</v>
      </c>
      <c r="L293" s="398">
        <f>Tabela13[[#This Row],[VALOR
 BRUTO ]]-Tabela13[[#This Row],[VALOR 
LIQUIDO ]]</f>
        <v>0</v>
      </c>
      <c r="M293" s="399">
        <f>Tabela13[[#This Row],[VALORES PAGOS 
(FORMA PAGTO)]]</f>
        <v>9110.64</v>
      </c>
      <c r="N293" s="489">
        <v>45877</v>
      </c>
      <c r="O293" s="551">
        <v>9110.64</v>
      </c>
      <c r="P293" s="493">
        <v>45923</v>
      </c>
      <c r="Q293" s="197" t="str" cm="1">
        <f t="array" aca="1" ref="Q293" ca="1">IF($P293&lt;&gt;"","PAGO",IF($N293&lt;TODAY(),"ATRASADO",IF($N293&gt;TODAY(),"NO PRAZO",IF($N293=TODAY(),"NO PRAZO",SE))))</f>
        <v>PAGO</v>
      </c>
      <c r="R293" s="150" t="str">
        <f t="shared" ca="1" si="4"/>
        <v/>
      </c>
      <c r="S293" s="722"/>
      <c r="T293" s="112"/>
      <c r="U293" s="497">
        <f ca="1">SUBTOTAL(3,Tabela13[[#This Row],[STATUS]])</f>
        <v>1</v>
      </c>
    </row>
    <row r="294" spans="1:21" ht="30">
      <c r="A294" s="489">
        <v>45880</v>
      </c>
      <c r="B294" s="105">
        <v>119151</v>
      </c>
      <c r="C294" s="688" t="str">
        <f>IFERROR(VLOOKUP(Tabela13[[#This Row],[CÓD. EMPRESA]],Tabela3[[CÓDIGO
 EMPRESA ]:[EMPRESA]],2,FALSE),"")</f>
        <v>COOPERATIVA DE TRABALHO DE CATADORAS E CATADORES DE MATERIAIS RECICLAVEIS NOVA VIDA</v>
      </c>
      <c r="D294" s="112" t="s">
        <v>332</v>
      </c>
      <c r="E294" s="112" t="s">
        <v>598</v>
      </c>
      <c r="F294" s="491">
        <v>4199</v>
      </c>
      <c r="G294" s="411">
        <v>10</v>
      </c>
      <c r="H294" s="492" t="s">
        <v>50</v>
      </c>
      <c r="I294" s="493">
        <v>45748</v>
      </c>
      <c r="J294" s="489">
        <v>45777</v>
      </c>
      <c r="K294" s="551">
        <v>16326.07</v>
      </c>
      <c r="L294" s="398">
        <f>Tabela13[[#This Row],[VALOR
 BRUTO ]]-Tabela13[[#This Row],[VALOR 
LIQUIDO ]]</f>
        <v>816.3</v>
      </c>
      <c r="M294" s="399">
        <f>Tabela13[[#This Row],[VALORES PAGOS 
(FORMA PAGTO)]]</f>
        <v>15509.77</v>
      </c>
      <c r="N294" s="489">
        <v>45877</v>
      </c>
      <c r="O294" s="551">
        <v>15509.77</v>
      </c>
      <c r="P294" s="493">
        <v>45923</v>
      </c>
      <c r="Q294" s="197" t="str" cm="1">
        <f t="array" aca="1" ref="Q294" ca="1">IF($P294&lt;&gt;"","PAGO",IF($N294&lt;TODAY(),"ATRASADO",IF($N294&gt;TODAY(),"NO PRAZO",IF($N294=TODAY(),"NO PRAZO",SE))))</f>
        <v>PAGO</v>
      </c>
      <c r="R294" s="150" t="str">
        <f t="shared" ca="1" si="4"/>
        <v/>
      </c>
      <c r="S294" s="722"/>
      <c r="T294" s="112"/>
      <c r="U294" s="497">
        <f ca="1">SUBTOTAL(3,Tabela13[[#This Row],[STATUS]])</f>
        <v>1</v>
      </c>
    </row>
    <row r="295" spans="1:21" ht="30">
      <c r="A295" s="489">
        <v>45880</v>
      </c>
      <c r="B295" s="105">
        <v>118253</v>
      </c>
      <c r="C295" s="688" t="str">
        <f>IFERROR(VLOOKUP(Tabela13[[#This Row],[CÓD. EMPRESA]],Tabela3[[CÓDIGO
 EMPRESA ]:[EMPRESA]],2,FALSE),"")</f>
        <v>COOPERATIVA DE TRABALHO DOS CATADORES DA AREA DE MATERIAIS RECICLAVEIS DE GUARULHOS</v>
      </c>
      <c r="D295" s="112" t="s">
        <v>440</v>
      </c>
      <c r="E295" s="112" t="s">
        <v>441</v>
      </c>
      <c r="F295" s="491">
        <v>7076</v>
      </c>
      <c r="G295" s="411">
        <v>6</v>
      </c>
      <c r="H295" s="492" t="s">
        <v>50</v>
      </c>
      <c r="I295" s="493">
        <v>45748</v>
      </c>
      <c r="J295" s="489">
        <v>45777</v>
      </c>
      <c r="K295" s="551">
        <v>1760.93</v>
      </c>
      <c r="L295" s="398">
        <f>Tabela13[[#This Row],[VALOR
 BRUTO ]]-Tabela13[[#This Row],[VALOR 
LIQUIDO ]]</f>
        <v>88.05</v>
      </c>
      <c r="M295" s="399">
        <f>Tabela13[[#This Row],[VALORES PAGOS 
(FORMA PAGTO)]]</f>
        <v>1672.88</v>
      </c>
      <c r="N295" s="489">
        <v>45877</v>
      </c>
      <c r="O295" s="551">
        <v>1672.88</v>
      </c>
      <c r="P295" s="493">
        <v>45923</v>
      </c>
      <c r="Q295" s="197" t="str" cm="1">
        <f t="array" aca="1" ref="Q295" ca="1">IF($P295&lt;&gt;"","PAGO",IF($N295&lt;TODAY(),"ATRASADO",IF($N295&gt;TODAY(),"NO PRAZO",IF($N295=TODAY(),"NO PRAZO",SE))))</f>
        <v>PAGO</v>
      </c>
      <c r="R295" s="150" t="str">
        <f t="shared" ca="1" si="4"/>
        <v/>
      </c>
      <c r="S295" s="722"/>
      <c r="T295" s="112"/>
      <c r="U295" s="497">
        <f ca="1">SUBTOTAL(3,Tabela13[[#This Row],[STATUS]])</f>
        <v>1</v>
      </c>
    </row>
    <row r="296" spans="1:21" ht="24" customHeight="1">
      <c r="A296" s="489">
        <v>45882</v>
      </c>
      <c r="B296" s="105">
        <v>117936</v>
      </c>
      <c r="C296" s="688" t="str">
        <f>IFERROR(VLOOKUP(Tabela13[[#This Row],[CÓD. EMPRESA]],Tabela3[[CÓDIGO
 EMPRESA ]:[EMPRESA]],2,FALSE),"")</f>
        <v>LOPES SAAB ENGENHARIA LTDA</v>
      </c>
      <c r="D296" s="112" t="s">
        <v>612</v>
      </c>
      <c r="E296" s="112" t="s">
        <v>452</v>
      </c>
      <c r="F296" s="491">
        <v>16586</v>
      </c>
      <c r="G296" s="411">
        <v>162</v>
      </c>
      <c r="H296" s="165" t="s">
        <v>51</v>
      </c>
      <c r="I296" s="493">
        <v>45809</v>
      </c>
      <c r="J296" s="489">
        <v>45838</v>
      </c>
      <c r="K296" s="385">
        <v>18500</v>
      </c>
      <c r="L296" s="398">
        <f>Tabela13[[#This Row],[VALOR
 BRUTO ]]-Tabela13[[#This Row],[VALOR 
LIQUIDO ]]</f>
        <v>0</v>
      </c>
      <c r="M296" s="399">
        <f>Tabela13[[#This Row],[VALORES PAGOS 
(FORMA PAGTO)]]</f>
        <v>18500</v>
      </c>
      <c r="N296" s="489">
        <v>45905</v>
      </c>
      <c r="O296" s="813">
        <v>18500</v>
      </c>
      <c r="P296" s="493">
        <v>45954</v>
      </c>
      <c r="Q296" s="197" t="str" cm="1">
        <f t="array" aca="1" ref="Q296" ca="1">IF($P296&lt;&gt;"","PAGO",IF($N296&lt;TODAY(),"ATRASADO",IF($N296&gt;TODAY(),"NO PRAZO",IF($N296=TODAY(),"NO PRAZO",SE))))</f>
        <v>PAGO</v>
      </c>
      <c r="R296" s="150" t="str">
        <f t="shared" ca="1" si="4"/>
        <v/>
      </c>
      <c r="S296" s="241"/>
      <c r="T296" s="112"/>
      <c r="U296" s="497">
        <f ca="1">SUBTOTAL(3,Tabela13[[#This Row],[STATUS]])</f>
        <v>1</v>
      </c>
    </row>
    <row r="297" spans="1:21" ht="24" customHeight="1">
      <c r="A297" s="489">
        <v>45882</v>
      </c>
      <c r="B297" s="105">
        <v>2808</v>
      </c>
      <c r="C297" s="688" t="str">
        <f>IFERROR(VLOOKUP(Tabela13[[#This Row],[CÓD. EMPRESA]],Tabela3[[CÓDIGO
 EMPRESA ]:[EMPRESA]],2,FALSE),"")</f>
        <v>EMPRESA BRASILEIRA DE CORREIOS E TELEGRAFOS</v>
      </c>
      <c r="D297" s="112" t="s">
        <v>34</v>
      </c>
      <c r="E297" s="112" t="s">
        <v>496</v>
      </c>
      <c r="F297" s="491">
        <v>3678</v>
      </c>
      <c r="G297" s="109" t="s">
        <v>613</v>
      </c>
      <c r="H297" s="165" t="s">
        <v>50</v>
      </c>
      <c r="I297" s="493">
        <v>45839</v>
      </c>
      <c r="J297" s="489">
        <v>45869</v>
      </c>
      <c r="K297" s="382">
        <v>778.39</v>
      </c>
      <c r="L297" s="398">
        <f>Tabela13[[#This Row],[VALOR
 BRUTO ]]-Tabela13[[#This Row],[VALOR 
LIQUIDO ]]</f>
        <v>0</v>
      </c>
      <c r="M297" s="399">
        <f>Tabela13[[#This Row],[VALORES PAGOS 
(FORMA PAGTO)]]</f>
        <v>778.39</v>
      </c>
      <c r="N297" s="489">
        <v>45890</v>
      </c>
      <c r="O297" s="427">
        <v>778.39</v>
      </c>
      <c r="P297" s="493">
        <v>45890</v>
      </c>
      <c r="Q297" s="197" t="str" cm="1">
        <f t="array" aca="1" ref="Q297" ca="1">IF($P297&lt;&gt;"","PAGO",IF($N297&lt;TODAY(),"ATRASADO",IF($N297&gt;TODAY(),"NO PRAZO",IF($N297=TODAY(),"NO PRAZO",SE))))</f>
        <v>PAGO</v>
      </c>
      <c r="R297" s="150" t="str">
        <f t="shared" ca="1" si="4"/>
        <v/>
      </c>
      <c r="S297" s="722"/>
      <c r="T297" s="112"/>
      <c r="U297" s="497">
        <f ca="1">SUBTOTAL(3,Tabela13[[#This Row],[STATUS]])</f>
        <v>1</v>
      </c>
    </row>
    <row r="298" spans="1:21" ht="24" customHeight="1">
      <c r="A298" s="489">
        <v>45882</v>
      </c>
      <c r="B298" s="105">
        <v>2808</v>
      </c>
      <c r="C298" s="688" t="str">
        <f>IFERROR(VLOOKUP(Tabela13[[#This Row],[CÓD. EMPRESA]],Tabela3[[CÓDIGO
 EMPRESA ]:[EMPRESA]],2,FALSE),"")</f>
        <v>EMPRESA BRASILEIRA DE CORREIOS E TELEGRAFOS</v>
      </c>
      <c r="D298" s="112" t="s">
        <v>34</v>
      </c>
      <c r="E298" s="112" t="s">
        <v>496</v>
      </c>
      <c r="F298" s="491">
        <v>7398</v>
      </c>
      <c r="G298" s="109" t="s">
        <v>613</v>
      </c>
      <c r="H298" s="165" t="s">
        <v>50</v>
      </c>
      <c r="I298" s="493">
        <v>45839</v>
      </c>
      <c r="J298" s="489">
        <v>45869</v>
      </c>
      <c r="K298" s="495">
        <v>687.85</v>
      </c>
      <c r="L298" s="398">
        <f>Tabela13[[#This Row],[VALOR
 BRUTO ]]-Tabela13[[#This Row],[VALOR 
LIQUIDO ]]</f>
        <v>0</v>
      </c>
      <c r="M298" s="399">
        <f>Tabela13[[#This Row],[VALORES PAGOS 
(FORMA PAGTO)]]</f>
        <v>687.85</v>
      </c>
      <c r="N298" s="489">
        <v>45890</v>
      </c>
      <c r="O298" s="569">
        <v>687.85</v>
      </c>
      <c r="P298" s="493">
        <v>45890</v>
      </c>
      <c r="Q298" s="197" t="str" cm="1">
        <f t="array" aca="1" ref="Q298" ca="1">IF($P298&lt;&gt;"","PAGO",IF($N298&lt;TODAY(),"ATRASADO",IF($N298&gt;TODAY(),"NO PRAZO",IF($N298=TODAY(),"NO PRAZO",SE))))</f>
        <v>PAGO</v>
      </c>
      <c r="R298" s="150" t="str">
        <f t="shared" ca="1" si="4"/>
        <v/>
      </c>
      <c r="S298" s="722"/>
      <c r="T298" s="112"/>
      <c r="U298" s="497">
        <f ca="1">SUBTOTAL(3,Tabela13[[#This Row],[STATUS]])</f>
        <v>1</v>
      </c>
    </row>
    <row r="299" spans="1:21" ht="24" customHeight="1">
      <c r="A299" s="489">
        <v>45882</v>
      </c>
      <c r="B299" s="105">
        <v>76116</v>
      </c>
      <c r="C299" s="688" t="str">
        <f>IFERROR(VLOOKUP(Tabela13[[#This Row],[CÓD. EMPRESA]],Tabela3[[CÓDIGO
 EMPRESA ]:[EMPRESA]],2,FALSE),"")</f>
        <v>ALVORADA SISTEMA AMBIENTAL EIRELI</v>
      </c>
      <c r="D299" s="112" t="s">
        <v>342</v>
      </c>
      <c r="E299" s="112" t="s">
        <v>460</v>
      </c>
      <c r="F299" s="491">
        <v>4190</v>
      </c>
      <c r="G299" s="411">
        <v>14471</v>
      </c>
      <c r="H299" s="165" t="s">
        <v>51</v>
      </c>
      <c r="I299" s="493">
        <v>45839</v>
      </c>
      <c r="J299" s="489">
        <v>45869</v>
      </c>
      <c r="K299" s="495">
        <v>90186.93</v>
      </c>
      <c r="L299" s="398">
        <f>Tabela13[[#This Row],[VALOR
 BRUTO ]]-Tabela13[[#This Row],[VALOR 
LIQUIDO ]]</f>
        <v>8838.32</v>
      </c>
      <c r="M299" s="399">
        <f>Tabela13[[#This Row],[VALORES PAGOS 
(FORMA PAGTO)]]</f>
        <v>81348.61</v>
      </c>
      <c r="N299" s="489">
        <v>45903</v>
      </c>
      <c r="O299" s="382">
        <v>81348.61</v>
      </c>
      <c r="P299" s="493">
        <v>45951</v>
      </c>
      <c r="Q299" s="197" t="str" cm="1">
        <f t="array" aca="1" ref="Q299" ca="1">IF($P299&lt;&gt;"","PAGO",IF($N299&lt;TODAY(),"ATRASADO",IF($N299&gt;TODAY(),"NO PRAZO",IF($N299=TODAY(),"NO PRAZO",SE))))</f>
        <v>PAGO</v>
      </c>
      <c r="R299" s="150" t="str">
        <f t="shared" ca="1" si="4"/>
        <v/>
      </c>
      <c r="S299" s="241"/>
      <c r="T299" s="112"/>
      <c r="U299" s="497">
        <f ca="1">SUBTOTAL(3,Tabela13[[#This Row],[STATUS]])</f>
        <v>1</v>
      </c>
    </row>
    <row r="300" spans="1:21" ht="24" customHeight="1">
      <c r="A300" s="113">
        <v>45883</v>
      </c>
      <c r="B300" s="114">
        <v>67538</v>
      </c>
      <c r="C300" s="688" t="str">
        <f>IFERROR(VLOOKUP(Tabela13[[#This Row],[CÓD. EMPRESA]],Tabela3[[CÓDIGO
 EMPRESA ]:[EMPRESA]],2,FALSE),"")</f>
        <v>IGM2 METROLOGIA E MANUTENCAO LTDA</v>
      </c>
      <c r="D300" s="112" t="s">
        <v>344</v>
      </c>
      <c r="E300" s="112" t="s">
        <v>614</v>
      </c>
      <c r="F300" s="491">
        <v>3068</v>
      </c>
      <c r="G300" s="411">
        <v>1327</v>
      </c>
      <c r="H300" s="165" t="s">
        <v>51</v>
      </c>
      <c r="I300" s="493">
        <v>45689</v>
      </c>
      <c r="J300" s="489">
        <v>45716</v>
      </c>
      <c r="K300" s="551">
        <v>1535.16</v>
      </c>
      <c r="L300" s="398">
        <f>Tabela13[[#This Row],[VALOR
 BRUTO ]]-Tabela13[[#This Row],[VALOR 
LIQUIDO ]]</f>
        <v>0</v>
      </c>
      <c r="M300" s="399">
        <f>Tabela13[[#This Row],[VALORES PAGOS 
(FORMA PAGTO)]]</f>
        <v>1535.16</v>
      </c>
      <c r="N300" s="489">
        <v>45883</v>
      </c>
      <c r="O300" s="495">
        <v>1535.16</v>
      </c>
      <c r="P300" s="493">
        <v>45923</v>
      </c>
      <c r="Q300" s="197" t="str" cm="1">
        <f t="array" aca="1" ref="Q300" ca="1">IF($P300&lt;&gt;"","PAGO",IF($N300&lt;TODAY(),"ATRASADO",IF($N300&gt;TODAY(),"NO PRAZO",IF($N300=TODAY(),"NO PRAZO",SE))))</f>
        <v>PAGO</v>
      </c>
      <c r="R300" s="150" t="str">
        <f t="shared" ca="1" si="4"/>
        <v/>
      </c>
      <c r="S300" s="722"/>
      <c r="T300" s="112"/>
      <c r="U300" s="497">
        <f ca="1">SUBTOTAL(3,Tabela13[[#This Row],[STATUS]])</f>
        <v>1</v>
      </c>
    </row>
    <row r="301" spans="1:21" ht="24" customHeight="1">
      <c r="A301" s="113">
        <v>45883</v>
      </c>
      <c r="B301" s="114">
        <v>67538</v>
      </c>
      <c r="C301" s="688" t="str">
        <f>IFERROR(VLOOKUP(Tabela13[[#This Row],[CÓD. EMPRESA]],Tabela3[[CÓDIGO
 EMPRESA ]:[EMPRESA]],2,FALSE),"")</f>
        <v>IGM2 METROLOGIA E MANUTENCAO LTDA</v>
      </c>
      <c r="D301" s="112" t="s">
        <v>344</v>
      </c>
      <c r="E301" s="112" t="s">
        <v>614</v>
      </c>
      <c r="F301" s="491">
        <v>11819</v>
      </c>
      <c r="G301" s="411">
        <v>1371</v>
      </c>
      <c r="H301" s="165" t="s">
        <v>51</v>
      </c>
      <c r="I301" s="493">
        <v>45809</v>
      </c>
      <c r="J301" s="489">
        <v>45838</v>
      </c>
      <c r="K301" s="551">
        <v>1535.16</v>
      </c>
      <c r="L301" s="398">
        <f>Tabela13[[#This Row],[VALOR
 BRUTO ]]-Tabela13[[#This Row],[VALOR 
LIQUIDO ]]</f>
        <v>0</v>
      </c>
      <c r="M301" s="399">
        <f>Tabela13[[#This Row],[VALORES PAGOS 
(FORMA PAGTO)]]</f>
        <v>1535.16</v>
      </c>
      <c r="N301" s="489">
        <v>45906</v>
      </c>
      <c r="O301" s="495">
        <v>1535.16</v>
      </c>
      <c r="P301" s="493">
        <v>45951</v>
      </c>
      <c r="Q301" s="197" t="str" cm="1">
        <f t="array" aca="1" ref="Q301" ca="1">IF($P301&lt;&gt;"","PAGO",IF($N301&lt;TODAY(),"ATRASADO",IF($N301&gt;TODAY(),"NO PRAZO",IF($N301=TODAY(),"NO PRAZO",SE))))</f>
        <v>PAGO</v>
      </c>
      <c r="R301" s="150" t="str">
        <f t="shared" ca="1" si="4"/>
        <v/>
      </c>
      <c r="S301" s="722"/>
      <c r="T301" s="112"/>
      <c r="U301" s="497">
        <f ca="1">SUBTOTAL(3,Tabela13[[#This Row],[STATUS]])</f>
        <v>1</v>
      </c>
    </row>
    <row r="302" spans="1:21" ht="24" customHeight="1">
      <c r="A302" s="113">
        <v>45883</v>
      </c>
      <c r="B302" s="114">
        <v>67538</v>
      </c>
      <c r="C302" s="688" t="str">
        <f>IFERROR(VLOOKUP(Tabela13[[#This Row],[CÓD. EMPRESA]],Tabela3[[CÓDIGO
 EMPRESA ]:[EMPRESA]],2,FALSE),"")</f>
        <v>IGM2 METROLOGIA E MANUTENCAO LTDA</v>
      </c>
      <c r="D302" s="112" t="s">
        <v>344</v>
      </c>
      <c r="E302" s="112" t="s">
        <v>614</v>
      </c>
      <c r="F302" s="491">
        <v>11819</v>
      </c>
      <c r="G302" s="411">
        <v>1372</v>
      </c>
      <c r="H302" s="165" t="s">
        <v>51</v>
      </c>
      <c r="I302" s="493">
        <v>45839</v>
      </c>
      <c r="J302" s="489">
        <v>45869</v>
      </c>
      <c r="K302" s="385">
        <v>1535.16</v>
      </c>
      <c r="L302" s="398">
        <f>Tabela13[[#This Row],[VALOR
 BRUTO ]]-Tabela13[[#This Row],[VALOR 
LIQUIDO ]]</f>
        <v>0</v>
      </c>
      <c r="M302" s="399">
        <f>Tabela13[[#This Row],[VALORES PAGOS 
(FORMA PAGTO)]]</f>
        <v>1535.16</v>
      </c>
      <c r="N302" s="489">
        <v>45906</v>
      </c>
      <c r="O302" s="495">
        <v>1535.16</v>
      </c>
      <c r="P302" s="493">
        <v>45951</v>
      </c>
      <c r="Q302" s="197" t="str" cm="1">
        <f t="array" aca="1" ref="Q302" ca="1">IF($P302&lt;&gt;"","PAGO",IF($N302&lt;TODAY(),"ATRASADO",IF($N302&gt;TODAY(),"NO PRAZO",IF($N302=TODAY(),"NO PRAZO",SE))))</f>
        <v>PAGO</v>
      </c>
      <c r="R302" s="150" t="str">
        <f t="shared" ca="1" si="4"/>
        <v/>
      </c>
      <c r="S302" s="722"/>
      <c r="T302" s="112"/>
      <c r="U302" s="497">
        <f ca="1">SUBTOTAL(3,Tabela13[[#This Row],[STATUS]])</f>
        <v>1</v>
      </c>
    </row>
    <row r="303" spans="1:21" ht="24" customHeight="1">
      <c r="A303" s="113">
        <v>45883</v>
      </c>
      <c r="B303" s="114">
        <v>67538</v>
      </c>
      <c r="C303" s="688" t="str">
        <f>IFERROR(VLOOKUP(Tabela13[[#This Row],[CÓD. EMPRESA]],Tabela3[[CÓDIGO
 EMPRESA ]:[EMPRESA]],2,FALSE),"")</f>
        <v>IGM2 METROLOGIA E MANUTENCAO LTDA</v>
      </c>
      <c r="D303" s="112" t="s">
        <v>344</v>
      </c>
      <c r="E303" s="112" t="s">
        <v>614</v>
      </c>
      <c r="F303" s="491">
        <v>11819</v>
      </c>
      <c r="G303" s="411">
        <v>1354</v>
      </c>
      <c r="H303" s="165" t="s">
        <v>51</v>
      </c>
      <c r="I303" s="493">
        <v>45778</v>
      </c>
      <c r="J303" s="489">
        <v>45808</v>
      </c>
      <c r="K303" s="382">
        <v>1535.16</v>
      </c>
      <c r="L303" s="398">
        <f>Tabela13[[#This Row],[VALOR
 BRUTO ]]-Tabela13[[#This Row],[VALOR 
LIQUIDO ]]</f>
        <v>0</v>
      </c>
      <c r="M303" s="399">
        <f>Tabela13[[#This Row],[VALORES PAGOS 
(FORMA PAGTO)]]</f>
        <v>1535.16</v>
      </c>
      <c r="N303" s="489">
        <v>45883</v>
      </c>
      <c r="O303" s="495">
        <v>1535.16</v>
      </c>
      <c r="P303" s="493">
        <v>45923</v>
      </c>
      <c r="Q303" s="197" t="str" cm="1">
        <f t="array" aca="1" ref="Q303" ca="1">IF($P303&lt;&gt;"","PAGO",IF($N303&lt;TODAY(),"ATRASADO",IF($N303&gt;TODAY(),"NO PRAZO",IF($N303=TODAY(),"NO PRAZO",SE))))</f>
        <v>PAGO</v>
      </c>
      <c r="R303" s="150" t="str">
        <f t="shared" ca="1" si="4"/>
        <v/>
      </c>
      <c r="S303" s="722"/>
      <c r="T303" s="112"/>
      <c r="U303" s="497">
        <f ca="1">SUBTOTAL(3,Tabela13[[#This Row],[STATUS]])</f>
        <v>1</v>
      </c>
    </row>
    <row r="304" spans="1:21" ht="24" customHeight="1">
      <c r="A304" s="519">
        <v>45884</v>
      </c>
      <c r="B304" s="105">
        <v>46674</v>
      </c>
      <c r="C304" s="688" t="s">
        <v>338</v>
      </c>
      <c r="D304" s="112" t="s">
        <v>324</v>
      </c>
      <c r="E304" s="112" t="s">
        <v>437</v>
      </c>
      <c r="F304" s="491">
        <v>17167</v>
      </c>
      <c r="G304" s="411">
        <v>1729</v>
      </c>
      <c r="H304" s="165" t="s">
        <v>50</v>
      </c>
      <c r="I304" s="521">
        <v>45839</v>
      </c>
      <c r="J304" s="519">
        <v>45869</v>
      </c>
      <c r="K304" s="495">
        <v>162758.1</v>
      </c>
      <c r="L304" s="398">
        <f>Tabela13[[#This Row],[VALOR
 BRUTO ]]-Tabela13[[#This Row],[VALOR 
LIQUIDO ]]</f>
        <v>14159.94</v>
      </c>
      <c r="M304" s="399">
        <f>Tabela13[[#This Row],[VALORES PAGOS 
(FORMA PAGTO)]]</f>
        <v>148598.16</v>
      </c>
      <c r="N304" s="519">
        <v>45913</v>
      </c>
      <c r="O304" s="523">
        <v>148598.16</v>
      </c>
      <c r="P304" s="521">
        <v>45961</v>
      </c>
      <c r="Q304" s="197" t="str" cm="1">
        <f t="array" aca="1" ref="Q304" ca="1">IF($P304&lt;&gt;"","PAGO",IF($N304&lt;TODAY(),"ATRASADO",IF($N304&gt;TODAY(),"NO PRAZO",IF($N304=TODAY(),"NO PRAZO",SE))))</f>
        <v>PAGO</v>
      </c>
      <c r="R304" s="150" t="str">
        <f t="shared" ca="1" si="4"/>
        <v/>
      </c>
      <c r="S304" s="717"/>
      <c r="T304" s="112"/>
      <c r="U304" s="524">
        <f ca="1">SUBTOTAL(3,Tabela13[[#This Row],[STATUS]])</f>
        <v>1</v>
      </c>
    </row>
    <row r="305" spans="1:21" ht="24" customHeight="1">
      <c r="A305" s="546">
        <v>45887</v>
      </c>
      <c r="B305" s="105">
        <v>103747</v>
      </c>
      <c r="C305" s="688" t="str">
        <f>IFERROR(VLOOKUP(Tabela13[[#This Row],[CÓD. EMPRESA]],Tabela3[[CÓDIGO
 EMPRESA ]:[EMPRESA]],2,FALSE),"")</f>
        <v>CDR PEDREIRA CENTRO DE DISPOSIÇÃO DE RESÍDUOS LTDA</v>
      </c>
      <c r="D305" s="112" t="s">
        <v>334</v>
      </c>
      <c r="E305" s="112" t="s">
        <v>431</v>
      </c>
      <c r="F305" s="491">
        <v>11507</v>
      </c>
      <c r="G305" s="411">
        <v>3722</v>
      </c>
      <c r="H305" s="165" t="s">
        <v>51</v>
      </c>
      <c r="I305" s="521">
        <v>45839</v>
      </c>
      <c r="J305" s="519">
        <v>45869</v>
      </c>
      <c r="K305" s="495">
        <v>44350</v>
      </c>
      <c r="L305" s="398">
        <f>Tabela13[[#This Row],[VALOR
 BRUTO ]]-Tabela13[[#This Row],[VALOR 
LIQUIDO ]]</f>
        <v>0</v>
      </c>
      <c r="M305" s="399">
        <f>Tabela13[[#This Row],[VALORES PAGOS 
(FORMA PAGTO)]]</f>
        <v>44350</v>
      </c>
      <c r="N305" s="519">
        <v>45913</v>
      </c>
      <c r="O305" s="494">
        <v>44350</v>
      </c>
      <c r="P305" s="549">
        <v>45961</v>
      </c>
      <c r="Q305" s="197" t="str" cm="1">
        <f t="array" aca="1" ref="Q305" ca="1">IF($P305&lt;&gt;"","PAGO",IF($N305&lt;TODAY(),"ATRASADO",IF($N305&gt;TODAY(),"NO PRAZO",IF($N305=TODAY(),"NO PRAZO",SE))))</f>
        <v>PAGO</v>
      </c>
      <c r="R305" s="150" t="str">
        <f t="shared" ca="1" si="4"/>
        <v/>
      </c>
      <c r="S305" s="729"/>
      <c r="T305" s="112"/>
      <c r="U305" s="552">
        <f ca="1">SUBTOTAL(3,Tabela13[[#This Row],[STATUS]])</f>
        <v>1</v>
      </c>
    </row>
    <row r="306" spans="1:21" ht="24" customHeight="1">
      <c r="A306" s="546">
        <v>45887</v>
      </c>
      <c r="B306" s="105">
        <v>103747</v>
      </c>
      <c r="C306" s="688" t="str">
        <f>IFERROR(VLOOKUP(Tabela13[[#This Row],[CÓD. EMPRESA]],Tabela3[[CÓDIGO
 EMPRESA ]:[EMPRESA]],2,FALSE),"")</f>
        <v>CDR PEDREIRA CENTRO DE DISPOSIÇÃO DE RESÍDUOS LTDA</v>
      </c>
      <c r="D306" s="112" t="s">
        <v>334</v>
      </c>
      <c r="E306" s="112" t="s">
        <v>431</v>
      </c>
      <c r="F306" s="491">
        <v>13555</v>
      </c>
      <c r="G306" s="411">
        <v>3722</v>
      </c>
      <c r="H306" s="165" t="s">
        <v>51</v>
      </c>
      <c r="I306" s="521">
        <v>45839</v>
      </c>
      <c r="J306" s="519">
        <v>45869</v>
      </c>
      <c r="K306" s="551">
        <v>273526.3</v>
      </c>
      <c r="L306" s="398">
        <f>Tabela13[[#This Row],[VALOR
 BRUTO ]]-Tabela13[[#This Row],[VALOR 
LIQUIDO ]]</f>
        <v>0</v>
      </c>
      <c r="M306" s="399">
        <f>Tabela13[[#This Row],[VALORES PAGOS 
(FORMA PAGTO)]]</f>
        <v>273526.3</v>
      </c>
      <c r="N306" s="519">
        <v>45913</v>
      </c>
      <c r="O306" s="494">
        <v>273526.3</v>
      </c>
      <c r="P306" s="549">
        <v>45961</v>
      </c>
      <c r="Q306" s="197" t="str" cm="1">
        <f t="array" aca="1" ref="Q306" ca="1">IF($P306&lt;&gt;"","PAGO",IF($N306&lt;TODAY(),"ATRASADO",IF($N306&gt;TODAY(),"NO PRAZO",IF($N306=TODAY(),"NO PRAZO",SE))))</f>
        <v>PAGO</v>
      </c>
      <c r="R306" s="150" t="str">
        <f t="shared" ca="1" si="4"/>
        <v/>
      </c>
      <c r="S306" s="729"/>
      <c r="T306" s="112"/>
      <c r="U306" s="552">
        <f ca="1">SUBTOTAL(3,Tabela13[[#This Row],[STATUS]])</f>
        <v>1</v>
      </c>
    </row>
    <row r="307" spans="1:21" ht="24" customHeight="1">
      <c r="A307" s="546">
        <v>45887</v>
      </c>
      <c r="B307" s="105">
        <v>103747</v>
      </c>
      <c r="C307" s="688" t="str">
        <f>IFERROR(VLOOKUP(Tabela13[[#This Row],[CÓD. EMPRESA]],Tabela3[[CÓDIGO
 EMPRESA ]:[EMPRESA]],2,FALSE),"")</f>
        <v>CDR PEDREIRA CENTRO DE DISPOSIÇÃO DE RESÍDUOS LTDA</v>
      </c>
      <c r="D307" s="112" t="s">
        <v>334</v>
      </c>
      <c r="E307" s="112" t="s">
        <v>431</v>
      </c>
      <c r="F307" s="491">
        <v>17388</v>
      </c>
      <c r="G307" s="411">
        <v>3722</v>
      </c>
      <c r="H307" s="165" t="s">
        <v>51</v>
      </c>
      <c r="I307" s="521">
        <v>45839</v>
      </c>
      <c r="J307" s="519">
        <v>45869</v>
      </c>
      <c r="K307" s="551">
        <v>3500000</v>
      </c>
      <c r="L307" s="398">
        <v>382364.88</v>
      </c>
      <c r="M307" s="399">
        <v>2382364.88</v>
      </c>
      <c r="N307" s="519">
        <v>45913</v>
      </c>
      <c r="O307" s="494">
        <v>2000000</v>
      </c>
      <c r="P307" s="549">
        <v>45945</v>
      </c>
      <c r="Q307" s="197" t="str" cm="1">
        <f t="array" aca="1" ref="Q307" ca="1">IF($P307&lt;&gt;"","PAGO",IF($N307&lt;TODAY(),"ATRASADO",IF($N307&gt;TODAY(),"NO PRAZO",IF($N307=TODAY(),"NO PRAZO",SE))))</f>
        <v>PAGO</v>
      </c>
      <c r="R307" s="150" t="str">
        <f t="shared" ca="1" si="4"/>
        <v/>
      </c>
      <c r="S307" s="729"/>
      <c r="T307" s="112"/>
      <c r="U307" s="552">
        <f ca="1">SUBTOTAL(3,Tabela13[[#This Row],[STATUS]])</f>
        <v>1</v>
      </c>
    </row>
    <row r="308" spans="1:21" ht="24" customHeight="1">
      <c r="A308" s="546">
        <v>45887</v>
      </c>
      <c r="B308" s="105">
        <v>103747</v>
      </c>
      <c r="C308" s="688" t="str">
        <f>IFERROR(VLOOKUP(Tabela13[[#This Row],[CÓD. EMPRESA]],Tabela3[[CÓDIGO
 EMPRESA ]:[EMPRESA]],2,FALSE),"")</f>
        <v>CDR PEDREIRA CENTRO DE DISPOSIÇÃO DE RESÍDUOS LTDA</v>
      </c>
      <c r="D308" s="112" t="s">
        <v>334</v>
      </c>
      <c r="E308" s="112" t="s">
        <v>431</v>
      </c>
      <c r="F308" s="491">
        <v>18903</v>
      </c>
      <c r="G308" s="411">
        <v>3722</v>
      </c>
      <c r="H308" s="561" t="s">
        <v>51</v>
      </c>
      <c r="I308" s="521">
        <v>45839</v>
      </c>
      <c r="J308" s="519">
        <v>45869</v>
      </c>
      <c r="K308" s="385">
        <v>83806.100000000006</v>
      </c>
      <c r="L308" s="398">
        <f>Tabela13[[#This Row],[VALOR
 BRUTO ]]-Tabela13[[#This Row],[VALOR 
LIQUIDO ]]</f>
        <v>0</v>
      </c>
      <c r="M308" s="399">
        <f>Tabela13[[#This Row],[VALORES PAGOS 
(FORMA PAGTO)]]</f>
        <v>83806.100000000006</v>
      </c>
      <c r="N308" s="519">
        <v>45913</v>
      </c>
      <c r="O308" s="494">
        <v>83806.100000000006</v>
      </c>
      <c r="P308" s="549">
        <v>45961</v>
      </c>
      <c r="Q308" s="197" t="str" cm="1">
        <f t="array" aca="1" ref="Q308" ca="1">IF($P308&lt;&gt;"","PAGO",IF($N308&lt;TODAY(),"ATRASADO",IF($N308&gt;TODAY(),"NO PRAZO",IF($N308=TODAY(),"NO PRAZO",SE))))</f>
        <v>PAGO</v>
      </c>
      <c r="R308" s="150" t="str">
        <f t="shared" ca="1" si="4"/>
        <v/>
      </c>
      <c r="S308" s="729"/>
      <c r="T308" s="112"/>
      <c r="U308" s="552">
        <f ca="1">SUBTOTAL(3,Tabela13[[#This Row],[STATUS]])</f>
        <v>1</v>
      </c>
    </row>
    <row r="309" spans="1:21" ht="24" customHeight="1">
      <c r="A309" s="546">
        <v>45887</v>
      </c>
      <c r="B309" s="105">
        <v>68004</v>
      </c>
      <c r="C309" s="688" t="str">
        <f>IFERROR(VLOOKUP(Tabela13[[#This Row],[CÓD. EMPRESA]],Tabela3[[CÓDIGO
 EMPRESA ]:[EMPRESA]],2,FALSE),"")</f>
        <v>VB AMBIENTAL CONSULTORIA E PROJETOS LTDA-ME</v>
      </c>
      <c r="D309" s="112" t="s">
        <v>349</v>
      </c>
      <c r="E309" s="112" t="s">
        <v>489</v>
      </c>
      <c r="F309" s="491">
        <v>11321</v>
      </c>
      <c r="G309" s="411">
        <v>2095</v>
      </c>
      <c r="H309" s="561" t="s">
        <v>51</v>
      </c>
      <c r="I309" s="521">
        <v>45839</v>
      </c>
      <c r="J309" s="519">
        <v>45869</v>
      </c>
      <c r="K309" s="382">
        <v>5430.18</v>
      </c>
      <c r="L309" s="398">
        <f>Tabela13[[#This Row],[VALOR
 BRUTO ]]-Tabela13[[#This Row],[VALOR 
LIQUIDO ]]</f>
        <v>260.64999999999998</v>
      </c>
      <c r="M309" s="399">
        <f>Tabela13[[#This Row],[VALORES PAGOS 
(FORMA PAGTO)]]</f>
        <v>5169.53</v>
      </c>
      <c r="N309" s="546">
        <v>45907</v>
      </c>
      <c r="O309" s="494">
        <v>5169.53</v>
      </c>
      <c r="P309" s="549">
        <v>45951</v>
      </c>
      <c r="Q309" s="197" t="str" cm="1">
        <f t="array" aca="1" ref="Q309" ca="1">IF($P309&lt;&gt;"","PAGO",IF($N309&lt;TODAY(),"ATRASADO",IF($N309&gt;TODAY(),"NO PRAZO",IF($N309=TODAY(),"NO PRAZO",SE))))</f>
        <v>PAGO</v>
      </c>
      <c r="R309" s="150" t="str">
        <f t="shared" ca="1" si="4"/>
        <v/>
      </c>
      <c r="S309" s="729"/>
      <c r="T309" s="112"/>
      <c r="U309" s="552">
        <f ca="1">SUBTOTAL(3,Tabela13[[#This Row],[STATUS]])</f>
        <v>1</v>
      </c>
    </row>
    <row r="310" spans="1:21" ht="24" customHeight="1">
      <c r="A310" s="546">
        <v>45888</v>
      </c>
      <c r="B310" s="105">
        <v>42326</v>
      </c>
      <c r="C310" s="688" t="str">
        <f>IFERROR(VLOOKUP(Tabela13[[#This Row],[CÓD. EMPRESA]],Tabela3[[CÓDIGO
 EMPRESA ]:[EMPRESA]],2,FALSE),"")</f>
        <v>CASAMAX COMERCIAL E SERVICOS LTDA</v>
      </c>
      <c r="D310" s="112" t="s">
        <v>703</v>
      </c>
      <c r="E310" s="112" t="s">
        <v>615</v>
      </c>
      <c r="F310" s="491">
        <v>5709</v>
      </c>
      <c r="G310" s="411">
        <v>11366</v>
      </c>
      <c r="H310" s="561" t="s">
        <v>51</v>
      </c>
      <c r="I310" s="549">
        <v>45778</v>
      </c>
      <c r="J310" s="546">
        <v>45808</v>
      </c>
      <c r="K310" s="495">
        <v>150406.66</v>
      </c>
      <c r="L310" s="398">
        <f>Tabela13[[#This Row],[VALOR
 BRUTO ]]-Tabela13[[#This Row],[VALOR 
LIQUIDO ]]</f>
        <v>20530.509999999998</v>
      </c>
      <c r="M310" s="399">
        <f>Tabela13[[#This Row],[VALORES PAGOS 
(FORMA PAGTO)]]</f>
        <v>129876.15</v>
      </c>
      <c r="N310" s="546">
        <v>45913</v>
      </c>
      <c r="O310" s="551">
        <v>129876.15</v>
      </c>
      <c r="P310" s="549">
        <v>45989</v>
      </c>
      <c r="Q310" s="197" t="str" cm="1">
        <f t="array" aca="1" ref="Q310" ca="1">IF($P310&lt;&gt;"","PAGO",IF($N310&lt;TODAY(),"ATRASADO",IF($N310&gt;TODAY(),"NO PRAZO",IF($N310=TODAY(),"NO PRAZO",SE))))</f>
        <v>PAGO</v>
      </c>
      <c r="R310" s="150" t="str">
        <f t="shared" ca="1" si="4"/>
        <v/>
      </c>
      <c r="S310" s="729"/>
      <c r="T310" s="112"/>
      <c r="U310" s="552">
        <f ca="1">SUBTOTAL(3,Tabela13[[#This Row],[STATUS]])</f>
        <v>1</v>
      </c>
    </row>
    <row r="311" spans="1:21" ht="24" customHeight="1">
      <c r="A311" s="546">
        <v>45888</v>
      </c>
      <c r="B311" s="105">
        <v>69169</v>
      </c>
      <c r="C311" s="688" t="str">
        <f>IFERROR(VLOOKUP(Tabela13[[#This Row],[CÓD. EMPRESA]],Tabela3[[CÓDIGO
 EMPRESA ]:[EMPRESA]],2,FALSE),"")</f>
        <v>CECM PÂES LTDA</v>
      </c>
      <c r="D311" s="112" t="s">
        <v>429</v>
      </c>
      <c r="E311" s="112" t="s">
        <v>450</v>
      </c>
      <c r="F311" s="491">
        <v>3881</v>
      </c>
      <c r="G311" s="411">
        <v>19541</v>
      </c>
      <c r="H311" s="165" t="s">
        <v>51</v>
      </c>
      <c r="I311" s="549"/>
      <c r="J311" s="546"/>
      <c r="K311" s="495">
        <v>8091.9</v>
      </c>
      <c r="L311" s="398">
        <f>Tabela13[[#This Row],[VALOR
 BRUTO ]]-Tabela13[[#This Row],[VALOR 
LIQUIDO ]]</f>
        <v>0</v>
      </c>
      <c r="M311" s="399">
        <f>Tabela13[[#This Row],[VALORES PAGOS 
(FORMA PAGTO)]]</f>
        <v>8091.9</v>
      </c>
      <c r="N311" s="546">
        <v>45917</v>
      </c>
      <c r="O311" s="551">
        <v>8091.9</v>
      </c>
      <c r="P311" s="549">
        <v>45951</v>
      </c>
      <c r="Q311" s="197" t="str" cm="1">
        <f t="array" aca="1" ref="Q311" ca="1">IF($P311&lt;&gt;"","PAGO",IF($N311&lt;TODAY(),"ATRASADO",IF($N311&gt;TODAY(),"NO PRAZO",IF($N311=TODAY(),"NO PRAZO",SE))))</f>
        <v>PAGO</v>
      </c>
      <c r="R311" s="150" t="str">
        <f t="shared" ca="1" si="4"/>
        <v/>
      </c>
      <c r="S311" s="729"/>
      <c r="T311" s="635"/>
      <c r="U311" s="552">
        <f ca="1">SUBTOTAL(3,Tabela13[[#This Row],[STATUS]])</f>
        <v>1</v>
      </c>
    </row>
    <row r="312" spans="1:21" ht="24" customHeight="1">
      <c r="A312" s="546">
        <v>45894</v>
      </c>
      <c r="B312" s="105">
        <v>51481</v>
      </c>
      <c r="C312" s="688" t="str">
        <f>IFERROR(VLOOKUP(Tabela13[[#This Row],[CÓD. EMPRESA]],Tabela3[[CÓDIGO
 EMPRESA ]:[EMPRESA]],2,FALSE),"")</f>
        <v>LIGA INDUSTRIA E COMÉRCIO DE MATERIAL PARA CONSTRUÇÃO LTDA .</v>
      </c>
      <c r="D312" s="112" t="s">
        <v>660</v>
      </c>
      <c r="E312" s="112" t="s">
        <v>561</v>
      </c>
      <c r="F312" s="491">
        <v>11414</v>
      </c>
      <c r="G312" s="411">
        <v>86</v>
      </c>
      <c r="H312" s="561" t="s">
        <v>50</v>
      </c>
      <c r="I312" s="549"/>
      <c r="J312" s="546"/>
      <c r="K312" s="495">
        <v>3920</v>
      </c>
      <c r="L312" s="398">
        <f>Tabela13[[#This Row],[VALOR
 BRUTO ]]-Tabela13[[#This Row],[VALOR 
LIQUIDO ]]</f>
        <v>125.44</v>
      </c>
      <c r="M312" s="399">
        <f>Tabela13[[#This Row],[VALORES PAGOS 
(FORMA PAGTO)]]</f>
        <v>3794.56</v>
      </c>
      <c r="N312" s="546">
        <v>45899</v>
      </c>
      <c r="O312" s="495">
        <v>3794.56</v>
      </c>
      <c r="P312" s="549">
        <v>45923</v>
      </c>
      <c r="Q312" s="197" t="str" cm="1">
        <f t="array" aca="1" ref="Q312" ca="1">IF($P312&lt;&gt;"","PAGO",IF($N312&lt;TODAY(),"ATRASADO",IF($N312&gt;TODAY(),"NO PRAZO",IF($N312=TODAY(),"NO PRAZO",SE))))</f>
        <v>PAGO</v>
      </c>
      <c r="R312" s="150" t="str">
        <f t="shared" ca="1" si="4"/>
        <v/>
      </c>
      <c r="S312" s="729"/>
      <c r="T312" s="112"/>
      <c r="U312" s="552">
        <f ca="1">SUBTOTAL(3,Tabela13[[#This Row],[STATUS]])</f>
        <v>1</v>
      </c>
    </row>
    <row r="313" spans="1:21" ht="24" customHeight="1">
      <c r="A313" s="546">
        <v>45894</v>
      </c>
      <c r="B313" s="105">
        <v>51481</v>
      </c>
      <c r="C313" s="688" t="str">
        <f>IFERROR(VLOOKUP(Tabela13[[#This Row],[CÓD. EMPRESA]],Tabela3[[CÓDIGO
 EMPRESA ]:[EMPRESA]],2,FALSE),"")</f>
        <v>LIGA INDUSTRIA E COMÉRCIO DE MATERIAL PARA CONSTRUÇÃO LTDA .</v>
      </c>
      <c r="D313" s="112" t="s">
        <v>660</v>
      </c>
      <c r="E313" s="112" t="s">
        <v>561</v>
      </c>
      <c r="F313" s="491">
        <v>11414</v>
      </c>
      <c r="G313" s="411">
        <v>87</v>
      </c>
      <c r="H313" s="165" t="s">
        <v>51</v>
      </c>
      <c r="I313" s="549"/>
      <c r="J313" s="546"/>
      <c r="K313" s="495">
        <v>3920</v>
      </c>
      <c r="L313" s="398">
        <f>Tabela13[[#This Row],[VALOR
 BRUTO ]]-Tabela13[[#This Row],[VALOR 
LIQUIDO ]]</f>
        <v>125.44</v>
      </c>
      <c r="M313" s="399">
        <f>Tabela13[[#This Row],[VALORES PAGOS 
(FORMA PAGTO)]]</f>
        <v>3794.56</v>
      </c>
      <c r="N313" s="546">
        <v>45904</v>
      </c>
      <c r="O313" s="551">
        <v>3794.56</v>
      </c>
      <c r="P313" s="549">
        <v>45951</v>
      </c>
      <c r="Q313" s="197" t="str" cm="1">
        <f t="array" aca="1" ref="Q313" ca="1">IF($P313&lt;&gt;"","PAGO",IF($N313&lt;TODAY(),"ATRASADO",IF($N313&gt;TODAY(),"NO PRAZO",IF($N313=TODAY(),"NO PRAZO",SE))))</f>
        <v>PAGO</v>
      </c>
      <c r="R313" s="150" t="str">
        <f t="shared" ca="1" si="4"/>
        <v/>
      </c>
      <c r="S313" s="729"/>
      <c r="T313" s="112"/>
      <c r="U313" s="552">
        <f ca="1">SUBTOTAL(3,Tabela13[[#This Row],[STATUS]])</f>
        <v>1</v>
      </c>
    </row>
    <row r="314" spans="1:21" ht="24" customHeight="1">
      <c r="A314" s="546">
        <v>45894</v>
      </c>
      <c r="B314" s="105">
        <v>60979</v>
      </c>
      <c r="C314" s="688" t="str">
        <f>IFERROR(VLOOKUP(Tabela13[[#This Row],[CÓD. EMPRESA]],Tabela3[[CÓDIGO
 EMPRESA ]:[EMPRESA]],2,FALSE),"")</f>
        <v>SILCON AMBIENTAL S/A</v>
      </c>
      <c r="D314" s="112" t="s">
        <v>355</v>
      </c>
      <c r="E314" s="112" t="s">
        <v>463</v>
      </c>
      <c r="F314" s="491">
        <v>13556</v>
      </c>
      <c r="G314" s="411">
        <v>39562</v>
      </c>
      <c r="H314" s="561" t="s">
        <v>51</v>
      </c>
      <c r="I314" s="549">
        <v>45839</v>
      </c>
      <c r="J314" s="546">
        <v>45869</v>
      </c>
      <c r="K314" s="551">
        <v>3567.48</v>
      </c>
      <c r="L314" s="398">
        <f>Tabela13[[#This Row],[VALOR
 BRUTO ]]-Tabela13[[#This Row],[VALOR 
LIQUIDO ]]</f>
        <v>742.03</v>
      </c>
      <c r="M314" s="399">
        <f>Tabela13[[#This Row],[VALORES PAGOS 
(FORMA PAGTO)]]</f>
        <v>2825.45</v>
      </c>
      <c r="N314" s="546">
        <v>45920</v>
      </c>
      <c r="O314" s="551">
        <v>2825.45</v>
      </c>
      <c r="P314" s="549">
        <v>45951</v>
      </c>
      <c r="Q314" s="197" t="str" cm="1">
        <f t="array" aca="1" ref="Q314" ca="1">IF($P314&lt;&gt;"","PAGO",IF($N314&lt;TODAY(),"ATRASADO",IF($N314&gt;TODAY(),"NO PRAZO",IF($N314=TODAY(),"NO PRAZO",SE))))</f>
        <v>PAGO</v>
      </c>
      <c r="R314" s="150" t="str">
        <f t="shared" ca="1" si="4"/>
        <v/>
      </c>
      <c r="S314" s="729"/>
      <c r="T314" s="112"/>
      <c r="U314" s="552">
        <f ca="1">SUBTOTAL(3,Tabela13[[#This Row],[STATUS]])</f>
        <v>1</v>
      </c>
    </row>
    <row r="315" spans="1:21" ht="24" customHeight="1">
      <c r="A315" s="546">
        <v>45894</v>
      </c>
      <c r="B315" s="105">
        <v>54615</v>
      </c>
      <c r="C315" s="688" t="str">
        <f>IFERROR(VLOOKUP(Tabela13[[#This Row],[CÓD. EMPRESA]],Tabela3[[CÓDIGO
 EMPRESA ]:[EMPRESA]],2,FALSE),"")</f>
        <v>NEO-TAGUS COMERCIO E ASSISTENCIA TECNICA LTDA</v>
      </c>
      <c r="D315" s="112" t="s">
        <v>133</v>
      </c>
      <c r="E315" s="112" t="s">
        <v>442</v>
      </c>
      <c r="F315" s="491">
        <v>7400</v>
      </c>
      <c r="G315" s="411">
        <v>9352</v>
      </c>
      <c r="H315" s="165" t="s">
        <v>50</v>
      </c>
      <c r="I315" s="549">
        <v>45805</v>
      </c>
      <c r="J315" s="546">
        <v>45835</v>
      </c>
      <c r="K315" s="551">
        <v>4233</v>
      </c>
      <c r="L315" s="398">
        <f>Tabela13[[#This Row],[VALOR
 BRUTO ]]-Tabela13[[#This Row],[VALOR 
LIQUIDO ]]</f>
        <v>203.18</v>
      </c>
      <c r="M315" s="399">
        <f>Tabela13[[#This Row],[VALORES PAGOS 
(FORMA PAGTO)]]</f>
        <v>4029.82</v>
      </c>
      <c r="N315" s="546">
        <v>45894</v>
      </c>
      <c r="O315" s="551">
        <v>4029.82</v>
      </c>
      <c r="P315" s="549">
        <v>45923</v>
      </c>
      <c r="Q315" s="197" t="str" cm="1">
        <f t="array" aca="1" ref="Q315" ca="1">IF($P315&lt;&gt;"","PAGO",IF($N315&lt;TODAY(),"ATRASADO",IF($N315&gt;TODAY(),"NO PRAZO",IF($N315=TODAY(),"NO PRAZO",SE))))</f>
        <v>PAGO</v>
      </c>
      <c r="R315" s="150" t="str">
        <f t="shared" ca="1" si="4"/>
        <v/>
      </c>
      <c r="S315" s="729"/>
      <c r="T315" s="112"/>
      <c r="U315" s="552">
        <f ca="1">SUBTOTAL(3,Tabela13[[#This Row],[STATUS]])</f>
        <v>1</v>
      </c>
    </row>
    <row r="316" spans="1:21" ht="24" customHeight="1">
      <c r="A316" s="546">
        <v>45894</v>
      </c>
      <c r="B316" s="105">
        <v>54615</v>
      </c>
      <c r="C316" s="688" t="str">
        <f>IFERROR(VLOOKUP(Tabela13[[#This Row],[CÓD. EMPRESA]],Tabela3[[CÓDIGO
 EMPRESA ]:[EMPRESA]],2,FALSE),"")</f>
        <v>NEO-TAGUS COMERCIO E ASSISTENCIA TECNICA LTDA</v>
      </c>
      <c r="D316" s="112" t="s">
        <v>133</v>
      </c>
      <c r="E316" s="112" t="s">
        <v>442</v>
      </c>
      <c r="F316" s="491">
        <v>7400</v>
      </c>
      <c r="G316" s="411">
        <v>9439</v>
      </c>
      <c r="H316" s="165" t="s">
        <v>51</v>
      </c>
      <c r="I316" s="549">
        <v>45836</v>
      </c>
      <c r="J316" s="546">
        <v>45865</v>
      </c>
      <c r="K316" s="385">
        <v>498</v>
      </c>
      <c r="L316" s="398">
        <f>Tabela13[[#This Row],[VALOR
 BRUTO ]]-Tabela13[[#This Row],[VALOR 
LIQUIDO ]]</f>
        <v>0</v>
      </c>
      <c r="M316" s="399">
        <f>Tabela13[[#This Row],[VALORES PAGOS 
(FORMA PAGTO)]]</f>
        <v>498</v>
      </c>
      <c r="N316" s="546">
        <v>45896</v>
      </c>
      <c r="O316" s="551">
        <v>498</v>
      </c>
      <c r="P316" s="549">
        <v>45923</v>
      </c>
      <c r="Q316" s="197" t="str" cm="1">
        <f t="array" aca="1" ref="Q316" ca="1">IF($P316&lt;&gt;"","PAGO",IF($N316&lt;TODAY(),"ATRASADO",IF($N316&gt;TODAY(),"NO PRAZO",IF($N316=TODAY(),"NO PRAZO",SE))))</f>
        <v>PAGO</v>
      </c>
      <c r="R316" s="150" t="str">
        <f t="shared" ca="1" si="4"/>
        <v/>
      </c>
      <c r="S316" s="729"/>
      <c r="T316" s="112"/>
      <c r="U316" s="552">
        <f ca="1">SUBTOTAL(3,Tabela13[[#This Row],[STATUS]])</f>
        <v>1</v>
      </c>
    </row>
    <row r="317" spans="1:21" ht="24" customHeight="1">
      <c r="A317" s="546">
        <v>45894</v>
      </c>
      <c r="B317" s="105">
        <v>54615</v>
      </c>
      <c r="C317" s="688" t="str">
        <f>IFERROR(VLOOKUP(Tabela13[[#This Row],[CÓD. EMPRESA]],Tabela3[[CÓDIGO
 EMPRESA ]:[EMPRESA]],2,FALSE),"")</f>
        <v>NEO-TAGUS COMERCIO E ASSISTENCIA TECNICA LTDA</v>
      </c>
      <c r="D317" s="112" t="s">
        <v>133</v>
      </c>
      <c r="E317" s="112" t="s">
        <v>442</v>
      </c>
      <c r="F317" s="491">
        <v>9360</v>
      </c>
      <c r="G317" s="411">
        <v>9439</v>
      </c>
      <c r="H317" s="165" t="s">
        <v>50</v>
      </c>
      <c r="I317" s="549">
        <v>45836</v>
      </c>
      <c r="J317" s="546">
        <v>45865</v>
      </c>
      <c r="K317" s="382">
        <v>3735</v>
      </c>
      <c r="L317" s="398">
        <f>Tabela13[[#This Row],[VALOR
 BRUTO ]]-Tabela13[[#This Row],[VALOR 
LIQUIDO ]]</f>
        <v>203.18</v>
      </c>
      <c r="M317" s="399">
        <f>Tabela13[[#This Row],[VALORES PAGOS 
(FORMA PAGTO)]]</f>
        <v>3531.82</v>
      </c>
      <c r="N317" s="546">
        <v>45896</v>
      </c>
      <c r="O317" s="551">
        <v>3531.82</v>
      </c>
      <c r="P317" s="549">
        <v>45923</v>
      </c>
      <c r="Q317" s="197" t="str" cm="1">
        <f t="array" aca="1" ref="Q317" ca="1">IF($P317&lt;&gt;"","PAGO",IF($N317&lt;TODAY(),"ATRASADO",IF($N317&gt;TODAY(),"NO PRAZO",IF($N317=TODAY(),"NO PRAZO",SE))))</f>
        <v>PAGO</v>
      </c>
      <c r="R317" s="150" t="str">
        <f t="shared" ca="1" si="4"/>
        <v/>
      </c>
      <c r="S317" s="729"/>
      <c r="T317" s="112"/>
      <c r="U317" s="552">
        <f ca="1">SUBTOTAL(3,Tabela13[[#This Row],[STATUS]])</f>
        <v>1</v>
      </c>
    </row>
    <row r="318" spans="1:21" ht="24" customHeight="1">
      <c r="A318" s="546">
        <v>45894</v>
      </c>
      <c r="B318" s="105">
        <v>51481</v>
      </c>
      <c r="C318" s="688" t="str">
        <f>IFERROR(VLOOKUP(Tabela13[[#This Row],[CÓD. EMPRESA]],Tabela3[[CÓDIGO
 EMPRESA ]:[EMPRESA]],2,FALSE),"")</f>
        <v>LIGA INDUSTRIA E COMÉRCIO DE MATERIAL PARA CONSTRUÇÃO LTDA .</v>
      </c>
      <c r="D318" s="112" t="s">
        <v>660</v>
      </c>
      <c r="E318" s="112" t="s">
        <v>561</v>
      </c>
      <c r="F318" s="491">
        <v>11414</v>
      </c>
      <c r="G318" s="411">
        <v>88</v>
      </c>
      <c r="H318" s="561" t="s">
        <v>51</v>
      </c>
      <c r="I318" s="549"/>
      <c r="J318" s="546"/>
      <c r="K318" s="551">
        <v>2800</v>
      </c>
      <c r="L318" s="398">
        <f>Tabela13[[#This Row],[VALOR
 BRUTO ]]-Tabela13[[#This Row],[VALOR 
LIQUIDO ]]</f>
        <v>89.6</v>
      </c>
      <c r="M318" s="399">
        <f>Tabela13[[#This Row],[VALORES PAGOS 
(FORMA PAGTO)]]</f>
        <v>2710.4</v>
      </c>
      <c r="N318" s="546">
        <v>45907</v>
      </c>
      <c r="O318" s="551">
        <v>2710.4</v>
      </c>
      <c r="P318" s="549">
        <v>45951</v>
      </c>
      <c r="Q318" s="197" t="str" cm="1">
        <f t="array" aca="1" ref="Q318" ca="1">IF($P318&lt;&gt;"","PAGO",IF($N318&lt;TODAY(),"ATRASADO",IF($N318&gt;TODAY(),"NO PRAZO",IF($N318=TODAY(),"NO PRAZO",SE))))</f>
        <v>PAGO</v>
      </c>
      <c r="R318" s="150" t="str">
        <f t="shared" ca="1" si="4"/>
        <v/>
      </c>
      <c r="S318" s="729"/>
      <c r="T318" s="112"/>
      <c r="U318" s="552">
        <f ca="1">SUBTOTAL(3,Tabela13[[#This Row],[STATUS]])</f>
        <v>1</v>
      </c>
    </row>
    <row r="319" spans="1:21" ht="24" customHeight="1">
      <c r="A319" s="113">
        <v>45894</v>
      </c>
      <c r="B319" s="105">
        <v>51481</v>
      </c>
      <c r="C319" s="688" t="str">
        <f>IFERROR(VLOOKUP(Tabela13[[#This Row],[CÓD. EMPRESA]],Tabela3[[CÓDIGO
 EMPRESA ]:[EMPRESA]],2,FALSE),"")</f>
        <v>LIGA INDUSTRIA E COMÉRCIO DE MATERIAL PARA CONSTRUÇÃO LTDA .</v>
      </c>
      <c r="D319" s="112" t="s">
        <v>660</v>
      </c>
      <c r="E319" s="112" t="s">
        <v>561</v>
      </c>
      <c r="F319" s="491">
        <v>11414</v>
      </c>
      <c r="G319" s="411">
        <v>89</v>
      </c>
      <c r="H319" s="165" t="s">
        <v>51</v>
      </c>
      <c r="I319" s="147"/>
      <c r="J319" s="113"/>
      <c r="K319" s="551">
        <v>2240</v>
      </c>
      <c r="L319" s="398">
        <f>Tabela13[[#This Row],[VALOR
 BRUTO ]]-Tabela13[[#This Row],[VALOR 
LIQUIDO ]]</f>
        <v>71.680000000000007</v>
      </c>
      <c r="M319" s="399">
        <f>Tabela13[[#This Row],[VALORES PAGOS 
(FORMA PAGTO)]]</f>
        <v>2168.3200000000002</v>
      </c>
      <c r="N319" s="113">
        <v>45907</v>
      </c>
      <c r="O319" s="385">
        <v>2168.3200000000002</v>
      </c>
      <c r="P319" s="147">
        <v>45951</v>
      </c>
      <c r="Q319" s="197" t="str" cm="1">
        <f t="array" aca="1" ref="Q319" ca="1">IF($P319&lt;&gt;"","PAGO",IF($N319&lt;TODAY(),"ATRASADO",IF($N319&gt;TODAY(),"NO PRAZO",IF($N319=TODAY(),"NO PRAZO",SE))))</f>
        <v>PAGO</v>
      </c>
      <c r="R319" s="150" t="str">
        <f t="shared" ca="1" si="4"/>
        <v/>
      </c>
      <c r="S319" s="241"/>
      <c r="T319" s="112"/>
      <c r="U319" s="259">
        <f ca="1">SUBTOTAL(3,Tabela13[[#This Row],[STATUS]])</f>
        <v>1</v>
      </c>
    </row>
    <row r="320" spans="1:21" ht="24" customHeight="1">
      <c r="A320" s="113">
        <v>45894</v>
      </c>
      <c r="B320" s="105">
        <v>51481</v>
      </c>
      <c r="C320" s="688" t="str">
        <f>IFERROR(VLOOKUP(Tabela13[[#This Row],[CÓD. EMPRESA]],Tabela3[[CÓDIGO
 EMPRESA ]:[EMPRESA]],2,FALSE),"")</f>
        <v>LIGA INDUSTRIA E COMÉRCIO DE MATERIAL PARA CONSTRUÇÃO LTDA .</v>
      </c>
      <c r="D320" s="112" t="s">
        <v>660</v>
      </c>
      <c r="E320" s="112" t="s">
        <v>561</v>
      </c>
      <c r="F320" s="491">
        <v>18360</v>
      </c>
      <c r="G320" s="411">
        <v>90</v>
      </c>
      <c r="H320" s="165" t="s">
        <v>51</v>
      </c>
      <c r="I320" s="147"/>
      <c r="J320" s="113"/>
      <c r="K320" s="385">
        <v>2240</v>
      </c>
      <c r="L320" s="398">
        <f>Tabela13[[#This Row],[VALOR
 BRUTO ]]-Tabela13[[#This Row],[VALOR 
LIQUIDO ]]</f>
        <v>71.680000000000007</v>
      </c>
      <c r="M320" s="399">
        <f>Tabela13[[#This Row],[VALORES PAGOS 
(FORMA PAGTO)]]</f>
        <v>2168.3200000000002</v>
      </c>
      <c r="N320" s="113">
        <v>45913</v>
      </c>
      <c r="O320" s="385">
        <v>2168.3200000000002</v>
      </c>
      <c r="P320" s="147">
        <v>45951</v>
      </c>
      <c r="Q320" s="197" t="str" cm="1">
        <f t="array" aca="1" ref="Q320" ca="1">IF($P320&lt;&gt;"","PAGO",IF($N320&lt;TODAY(),"ATRASADO",IF($N320&gt;TODAY(),"NO PRAZO",IF($N320=TODAY(),"NO PRAZO",SE))))</f>
        <v>PAGO</v>
      </c>
      <c r="R320" s="150" t="str">
        <f t="shared" ca="1" si="4"/>
        <v/>
      </c>
      <c r="S320" s="241"/>
      <c r="T320" s="112"/>
      <c r="U320" s="259">
        <f ca="1">SUBTOTAL(3,Tabela13[[#This Row],[STATUS]])</f>
        <v>1</v>
      </c>
    </row>
    <row r="321" spans="1:21" ht="24" customHeight="1">
      <c r="A321" s="113">
        <v>45894</v>
      </c>
      <c r="B321" s="105">
        <v>60979</v>
      </c>
      <c r="C321" s="688" t="str">
        <f>IFERROR(VLOOKUP(Tabela13[[#This Row],[CÓD. EMPRESA]],Tabela3[[CÓDIGO
 EMPRESA ]:[EMPRESA]],2,FALSE),"")</f>
        <v>SILCON AMBIENTAL S/A</v>
      </c>
      <c r="D321" s="112" t="s">
        <v>355</v>
      </c>
      <c r="E321" s="112" t="s">
        <v>463</v>
      </c>
      <c r="F321" s="491">
        <v>13556</v>
      </c>
      <c r="G321" s="411">
        <v>39558</v>
      </c>
      <c r="H321" s="165" t="s">
        <v>51</v>
      </c>
      <c r="I321" s="147">
        <v>45839</v>
      </c>
      <c r="J321" s="113">
        <v>45869</v>
      </c>
      <c r="K321" s="401">
        <v>348649.56</v>
      </c>
      <c r="L321" s="398">
        <f>Tabela13[[#This Row],[VALOR
 BRUTO ]]-Tabela13[[#This Row],[VALOR 
LIQUIDO ]]</f>
        <v>16735.18</v>
      </c>
      <c r="M321" s="399">
        <f>Tabela13[[#This Row],[VALORES PAGOS 
(FORMA PAGTO)]]</f>
        <v>331914.38</v>
      </c>
      <c r="N321" s="113">
        <v>45920</v>
      </c>
      <c r="O321" s="385">
        <v>331914.38</v>
      </c>
      <c r="P321" s="147">
        <v>45972</v>
      </c>
      <c r="Q321" s="197" t="str" cm="1">
        <f t="array" aca="1" ref="Q321" ca="1">IF($P321&lt;&gt;"","PAGO",IF($N321&lt;TODAY(),"ATRASADO",IF($N321&gt;TODAY(),"NO PRAZO",IF($N321=TODAY(),"NO PRAZO",SE))))</f>
        <v>PAGO</v>
      </c>
      <c r="R321" s="150" t="str">
        <f t="shared" ca="1" si="4"/>
        <v/>
      </c>
      <c r="S321" s="241"/>
      <c r="T321" s="112"/>
      <c r="U321" s="259">
        <f ca="1">SUBTOTAL(3,Tabela13[[#This Row],[STATUS]])</f>
        <v>1</v>
      </c>
    </row>
    <row r="322" spans="1:21" ht="24" customHeight="1">
      <c r="A322" s="113">
        <v>45894</v>
      </c>
      <c r="B322" s="105">
        <v>60979</v>
      </c>
      <c r="C322" s="688" t="str">
        <f>IFERROR(VLOOKUP(Tabela13[[#This Row],[CÓD. EMPRESA]],Tabela3[[CÓDIGO
 EMPRESA ]:[EMPRESA]],2,FALSE),"")</f>
        <v>SILCON AMBIENTAL S/A</v>
      </c>
      <c r="D322" s="112" t="s">
        <v>355</v>
      </c>
      <c r="E322" s="112" t="s">
        <v>463</v>
      </c>
      <c r="F322" s="196">
        <v>13556</v>
      </c>
      <c r="G322" s="411">
        <v>39561</v>
      </c>
      <c r="H322" s="165" t="s">
        <v>51</v>
      </c>
      <c r="I322" s="147">
        <v>45839</v>
      </c>
      <c r="J322" s="113">
        <v>45869</v>
      </c>
      <c r="K322" s="401">
        <v>5351.22</v>
      </c>
      <c r="L322" s="398">
        <f>Tabela13[[#This Row],[VALOR
 BRUTO ]]-Tabela13[[#This Row],[VALOR 
LIQUIDO ]]</f>
        <v>256.86</v>
      </c>
      <c r="M322" s="399">
        <f>Tabela13[[#This Row],[VALORES PAGOS 
(FORMA PAGTO)]]</f>
        <v>5094.3599999999997</v>
      </c>
      <c r="N322" s="113">
        <v>45920</v>
      </c>
      <c r="O322" s="385">
        <v>5094.3599999999997</v>
      </c>
      <c r="P322" s="147">
        <v>45951</v>
      </c>
      <c r="Q322" s="197" t="str" cm="1">
        <f t="array" aca="1" ref="Q322" ca="1">IF($P322&lt;&gt;"","PAGO",IF($N322&lt;TODAY(),"ATRASADO",IF($N322&gt;TODAY(),"NO PRAZO",IF($N322=TODAY(),"NO PRAZO",SE))))</f>
        <v>PAGO</v>
      </c>
      <c r="R322" s="150" t="str">
        <f t="shared" ca="1" si="4"/>
        <v/>
      </c>
      <c r="S322" s="241"/>
      <c r="T322" s="112"/>
      <c r="U322" s="259">
        <f ca="1">SUBTOTAL(3,Tabela13[[#This Row],[STATUS]])</f>
        <v>1</v>
      </c>
    </row>
    <row r="323" spans="1:21" ht="24" customHeight="1">
      <c r="A323" s="113">
        <v>45894</v>
      </c>
      <c r="B323" s="105">
        <v>60979</v>
      </c>
      <c r="C323" s="688" t="str">
        <f>IFERROR(VLOOKUP(Tabela13[[#This Row],[CÓD. EMPRESA]],Tabela3[[CÓDIGO
 EMPRESA ]:[EMPRESA]],2,FALSE),"")</f>
        <v>SILCON AMBIENTAL S/A</v>
      </c>
      <c r="D323" s="112" t="s">
        <v>355</v>
      </c>
      <c r="E323" s="112" t="s">
        <v>463</v>
      </c>
      <c r="F323" s="491">
        <v>13556</v>
      </c>
      <c r="G323" s="411">
        <v>39563</v>
      </c>
      <c r="H323" s="165" t="s">
        <v>51</v>
      </c>
      <c r="I323" s="147">
        <v>45839</v>
      </c>
      <c r="J323" s="113">
        <v>45869</v>
      </c>
      <c r="K323" s="550">
        <v>185641.27</v>
      </c>
      <c r="L323" s="398">
        <f>Tabela13[[#This Row],[VALOR
 BRUTO ]]-Tabela13[[#This Row],[VALOR 
LIQUIDO ]]</f>
        <v>48346.07</v>
      </c>
      <c r="M323" s="399">
        <f>Tabela13[[#This Row],[VALORES PAGOS 
(FORMA PAGTO)]]</f>
        <v>137295.20000000001</v>
      </c>
      <c r="N323" s="113">
        <v>45920</v>
      </c>
      <c r="O323" s="385">
        <v>137295.20000000001</v>
      </c>
      <c r="P323" s="147">
        <v>45972</v>
      </c>
      <c r="Q323" s="197" t="str" cm="1">
        <f t="array" aca="1" ref="Q323" ca="1">IF($P323&lt;&gt;"","PAGO",IF($N323&lt;TODAY(),"ATRASADO",IF($N323&gt;TODAY(),"NO PRAZO",IF($N323=TODAY(),"NO PRAZO",SE))))</f>
        <v>PAGO</v>
      </c>
      <c r="R323" s="150" t="str">
        <f t="shared" ca="1" si="4"/>
        <v/>
      </c>
      <c r="S323" s="241"/>
      <c r="T323" s="112"/>
      <c r="U323" s="259">
        <f ca="1">SUBTOTAL(3,Tabela13[[#This Row],[STATUS]])</f>
        <v>1</v>
      </c>
    </row>
    <row r="324" spans="1:21" ht="24" customHeight="1">
      <c r="A324" s="113">
        <v>45894</v>
      </c>
      <c r="B324" s="105">
        <v>60979</v>
      </c>
      <c r="C324" s="688" t="str">
        <f>IFERROR(VLOOKUP(Tabela13[[#This Row],[CÓD. EMPRESA]],Tabela3[[CÓDIGO
 EMPRESA ]:[EMPRESA]],2,FALSE),"")</f>
        <v>SILCON AMBIENTAL S/A</v>
      </c>
      <c r="D324" s="112" t="s">
        <v>355</v>
      </c>
      <c r="E324" s="112" t="s">
        <v>463</v>
      </c>
      <c r="F324" s="491">
        <v>17162</v>
      </c>
      <c r="G324" s="411">
        <v>39563</v>
      </c>
      <c r="H324" s="165" t="s">
        <v>51</v>
      </c>
      <c r="I324" s="147">
        <v>45839</v>
      </c>
      <c r="J324" s="113">
        <v>45869</v>
      </c>
      <c r="K324" s="401">
        <v>46791.77</v>
      </c>
      <c r="L324" s="398">
        <f>Tabela13[[#This Row],[VALOR
 BRUTO ]]-Tabela13[[#This Row],[VALOR 
LIQUIDO ]]</f>
        <v>0</v>
      </c>
      <c r="M324" s="399">
        <f>Tabela13[[#This Row],[VALORES PAGOS 
(FORMA PAGTO)]]</f>
        <v>46791.77</v>
      </c>
      <c r="N324" s="113">
        <v>45920</v>
      </c>
      <c r="O324" s="385">
        <v>46791.77</v>
      </c>
      <c r="P324" s="147">
        <v>45972</v>
      </c>
      <c r="Q324" s="197" t="str" cm="1">
        <f t="array" aca="1" ref="Q324" ca="1">IF($P324&lt;&gt;"","PAGO",IF($N324&lt;TODAY(),"ATRASADO",IF($N324&gt;TODAY(),"NO PRAZO",IF($N324=TODAY(),"NO PRAZO",SE))))</f>
        <v>PAGO</v>
      </c>
      <c r="R324" s="150" t="str">
        <f t="shared" ca="1" si="4"/>
        <v/>
      </c>
      <c r="S324" s="241"/>
      <c r="T324" s="112"/>
      <c r="U324" s="259">
        <f ca="1">SUBTOTAL(3,Tabela13[[#This Row],[STATUS]])</f>
        <v>1</v>
      </c>
    </row>
    <row r="325" spans="1:21" ht="24" customHeight="1">
      <c r="A325" s="546">
        <v>45902</v>
      </c>
      <c r="B325" s="105">
        <v>67538</v>
      </c>
      <c r="C325" s="688" t="str">
        <f>IFERROR(VLOOKUP(Tabela13[[#This Row],[CÓD. EMPRESA]],Tabela3[[CÓDIGO
 EMPRESA ]:[EMPRESA]],2,FALSE),"")</f>
        <v>IGM2 METROLOGIA E MANUTENCAO LTDA</v>
      </c>
      <c r="D325" s="112" t="s">
        <v>344</v>
      </c>
      <c r="E325" s="112" t="s">
        <v>614</v>
      </c>
      <c r="F325" s="491">
        <v>19697</v>
      </c>
      <c r="G325" s="411">
        <v>1379</v>
      </c>
      <c r="H325" s="165" t="s">
        <v>51</v>
      </c>
      <c r="I325" s="549"/>
      <c r="J325" s="546"/>
      <c r="K325" s="401">
        <v>1535.16</v>
      </c>
      <c r="L325" s="398">
        <f>Tabela13[[#This Row],[VALOR
 BRUTO ]]-Tabela13[[#This Row],[VALOR 
LIQUIDO ]]</f>
        <v>0</v>
      </c>
      <c r="M325" s="399">
        <f>Tabela13[[#This Row],[VALORES PAGOS 
(FORMA PAGTO)]]</f>
        <v>1535.16</v>
      </c>
      <c r="N325" s="546">
        <v>45901</v>
      </c>
      <c r="O325" s="385">
        <v>1535.16</v>
      </c>
      <c r="P325" s="549">
        <v>45951</v>
      </c>
      <c r="Q325" s="197" t="str" cm="1">
        <f t="array" aca="1" ref="Q325" ca="1">IF($P325&lt;&gt;"","PAGO",IF($N325&lt;TODAY(),"ATRASADO",IF($N325&gt;TODAY(),"NO PRAZO",IF($N325=TODAY(),"NO PRAZO",SE))))</f>
        <v>PAGO</v>
      </c>
      <c r="R325" s="150" t="str">
        <f t="shared" ca="1" si="4"/>
        <v/>
      </c>
      <c r="S325" s="241"/>
      <c r="T325" s="112"/>
      <c r="U325" s="552">
        <f ca="1">SUBTOTAL(3,Tabela13[[#This Row],[STATUS]])</f>
        <v>1</v>
      </c>
    </row>
    <row r="326" spans="1:21" ht="24" customHeight="1">
      <c r="A326" s="546">
        <v>45902</v>
      </c>
      <c r="B326" s="105">
        <v>67538</v>
      </c>
      <c r="C326" s="688" t="str">
        <f>IFERROR(VLOOKUP(Tabela13[[#This Row],[CÓD. EMPRESA]],Tabela3[[CÓDIGO
 EMPRESA ]:[EMPRESA]],2,FALSE),"")</f>
        <v>IGM2 METROLOGIA E MANUTENCAO LTDA</v>
      </c>
      <c r="D326" s="112" t="s">
        <v>344</v>
      </c>
      <c r="E326" s="112" t="s">
        <v>614</v>
      </c>
      <c r="F326" s="491">
        <v>19697</v>
      </c>
      <c r="G326" s="411">
        <v>1380</v>
      </c>
      <c r="H326" s="165" t="s">
        <v>51</v>
      </c>
      <c r="I326" s="549"/>
      <c r="J326" s="546"/>
      <c r="K326" s="550">
        <v>1535.16</v>
      </c>
      <c r="L326" s="398">
        <f>Tabela13[[#This Row],[VALOR
 BRUTO ]]-Tabela13[[#This Row],[VALOR 
LIQUIDO ]]</f>
        <v>0</v>
      </c>
      <c r="M326" s="399">
        <f>Tabela13[[#This Row],[VALORES PAGOS 
(FORMA PAGTO)]]</f>
        <v>1535.16</v>
      </c>
      <c r="N326" s="546">
        <v>45901</v>
      </c>
      <c r="O326" s="551">
        <v>1535.16</v>
      </c>
      <c r="P326" s="549">
        <v>45951</v>
      </c>
      <c r="Q326" s="197" t="str" cm="1">
        <f t="array" aca="1" ref="Q326" ca="1">IF($P326&lt;&gt;"","PAGO",IF($N326&lt;TODAY(),"ATRASADO",IF($N326&gt;TODAY(),"NO PRAZO",IF($N326=TODAY(),"NO PRAZO",SE))))</f>
        <v>PAGO</v>
      </c>
      <c r="R326" s="150" t="str">
        <f t="shared" ref="R326:R389" ca="1" si="5">IF(Q326="ATRASADO",N326-TODAY(),IF(Q326="NO PRAZO",N326-TODAY(),IF(Q326="PAGO","")))</f>
        <v/>
      </c>
      <c r="S326" s="729"/>
      <c r="T326" s="112"/>
      <c r="U326" s="552">
        <f ca="1">SUBTOTAL(3,Tabela13[[#This Row],[STATUS]])</f>
        <v>1</v>
      </c>
    </row>
    <row r="327" spans="1:21" ht="24" customHeight="1">
      <c r="A327" s="546">
        <v>45902</v>
      </c>
      <c r="B327" s="105">
        <v>67538</v>
      </c>
      <c r="C327" s="688" t="str">
        <f>IFERROR(VLOOKUP(Tabela13[[#This Row],[CÓD. EMPRESA]],Tabela3[[CÓDIGO
 EMPRESA ]:[EMPRESA]],2,FALSE),"")</f>
        <v>IGM2 METROLOGIA E MANUTENCAO LTDA</v>
      </c>
      <c r="D327" s="112" t="s">
        <v>344</v>
      </c>
      <c r="E327" s="112" t="s">
        <v>614</v>
      </c>
      <c r="F327" s="491">
        <v>11819</v>
      </c>
      <c r="G327" s="411">
        <v>1381</v>
      </c>
      <c r="H327" s="165" t="s">
        <v>51</v>
      </c>
      <c r="I327" s="549"/>
      <c r="J327" s="546"/>
      <c r="K327" s="550">
        <v>1535.16</v>
      </c>
      <c r="L327" s="398">
        <f>Tabela13[[#This Row],[VALOR
 BRUTO ]]-Tabela13[[#This Row],[VALOR 
LIQUIDO ]]</f>
        <v>0</v>
      </c>
      <c r="M327" s="399">
        <f>Tabela13[[#This Row],[VALORES PAGOS 
(FORMA PAGTO)]]</f>
        <v>1535.16</v>
      </c>
      <c r="N327" s="546">
        <v>45901</v>
      </c>
      <c r="O327" s="551">
        <v>1535.16</v>
      </c>
      <c r="P327" s="549">
        <v>45951</v>
      </c>
      <c r="Q327" s="197" t="str" cm="1">
        <f t="array" aca="1" ref="Q327" ca="1">IF($P327&lt;&gt;"","PAGO",IF($N327&lt;TODAY(),"ATRASADO",IF($N327&gt;TODAY(),"NO PRAZO",IF($N327=TODAY(),"NO PRAZO",SE))))</f>
        <v>PAGO</v>
      </c>
      <c r="R327" s="150" t="str">
        <f t="shared" ca="1" si="5"/>
        <v/>
      </c>
      <c r="S327" s="729"/>
      <c r="T327" s="112"/>
      <c r="U327" s="552">
        <f ca="1">SUBTOTAL(3,Tabela13[[#This Row],[STATUS]])</f>
        <v>1</v>
      </c>
    </row>
    <row r="328" spans="1:21" ht="24" customHeight="1">
      <c r="A328" s="585">
        <v>45903</v>
      </c>
      <c r="B328" s="105">
        <v>51481</v>
      </c>
      <c r="C328" s="688" t="str">
        <f>IFERROR(VLOOKUP(Tabela13[[#This Row],[CÓD. EMPRESA]],Tabela3[[CÓDIGO
 EMPRESA ]:[EMPRESA]],2,FALSE),"")</f>
        <v>LIGA INDUSTRIA E COMÉRCIO DE MATERIAL PARA CONSTRUÇÃO LTDA .</v>
      </c>
      <c r="D328" s="112" t="s">
        <v>656</v>
      </c>
      <c r="E328" s="112" t="s">
        <v>615</v>
      </c>
      <c r="F328" s="491">
        <v>18360</v>
      </c>
      <c r="G328" s="411">
        <v>92</v>
      </c>
      <c r="H328" s="586" t="s">
        <v>51</v>
      </c>
      <c r="I328" s="587"/>
      <c r="J328" s="585"/>
      <c r="K328" s="591">
        <v>2240</v>
      </c>
      <c r="L328" s="398">
        <f>Tabela13[[#This Row],[VALOR
 BRUTO ]]-Tabela13[[#This Row],[VALOR 
LIQUIDO ]]</f>
        <v>71.680000000000007</v>
      </c>
      <c r="M328" s="399">
        <f>Tabela13[[#This Row],[VALORES PAGOS 
(FORMA PAGTO)]]</f>
        <v>2168.3200000000002</v>
      </c>
      <c r="N328" s="585">
        <v>45924</v>
      </c>
      <c r="O328" s="588">
        <v>2168.3200000000002</v>
      </c>
      <c r="P328" s="587">
        <v>45951</v>
      </c>
      <c r="Q328" s="197" t="str" cm="1">
        <f t="array" aca="1" ref="Q328" ca="1">IF($P328&lt;&gt;"","PAGO",IF($N328&lt;TODAY(),"ATRASADO",IF($N328&gt;TODAY(),"NO PRAZO",IF($N328=TODAY(),"NO PRAZO",SE))))</f>
        <v>PAGO</v>
      </c>
      <c r="R328" s="150" t="str">
        <f t="shared" ca="1" si="5"/>
        <v/>
      </c>
      <c r="S328" s="852"/>
      <c r="T328" s="112"/>
      <c r="U328" s="589">
        <f ca="1">SUBTOTAL(3,Tabela13[[#This Row],[STATUS]])</f>
        <v>1</v>
      </c>
    </row>
    <row r="329" spans="1:21" ht="24" customHeight="1">
      <c r="A329" s="585">
        <v>45903</v>
      </c>
      <c r="B329" s="105">
        <v>51481</v>
      </c>
      <c r="C329" s="688" t="str">
        <f>IFERROR(VLOOKUP(Tabela13[[#This Row],[CÓD. EMPRESA]],Tabela3[[CÓDIGO
 EMPRESA ]:[EMPRESA]],2,FALSE),"")</f>
        <v>LIGA INDUSTRIA E COMÉRCIO DE MATERIAL PARA CONSTRUÇÃO LTDA .</v>
      </c>
      <c r="D329" s="112" t="s">
        <v>656</v>
      </c>
      <c r="E329" s="112" t="s">
        <v>615</v>
      </c>
      <c r="F329" s="491">
        <v>18360</v>
      </c>
      <c r="G329" s="411">
        <v>93</v>
      </c>
      <c r="H329" s="586" t="s">
        <v>51</v>
      </c>
      <c r="I329" s="587"/>
      <c r="J329" s="585"/>
      <c r="K329" s="591">
        <v>2800</v>
      </c>
      <c r="L329" s="398">
        <f>Tabela13[[#This Row],[VALOR
 BRUTO ]]-Tabela13[[#This Row],[VALOR 
LIQUIDO ]]</f>
        <v>89.6</v>
      </c>
      <c r="M329" s="399">
        <f>Tabela13[[#This Row],[VALORES PAGOS 
(FORMA PAGTO)]]</f>
        <v>2710.4</v>
      </c>
      <c r="N329" s="585">
        <v>45924</v>
      </c>
      <c r="O329" s="588">
        <v>2710.4</v>
      </c>
      <c r="P329" s="587">
        <v>45951</v>
      </c>
      <c r="Q329" s="197" t="str" cm="1">
        <f t="array" aca="1" ref="Q329" ca="1">IF($P329&lt;&gt;"","PAGO",IF($N329&lt;TODAY(),"ATRASADO",IF($N329&gt;TODAY(),"NO PRAZO",IF($N329=TODAY(),"NO PRAZO",SE))))</f>
        <v>PAGO</v>
      </c>
      <c r="R329" s="150" t="str">
        <f t="shared" ca="1" si="5"/>
        <v/>
      </c>
      <c r="S329" s="852"/>
      <c r="T329" s="112"/>
      <c r="U329" s="589">
        <f ca="1">SUBTOTAL(3,Tabela13[[#This Row],[STATUS]])</f>
        <v>1</v>
      </c>
    </row>
    <row r="330" spans="1:21" ht="24" customHeight="1">
      <c r="A330" s="546">
        <v>45903</v>
      </c>
      <c r="B330" s="105">
        <v>42326</v>
      </c>
      <c r="C330" s="688" t="str">
        <f>IFERROR(VLOOKUP(Tabela13[[#This Row],[CÓD. EMPRESA]],Tabela3[[CÓDIGO
 EMPRESA ]:[EMPRESA]],2,FALSE),"")</f>
        <v>CASAMAX COMERCIAL E SERVICOS LTDA</v>
      </c>
      <c r="D330" s="112" t="s">
        <v>703</v>
      </c>
      <c r="E330" s="112" t="s">
        <v>615</v>
      </c>
      <c r="F330" s="491">
        <v>5709</v>
      </c>
      <c r="G330" s="411">
        <v>11433</v>
      </c>
      <c r="H330" s="165" t="s">
        <v>52</v>
      </c>
      <c r="I330" s="549">
        <v>45809</v>
      </c>
      <c r="J330" s="546">
        <v>45838</v>
      </c>
      <c r="K330" s="550">
        <v>97961.52</v>
      </c>
      <c r="L330" s="398">
        <f>Tabela13[[#This Row],[VALOR
 BRUTO ]]-Tabela13[[#This Row],[VALOR 
LIQUIDO ]]</f>
        <v>13371.75</v>
      </c>
      <c r="M330" s="399">
        <f>Tabela13[[#This Row],[VALORES PAGOS 
(FORMA PAGTO)]]</f>
        <v>84589.77</v>
      </c>
      <c r="N330" s="546">
        <v>45932</v>
      </c>
      <c r="O330" s="551">
        <v>84589.77</v>
      </c>
      <c r="P330" s="549">
        <v>45951</v>
      </c>
      <c r="Q330" s="197" t="str" cm="1">
        <f t="array" aca="1" ref="Q330" ca="1">IF($P330&lt;&gt;"","PAGO",IF($N330&lt;TODAY(),"ATRASADO",IF($N330&gt;TODAY(),"NO PRAZO",IF($N330=TODAY(),"NO PRAZO",SE))))</f>
        <v>PAGO</v>
      </c>
      <c r="R330" s="150" t="str">
        <f t="shared" ca="1" si="5"/>
        <v/>
      </c>
      <c r="S330" s="729"/>
      <c r="T330" s="687"/>
      <c r="U330" s="552">
        <f ca="1">SUBTOTAL(3,Tabela13[[#This Row],[STATUS]])</f>
        <v>1</v>
      </c>
    </row>
    <row r="331" spans="1:21" ht="24" customHeight="1">
      <c r="A331" s="652">
        <v>45903</v>
      </c>
      <c r="B331" s="105">
        <v>42326</v>
      </c>
      <c r="C331" s="688" t="str">
        <f>IFERROR(VLOOKUP(Tabela13[[#This Row],[CÓD. EMPRESA]],Tabela3[[CÓDIGO
 EMPRESA ]:[EMPRESA]],2,FALSE),"")</f>
        <v>CASAMAX COMERCIAL E SERVICOS LTDA</v>
      </c>
      <c r="D331" s="112" t="s">
        <v>703</v>
      </c>
      <c r="E331" s="112" t="s">
        <v>615</v>
      </c>
      <c r="F331" s="491">
        <v>5709</v>
      </c>
      <c r="G331" s="411">
        <v>11434</v>
      </c>
      <c r="H331" s="165" t="s">
        <v>52</v>
      </c>
      <c r="I331" s="549">
        <v>45839</v>
      </c>
      <c r="J331" s="546">
        <v>45868</v>
      </c>
      <c r="K331" s="654">
        <v>307583.03999999998</v>
      </c>
      <c r="L331" s="398">
        <f>Tabela13[[#This Row],[VALOR
 BRUTO ]]-Tabela13[[#This Row],[VALORES PAGOS 
(FORMA PAGTO)]]-O332</f>
        <v>30143.14</v>
      </c>
      <c r="M331" s="399">
        <f>Tabela13[[#This Row],[VALORES PAGOS 
(FORMA PAGTO)]]</f>
        <v>265597.95</v>
      </c>
      <c r="N331" s="652">
        <v>45932</v>
      </c>
      <c r="O331" s="609">
        <v>265597.95</v>
      </c>
      <c r="P331" s="653">
        <v>46021</v>
      </c>
      <c r="Q331" s="197" t="str" cm="1">
        <f t="array" aca="1" ref="Q331" ca="1">IF($P331&lt;&gt;"","PAGO",IF($N331&lt;TODAY(),"ATRASADO",IF($N331&gt;TODAY(),"NO PRAZO",IF($N331=TODAY(),"NO PRAZO",SE))))</f>
        <v>PAGO</v>
      </c>
      <c r="R331" s="150" t="str">
        <f t="shared" ca="1" si="5"/>
        <v/>
      </c>
      <c r="S331" s="730"/>
      <c r="T331" s="112"/>
      <c r="U331" s="656">
        <f ca="1">SUBTOTAL(3,Tabela13[[#This Row],[STATUS]])</f>
        <v>1</v>
      </c>
    </row>
    <row r="332" spans="1:21" ht="24" customHeight="1">
      <c r="A332" s="652">
        <v>45903</v>
      </c>
      <c r="B332" s="105">
        <v>42326</v>
      </c>
      <c r="C332" s="688" t="str">
        <f>IFERROR(VLOOKUP(Tabela13[[#This Row],[CÓD. EMPRESA]],Tabela3[[CÓDIGO
 EMPRESA ]:[EMPRESA]],2,FALSE),"")</f>
        <v>CASAMAX COMERCIAL E SERVICOS LTDA</v>
      </c>
      <c r="D332" s="112" t="s">
        <v>703</v>
      </c>
      <c r="E332" s="112" t="s">
        <v>615</v>
      </c>
      <c r="F332" s="491">
        <v>5709</v>
      </c>
      <c r="G332" s="411">
        <v>11434</v>
      </c>
      <c r="H332" s="165" t="s">
        <v>52</v>
      </c>
      <c r="I332" s="549">
        <v>45839</v>
      </c>
      <c r="J332" s="546">
        <v>45868</v>
      </c>
      <c r="K332" s="983"/>
      <c r="L332" s="984"/>
      <c r="M332" s="985">
        <f>Tabela13[[#This Row],[VALORES PAGOS 
(FORMA PAGTO)]]</f>
        <v>11841.95</v>
      </c>
      <c r="N332" s="980">
        <v>45932</v>
      </c>
      <c r="O332" s="986">
        <v>11841.95</v>
      </c>
      <c r="P332" s="982">
        <v>46002</v>
      </c>
      <c r="Q332" s="987" t="str" cm="1">
        <f t="array" aca="1" ref="Q332" ca="1">IF($P332&lt;&gt;"","PAGO",IF($N332&lt;TODAY(),"ATRASADO",IF($N332&gt;TODAY(),"NO PRAZO",IF($N332=TODAY(),"NO PRAZO",SE))))</f>
        <v>PAGO</v>
      </c>
      <c r="R332" s="259" t="str">
        <f t="shared" ca="1" si="5"/>
        <v/>
      </c>
      <c r="S332" s="981"/>
      <c r="T332" s="981"/>
      <c r="U332" s="988">
        <f ca="1">SUBTOTAL(3,Tabela13[[#This Row],[STATUS]])</f>
        <v>1</v>
      </c>
    </row>
    <row r="333" spans="1:21" ht="24" customHeight="1">
      <c r="A333" s="592">
        <v>45903</v>
      </c>
      <c r="B333" s="105">
        <v>51481</v>
      </c>
      <c r="C333" s="688" t="str">
        <f>IFERROR(VLOOKUP(Tabela13[[#This Row],[CÓD. EMPRESA]],Tabela3[[CÓDIGO
 EMPRESA ]:[EMPRESA]],2,FALSE),"")</f>
        <v>LIGA INDUSTRIA E COMÉRCIO DE MATERIAL PARA CONSTRUÇÃO LTDA .</v>
      </c>
      <c r="D333" s="112" t="s">
        <v>656</v>
      </c>
      <c r="E333" s="112" t="s">
        <v>615</v>
      </c>
      <c r="F333" s="491">
        <v>18360</v>
      </c>
      <c r="G333" s="411">
        <v>94</v>
      </c>
      <c r="H333" s="595" t="s">
        <v>51</v>
      </c>
      <c r="I333" s="596"/>
      <c r="J333" s="592"/>
      <c r="K333" s="597">
        <v>2800</v>
      </c>
      <c r="L333" s="398">
        <f>Tabela13[[#This Row],[VALOR
 BRUTO ]]-Tabela13[[#This Row],[VALOR 
LIQUIDO ]]</f>
        <v>89.6</v>
      </c>
      <c r="M333" s="399">
        <f>Tabela13[[#This Row],[VALORES PAGOS 
(FORMA PAGTO)]]</f>
        <v>2710.4</v>
      </c>
      <c r="N333" s="592">
        <v>45927</v>
      </c>
      <c r="O333" s="598">
        <v>2710.4</v>
      </c>
      <c r="P333" s="596">
        <v>45951</v>
      </c>
      <c r="Q333" s="197" t="str" cm="1">
        <f t="array" aca="1" ref="Q333" ca="1">IF($P333&lt;&gt;"","PAGO",IF($N333&lt;TODAY(),"ATRASADO",IF($N333&gt;TODAY(),"NO PRAZO",IF($N333=TODAY(),"NO PRAZO",SE))))</f>
        <v>PAGO</v>
      </c>
      <c r="R333" s="150" t="str">
        <f t="shared" ca="1" si="5"/>
        <v/>
      </c>
      <c r="S333" s="711"/>
      <c r="T333" s="112"/>
      <c r="U333" s="599">
        <f ca="1">SUBTOTAL(3,Tabela13[[#This Row],[STATUS]])</f>
        <v>1</v>
      </c>
    </row>
    <row r="334" spans="1:21" ht="24" customHeight="1">
      <c r="A334" s="585">
        <v>45903</v>
      </c>
      <c r="B334" s="105">
        <v>51481</v>
      </c>
      <c r="C334" s="688" t="str">
        <f>IFERROR(VLOOKUP(Tabela13[[#This Row],[CÓD. EMPRESA]],Tabela3[[CÓDIGO
 EMPRESA ]:[EMPRESA]],2,FALSE),"")</f>
        <v>LIGA INDUSTRIA E COMÉRCIO DE MATERIAL PARA CONSTRUÇÃO LTDA .</v>
      </c>
      <c r="D334" s="112" t="s">
        <v>656</v>
      </c>
      <c r="E334" s="112" t="s">
        <v>615</v>
      </c>
      <c r="F334" s="491">
        <v>18360</v>
      </c>
      <c r="G334" s="411">
        <v>95</v>
      </c>
      <c r="H334" s="586" t="s">
        <v>51</v>
      </c>
      <c r="I334" s="587"/>
      <c r="J334" s="585"/>
      <c r="K334" s="591">
        <v>4480</v>
      </c>
      <c r="L334" s="398">
        <f>Tabela13[[#This Row],[VALOR
 BRUTO ]]-Tabela13[[#This Row],[VALOR 
LIQUIDO ]]</f>
        <v>143.36000000000001</v>
      </c>
      <c r="M334" s="399">
        <f>Tabela13[[#This Row],[VALORES PAGOS 
(FORMA PAGTO)]]</f>
        <v>4336.6400000000003</v>
      </c>
      <c r="N334" s="585">
        <v>45928</v>
      </c>
      <c r="O334" s="588">
        <v>4336.6400000000003</v>
      </c>
      <c r="P334" s="587">
        <v>45951</v>
      </c>
      <c r="Q334" s="197" t="str" cm="1">
        <f t="array" aca="1" ref="Q334" ca="1">IF($P334&lt;&gt;"","PAGO",IF($N334&lt;TODAY(),"ATRASADO",IF($N334&gt;TODAY(),"NO PRAZO",IF($N334=TODAY(),"NO PRAZO",SE))))</f>
        <v>PAGO</v>
      </c>
      <c r="R334" s="150" t="str">
        <f t="shared" ca="1" si="5"/>
        <v/>
      </c>
      <c r="S334" s="852"/>
      <c r="T334" s="112"/>
      <c r="U334" s="589">
        <f ca="1">SUBTOTAL(3,Tabela13[[#This Row],[STATUS]])</f>
        <v>1</v>
      </c>
    </row>
    <row r="335" spans="1:21" ht="24" customHeight="1">
      <c r="A335" s="113">
        <v>45903</v>
      </c>
      <c r="B335" s="105">
        <v>51481</v>
      </c>
      <c r="C335" s="688" t="str">
        <f>IFERROR(VLOOKUP(Tabela13[[#This Row],[CÓD. EMPRESA]],Tabela3[[CÓDIGO
 EMPRESA ]:[EMPRESA]],2,FALSE),"")</f>
        <v>LIGA INDUSTRIA E COMÉRCIO DE MATERIAL PARA CONSTRUÇÃO LTDA .</v>
      </c>
      <c r="D335" s="112" t="s">
        <v>656</v>
      </c>
      <c r="E335" s="112" t="s">
        <v>615</v>
      </c>
      <c r="F335" s="491">
        <v>18360</v>
      </c>
      <c r="G335" s="411">
        <v>96</v>
      </c>
      <c r="H335" s="165" t="s">
        <v>51</v>
      </c>
      <c r="I335" s="147"/>
      <c r="J335" s="113"/>
      <c r="K335" s="401">
        <v>3920</v>
      </c>
      <c r="L335" s="398">
        <f>Tabela13[[#This Row],[VALOR
 BRUTO ]]-Tabela13[[#This Row],[VALOR 
LIQUIDO ]]</f>
        <v>125.44</v>
      </c>
      <c r="M335" s="399">
        <f>Tabela13[[#This Row],[VALORES PAGOS 
(FORMA PAGTO)]]</f>
        <v>3794.56</v>
      </c>
      <c r="N335" s="113">
        <v>45928</v>
      </c>
      <c r="O335" s="385">
        <v>3794.56</v>
      </c>
      <c r="P335" s="147">
        <v>45951</v>
      </c>
      <c r="Q335" s="197" t="str" cm="1">
        <f t="array" aca="1" ref="Q335" ca="1">IF($P335&lt;&gt;"","PAGO",IF($N335&lt;TODAY(),"ATRASADO",IF($N335&gt;TODAY(),"NO PRAZO",IF($N335=TODAY(),"NO PRAZO",SE))))</f>
        <v>PAGO</v>
      </c>
      <c r="R335" s="150" t="str">
        <f t="shared" ca="1" si="5"/>
        <v/>
      </c>
      <c r="S335" s="241"/>
      <c r="T335" s="112"/>
      <c r="U335" s="259">
        <f ca="1">SUBTOTAL(3,Tabela13[[#This Row],[STATUS]])</f>
        <v>1</v>
      </c>
    </row>
    <row r="336" spans="1:21" ht="24" customHeight="1">
      <c r="A336" s="113">
        <v>45904</v>
      </c>
      <c r="B336" s="105">
        <v>54615</v>
      </c>
      <c r="C336" s="688" t="str">
        <f>IFERROR(VLOOKUP(Tabela13[[#This Row],[CÓD. EMPRESA]],Tabela3[[CÓDIGO
 EMPRESA ]:[EMPRESA]],2,FALSE),"")</f>
        <v>NEO-TAGUS COMERCIO E ASSISTENCIA TECNICA LTDA</v>
      </c>
      <c r="D336" s="112" t="s">
        <v>656</v>
      </c>
      <c r="E336" s="112" t="s">
        <v>615</v>
      </c>
      <c r="F336" s="491">
        <v>13826</v>
      </c>
      <c r="G336" s="411">
        <v>9516</v>
      </c>
      <c r="H336" s="165" t="s">
        <v>51</v>
      </c>
      <c r="I336" s="147">
        <v>45866</v>
      </c>
      <c r="J336" s="113">
        <v>45896</v>
      </c>
      <c r="K336" s="401">
        <v>1992</v>
      </c>
      <c r="L336" s="398">
        <f>Tabela13[[#This Row],[VALOR
 BRUTO ]]-Tabela13[[#This Row],[VALOR 
LIQUIDO ]]</f>
        <v>203.18</v>
      </c>
      <c r="M336" s="399">
        <f>Tabela13[[#This Row],[VALORES PAGOS 
(FORMA PAGTO)]]</f>
        <v>1788.82</v>
      </c>
      <c r="N336" s="113">
        <v>45927</v>
      </c>
      <c r="O336" s="385">
        <v>1788.82</v>
      </c>
      <c r="P336" s="147">
        <v>45951</v>
      </c>
      <c r="Q336" s="197" t="str" cm="1">
        <f t="array" aca="1" ref="Q336" ca="1">IF($P336&lt;&gt;"","PAGO",IF($N336&lt;TODAY(),"ATRASADO",IF($N336&gt;TODAY(),"NO PRAZO",IF($N336=TODAY(),"NO PRAZO",SE))))</f>
        <v>PAGO</v>
      </c>
      <c r="R336" s="150" t="str">
        <f t="shared" ca="1" si="5"/>
        <v/>
      </c>
      <c r="S336" s="241"/>
      <c r="T336" s="112"/>
      <c r="U336" s="259">
        <f ca="1">SUBTOTAL(3,Tabela13[[#This Row],[STATUS]])</f>
        <v>1</v>
      </c>
    </row>
    <row r="337" spans="1:21" ht="24" customHeight="1">
      <c r="A337" s="113">
        <v>45904</v>
      </c>
      <c r="B337" s="105">
        <v>54615</v>
      </c>
      <c r="C337" s="688" t="str">
        <f>IFERROR(VLOOKUP(Tabela13[[#This Row],[CÓD. EMPRESA]],Tabela3[[CÓDIGO
 EMPRESA ]:[EMPRESA]],2,FALSE),"")</f>
        <v>NEO-TAGUS COMERCIO E ASSISTENCIA TECNICA LTDA</v>
      </c>
      <c r="D337" s="112" t="s">
        <v>133</v>
      </c>
      <c r="E337" s="112" t="s">
        <v>442</v>
      </c>
      <c r="F337" s="491">
        <v>9360</v>
      </c>
      <c r="G337" s="411">
        <v>9516</v>
      </c>
      <c r="H337" s="165" t="s">
        <v>51</v>
      </c>
      <c r="I337" s="549">
        <v>45866</v>
      </c>
      <c r="J337" s="546">
        <v>45866</v>
      </c>
      <c r="K337" s="550">
        <v>2241</v>
      </c>
      <c r="L337" s="398">
        <f>Tabela13[[#This Row],[VALOR
 BRUTO ]]+K338-Tabela13[[#This Row],[VALORES PAGOS 
(FORMA PAGTO)]]-O338</f>
        <v>3288.23</v>
      </c>
      <c r="M337" s="399">
        <f>Tabela13[[#This Row],[VALORES PAGOS 
(FORMA PAGTO)]]</f>
        <v>2241</v>
      </c>
      <c r="N337" s="546">
        <v>45927</v>
      </c>
      <c r="O337" s="550">
        <v>2241</v>
      </c>
      <c r="P337" s="549">
        <v>45951</v>
      </c>
      <c r="Q337" s="197" t="str" cm="1">
        <f t="array" aca="1" ref="Q337" ca="1">IF($P337&lt;&gt;"","PAGO",IF($N337&lt;TODAY(),"ATRASADO",IF($N337&gt;TODAY(),"NO PRAZO",IF($N337=TODAY(),"NO PRAZO",SE))))</f>
        <v>PAGO</v>
      </c>
      <c r="R337" s="150" t="str">
        <f t="shared" ca="1" si="5"/>
        <v/>
      </c>
      <c r="S337" s="729"/>
      <c r="T337" s="112"/>
      <c r="U337" s="552">
        <f ca="1">SUBTOTAL(3,Tabela13[[#This Row],[STATUS]])</f>
        <v>1</v>
      </c>
    </row>
    <row r="338" spans="1:21" ht="24" customHeight="1">
      <c r="A338" s="546">
        <v>45904</v>
      </c>
      <c r="B338" s="105">
        <v>121426</v>
      </c>
      <c r="C338" s="688" t="str">
        <f>IFERROR(VLOOKUP(Tabela13[[#This Row],[CÓD. EMPRESA]],Tabela3[[CÓDIGO
 EMPRESA ]:[EMPRESA]],2,FALSE),"")</f>
        <v>ALFA-X COMERCIO E SERVIÇOS LTDA</v>
      </c>
      <c r="D338" s="112" t="s">
        <v>656</v>
      </c>
      <c r="E338" s="112">
        <v>36801</v>
      </c>
      <c r="F338" s="491">
        <v>3677</v>
      </c>
      <c r="G338" s="411">
        <v>5</v>
      </c>
      <c r="H338" s="165" t="s">
        <v>51</v>
      </c>
      <c r="I338" s="549">
        <v>45845</v>
      </c>
      <c r="J338" s="546">
        <v>45869</v>
      </c>
      <c r="K338" s="550">
        <v>164411.69</v>
      </c>
      <c r="L338" s="398">
        <f>Tabela13[[#This Row],[VALOR
 BRUTO ]]-Tabela13[[#This Row],[VALOR 
LIQUIDO ]]</f>
        <v>3288.23</v>
      </c>
      <c r="M338" s="399">
        <f>Tabela13[[#This Row],[VALORES PAGOS 
(FORMA PAGTO)]]</f>
        <v>161123.46</v>
      </c>
      <c r="N338" s="546">
        <v>45927</v>
      </c>
      <c r="O338" s="551">
        <v>161123.46</v>
      </c>
      <c r="P338" s="549">
        <v>45978</v>
      </c>
      <c r="Q338" s="197" t="str" cm="1">
        <f t="array" aca="1" ref="Q338" ca="1">IF($P338&lt;&gt;"","PAGO",IF($N338&lt;TODAY(),"ATRASADO",IF($N338&gt;TODAY(),"NO PRAZO",IF($N338=TODAY(),"NO PRAZO",SE))))</f>
        <v>PAGO</v>
      </c>
      <c r="R338" s="150" t="str">
        <f t="shared" ca="1" si="5"/>
        <v/>
      </c>
      <c r="S338" s="729"/>
      <c r="T338" s="112"/>
      <c r="U338" s="552">
        <f ca="1">SUBTOTAL(3,Tabela13[[#This Row],[STATUS]])</f>
        <v>1</v>
      </c>
    </row>
    <row r="339" spans="1:21" ht="24" customHeight="1">
      <c r="A339" s="546">
        <v>45908</v>
      </c>
      <c r="B339" s="105">
        <v>121973</v>
      </c>
      <c r="C339" s="688" t="str">
        <f>IFERROR(VLOOKUP(Tabela13[[#This Row],[CÓD. EMPRESA]],Tabela3[[CÓDIGO
 EMPRESA ]:[EMPRESA]],2,FALSE),"")</f>
        <v>CONSORCIO CENTRO DE TRATAMENTO DE RESIDUOS GUARULHOS</v>
      </c>
      <c r="D339" s="112" t="s">
        <v>446</v>
      </c>
      <c r="E339" s="112" t="s">
        <v>564</v>
      </c>
      <c r="F339" s="491">
        <v>3681</v>
      </c>
      <c r="G339" s="411">
        <v>8</v>
      </c>
      <c r="H339" s="165" t="s">
        <v>51</v>
      </c>
      <c r="I339" s="549">
        <v>45839</v>
      </c>
      <c r="J339" s="546">
        <v>45869</v>
      </c>
      <c r="K339" s="550">
        <v>253450.49</v>
      </c>
      <c r="L339" s="398">
        <f>Tabela13[[#This Row],[VALOR
 BRUTO ]]-Tabela13[[#This Row],[VALOR 
LIQUIDO ]]</f>
        <v>0</v>
      </c>
      <c r="M339" s="399">
        <f>Tabela13[[#This Row],[VALORES PAGOS 
(FORMA PAGTO)]]</f>
        <v>253450.49</v>
      </c>
      <c r="N339" s="546">
        <v>45920</v>
      </c>
      <c r="O339" s="551">
        <v>253450.49</v>
      </c>
      <c r="P339" s="549">
        <v>45975</v>
      </c>
      <c r="Q339" s="197" t="str" cm="1">
        <f t="array" aca="1" ref="Q339" ca="1">IF($P339&lt;&gt;"","PAGO",IF($N339&lt;TODAY(),"ATRASADO",IF($N339&gt;TODAY(),"NO PRAZO",IF($N339=TODAY(),"NO PRAZO",SE))))</f>
        <v>PAGO</v>
      </c>
      <c r="R339" s="150" t="str">
        <f t="shared" ca="1" si="5"/>
        <v/>
      </c>
      <c r="S339" s="563"/>
      <c r="T339" s="112"/>
      <c r="U339" s="552">
        <f ca="1">SUBTOTAL(3,Tabela13[[#This Row],[STATUS]])</f>
        <v>1</v>
      </c>
    </row>
    <row r="340" spans="1:21" ht="24" customHeight="1">
      <c r="A340" s="546">
        <v>45908</v>
      </c>
      <c r="B340" s="105">
        <v>2808</v>
      </c>
      <c r="C340" s="688" t="str">
        <f>IFERROR(VLOOKUP(Tabela13[[#This Row],[CÓD. EMPRESA]],Tabela3[[CÓDIGO
 EMPRESA ]:[EMPRESA]],2,FALSE),"")</f>
        <v>EMPRESA BRASILEIRA DE CORREIOS E TELEGRAFOS</v>
      </c>
      <c r="D340" s="112" t="s">
        <v>34</v>
      </c>
      <c r="E340" s="112" t="s">
        <v>443</v>
      </c>
      <c r="F340" s="491">
        <v>7398</v>
      </c>
      <c r="G340" s="411">
        <v>3676572</v>
      </c>
      <c r="H340" s="561" t="s">
        <v>51</v>
      </c>
      <c r="I340" s="549">
        <v>45873</v>
      </c>
      <c r="J340" s="546">
        <v>45889</v>
      </c>
      <c r="K340" s="550">
        <v>1456.71</v>
      </c>
      <c r="L340" s="398">
        <f>Tabela13[[#This Row],[VALOR
 BRUTO ]]-Tabela13[[#This Row],[VALOR 
LIQUIDO ]]</f>
        <v>0</v>
      </c>
      <c r="M340" s="399">
        <f>Tabela13[[#This Row],[VALORES PAGOS 
(FORMA PAGTO)]]</f>
        <v>1456.71</v>
      </c>
      <c r="N340" s="546">
        <v>45922</v>
      </c>
      <c r="O340" s="551">
        <v>1456.71</v>
      </c>
      <c r="P340" s="549">
        <v>45922</v>
      </c>
      <c r="Q340" s="197" t="str" cm="1">
        <f t="array" aca="1" ref="Q340" ca="1">IF($P340&lt;&gt;"","PAGO",IF($N340&lt;TODAY(),"ATRASADO",IF($N340&gt;TODAY(),"NO PRAZO",IF($N340=TODAY(),"NO PRAZO",SE))))</f>
        <v>PAGO</v>
      </c>
      <c r="R340" s="150" t="str">
        <f t="shared" ca="1" si="5"/>
        <v/>
      </c>
      <c r="S340" s="729"/>
      <c r="T340" s="112"/>
      <c r="U340" s="552">
        <f ca="1">SUBTOTAL(3,Tabela13[[#This Row],[STATUS]])</f>
        <v>1</v>
      </c>
    </row>
    <row r="341" spans="1:21" ht="24" customHeight="1">
      <c r="A341" s="546">
        <v>45908</v>
      </c>
      <c r="B341" s="105">
        <v>2808</v>
      </c>
      <c r="C341" s="688" t="str">
        <f>IFERROR(VLOOKUP(Tabela13[[#This Row],[CÓD. EMPRESA]],Tabela3[[CÓDIGO
 EMPRESA ]:[EMPRESA]],2,FALSE),"")</f>
        <v>EMPRESA BRASILEIRA DE CORREIOS E TELEGRAFOS</v>
      </c>
      <c r="D341" s="112" t="s">
        <v>34</v>
      </c>
      <c r="E341" s="112" t="s">
        <v>443</v>
      </c>
      <c r="F341" s="491">
        <v>9359</v>
      </c>
      <c r="G341" s="411">
        <v>3676572</v>
      </c>
      <c r="H341" s="561" t="s">
        <v>51</v>
      </c>
      <c r="I341" s="549">
        <v>45873</v>
      </c>
      <c r="J341" s="546">
        <v>45889</v>
      </c>
      <c r="K341" s="550">
        <v>1750.35</v>
      </c>
      <c r="L341" s="398">
        <f>Tabela13[[#This Row],[VALOR
 BRUTO ]]-Tabela13[[#This Row],[VALOR 
LIQUIDO ]]</f>
        <v>0</v>
      </c>
      <c r="M341" s="399">
        <f>Tabela13[[#This Row],[VALORES PAGOS 
(FORMA PAGTO)]]</f>
        <v>1750.35</v>
      </c>
      <c r="N341" s="546">
        <v>45922</v>
      </c>
      <c r="O341" s="551">
        <v>1750.35</v>
      </c>
      <c r="P341" s="549">
        <v>45922</v>
      </c>
      <c r="Q341" s="197" t="str" cm="1">
        <f t="array" aca="1" ref="Q341" ca="1">IF($P341&lt;&gt;"","PAGO",IF($N341&lt;TODAY(),"ATRASADO",IF($N341&gt;TODAY(),"NO PRAZO",IF($N341=TODAY(),"NO PRAZO",SE))))</f>
        <v>PAGO</v>
      </c>
      <c r="R341" s="150" t="str">
        <f t="shared" ca="1" si="5"/>
        <v/>
      </c>
      <c r="S341" s="729"/>
      <c r="T341" s="112"/>
      <c r="U341" s="552">
        <f ca="1">SUBTOTAL(3,Tabela13[[#This Row],[STATUS]])</f>
        <v>1</v>
      </c>
    </row>
    <row r="342" spans="1:21" ht="24" customHeight="1">
      <c r="A342" s="546">
        <v>45908</v>
      </c>
      <c r="B342" s="105">
        <v>112466</v>
      </c>
      <c r="C342" s="688" t="str">
        <f>IFERROR(VLOOKUP(Tabela13[[#This Row],[CÓD. EMPRESA]],Tabela3[[CÓDIGO
 EMPRESA ]:[EMPRESA]],2,FALSE),"")</f>
        <v>COOPERATIVA DE TRABALHO DE RECICLAGEM ECO GUARULHOS</v>
      </c>
      <c r="D342" s="112" t="s">
        <v>337</v>
      </c>
      <c r="E342" s="112" t="s">
        <v>630</v>
      </c>
      <c r="F342" s="491">
        <v>11491</v>
      </c>
      <c r="G342" s="411">
        <v>20</v>
      </c>
      <c r="H342" s="561" t="s">
        <v>51</v>
      </c>
      <c r="I342" s="549">
        <v>45778</v>
      </c>
      <c r="J342" s="546">
        <v>45808</v>
      </c>
      <c r="K342" s="550">
        <v>2909.88</v>
      </c>
      <c r="L342" s="398">
        <f>Tabela13[[#This Row],[VALOR
 BRUTO ]]-Tabela13[[#This Row],[VALOR 
LIQUIDO ]]</f>
        <v>0</v>
      </c>
      <c r="M342" s="399">
        <f>Tabela13[[#This Row],[VALORES PAGOS 
(FORMA PAGTO)]]</f>
        <v>2909.88</v>
      </c>
      <c r="N342" s="546">
        <v>45908</v>
      </c>
      <c r="O342" s="551">
        <v>2909.88</v>
      </c>
      <c r="P342" s="549">
        <v>45951</v>
      </c>
      <c r="Q342" s="197" t="str" cm="1">
        <f t="array" aca="1" ref="Q342" ca="1">IF($P342&lt;&gt;"","PAGO",IF($N342&lt;TODAY(),"ATRASADO",IF($N342&gt;TODAY(),"NO PRAZO",IF($N342=TODAY(),"NO PRAZO",SE))))</f>
        <v>PAGO</v>
      </c>
      <c r="R342" s="150" t="str">
        <f t="shared" ca="1" si="5"/>
        <v/>
      </c>
      <c r="S342" s="729"/>
      <c r="T342" s="112"/>
      <c r="U342" s="552">
        <f ca="1">SUBTOTAL(3,Tabela13[[#This Row],[STATUS]])</f>
        <v>1</v>
      </c>
    </row>
    <row r="343" spans="1:21" ht="24" customHeight="1">
      <c r="A343" s="546">
        <v>45908</v>
      </c>
      <c r="B343" s="105">
        <v>112466</v>
      </c>
      <c r="C343" s="688" t="str">
        <f>IFERROR(VLOOKUP(Tabela13[[#This Row],[CÓD. EMPRESA]],Tabela3[[CÓDIGO
 EMPRESA ]:[EMPRESA]],2,FALSE),"")</f>
        <v>COOPERATIVA DE TRABALHO DE RECICLAGEM ECO GUARULHOS</v>
      </c>
      <c r="D343" s="112" t="s">
        <v>337</v>
      </c>
      <c r="E343" s="112" t="s">
        <v>630</v>
      </c>
      <c r="F343" s="491">
        <v>9417</v>
      </c>
      <c r="G343" s="411">
        <v>20</v>
      </c>
      <c r="H343" s="561" t="s">
        <v>51</v>
      </c>
      <c r="I343" s="549">
        <v>45778</v>
      </c>
      <c r="J343" s="546">
        <v>45808</v>
      </c>
      <c r="K343" s="550">
        <v>19429.259999999998</v>
      </c>
      <c r="L343" s="398">
        <f>Tabela13[[#This Row],[VALOR
 BRUTO ]]-Tabela13[[#This Row],[VALOR 
LIQUIDO ]]</f>
        <v>1116.96</v>
      </c>
      <c r="M343" s="399">
        <f>Tabela13[[#This Row],[VALORES PAGOS 
(FORMA PAGTO)]]</f>
        <v>18312.3</v>
      </c>
      <c r="N343" s="546">
        <v>45908</v>
      </c>
      <c r="O343" s="551">
        <v>18312.3</v>
      </c>
      <c r="P343" s="549">
        <v>45951</v>
      </c>
      <c r="Q343" s="197" t="str" cm="1">
        <f t="array" aca="1" ref="Q343" ca="1">IF($P343&lt;&gt;"","PAGO",IF($N343&lt;TODAY(),"ATRASADO",IF($N343&gt;TODAY(),"NO PRAZO",IF($N343=TODAY(),"NO PRAZO",SE))))</f>
        <v>PAGO</v>
      </c>
      <c r="R343" s="150" t="str">
        <f t="shared" ca="1" si="5"/>
        <v/>
      </c>
      <c r="S343" s="729"/>
      <c r="T343" s="112"/>
      <c r="U343" s="552">
        <f ca="1">SUBTOTAL(3,Tabela13[[#This Row],[STATUS]])</f>
        <v>1</v>
      </c>
    </row>
    <row r="344" spans="1:21" ht="24" customHeight="1">
      <c r="A344" s="546">
        <v>45908</v>
      </c>
      <c r="B344" s="105">
        <v>119152</v>
      </c>
      <c r="C344" s="688" t="str">
        <f>IFERROR(VLOOKUP(Tabela13[[#This Row],[CÓD. EMPRESA]],Tabela3[[CÓDIGO
 EMPRESA ]:[EMPRESA]],2,FALSE),"")</f>
        <v>COOPERATIVA DE TRABALHO DE CATADORAS E CATADORES DE MATERIAIS RECICLAVEIS SINERGIA BRASIL</v>
      </c>
      <c r="D344" s="112" t="s">
        <v>346</v>
      </c>
      <c r="E344" s="112" t="s">
        <v>499</v>
      </c>
      <c r="F344" s="491">
        <v>7086</v>
      </c>
      <c r="G344" s="411">
        <v>9</v>
      </c>
      <c r="H344" s="561" t="s">
        <v>51</v>
      </c>
      <c r="I344" s="549">
        <v>45778</v>
      </c>
      <c r="J344" s="546">
        <v>45808</v>
      </c>
      <c r="K344" s="550">
        <v>7140.15</v>
      </c>
      <c r="L344" s="398">
        <f>Tabela13[[#This Row],[VALOR
 BRUTO ]]-Tabela13[[#This Row],[VALOR 
LIQUIDO ]]</f>
        <v>0</v>
      </c>
      <c r="M344" s="399">
        <f>Tabela13[[#This Row],[VALORES PAGOS 
(FORMA PAGTO)]]</f>
        <v>7140.15</v>
      </c>
      <c r="N344" s="546">
        <v>45908</v>
      </c>
      <c r="O344" s="551">
        <v>7140.15</v>
      </c>
      <c r="P344" s="549">
        <v>45951</v>
      </c>
      <c r="Q344" s="197" t="str" cm="1">
        <f t="array" aca="1" ref="Q344" ca="1">IF($P344&lt;&gt;"","PAGO",IF($N344&lt;TODAY(),"ATRASADO",IF($N344&gt;TODAY(),"NO PRAZO",IF($N344=TODAY(),"NO PRAZO",SE))))</f>
        <v>PAGO</v>
      </c>
      <c r="R344" s="150" t="str">
        <f t="shared" ca="1" si="5"/>
        <v/>
      </c>
      <c r="S344" s="729"/>
      <c r="T344" s="112"/>
      <c r="U344" s="552">
        <f ca="1">SUBTOTAL(3,Tabela13[[#This Row],[STATUS]])</f>
        <v>1</v>
      </c>
    </row>
    <row r="345" spans="1:21" ht="24" customHeight="1">
      <c r="A345" s="546">
        <v>45908</v>
      </c>
      <c r="B345" s="105">
        <v>119152</v>
      </c>
      <c r="C345" s="688" t="str">
        <f>IFERROR(VLOOKUP(Tabela13[[#This Row],[CÓD. EMPRESA]],Tabela3[[CÓDIGO
 EMPRESA ]:[EMPRESA]],2,FALSE),"")</f>
        <v>COOPERATIVA DE TRABALHO DE CATADORAS E CATADORES DE MATERIAIS RECICLAVEIS SINERGIA BRASIL</v>
      </c>
      <c r="D345" s="112" t="s">
        <v>346</v>
      </c>
      <c r="E345" s="112" t="s">
        <v>499</v>
      </c>
      <c r="F345" s="491">
        <v>9411</v>
      </c>
      <c r="G345" s="411">
        <v>9</v>
      </c>
      <c r="H345" s="165" t="s">
        <v>51</v>
      </c>
      <c r="I345" s="549">
        <v>45778</v>
      </c>
      <c r="J345" s="546">
        <v>45808</v>
      </c>
      <c r="K345" s="550">
        <v>17024.91</v>
      </c>
      <c r="L345" s="398">
        <f>Tabela13[[#This Row],[VALOR
 BRUTO ]]-Tabela13[[#This Row],[VALOR 
LIQUIDO ]]</f>
        <v>1208.25</v>
      </c>
      <c r="M345" s="399">
        <f>Tabela13[[#This Row],[VALORES PAGOS 
(FORMA PAGTO)]]</f>
        <v>15816.66</v>
      </c>
      <c r="N345" s="546">
        <v>45908</v>
      </c>
      <c r="O345" s="551">
        <v>15816.66</v>
      </c>
      <c r="P345" s="549">
        <v>45951</v>
      </c>
      <c r="Q345" s="197" t="str" cm="1">
        <f t="array" aca="1" ref="Q345" ca="1">IF($P345&lt;&gt;"","PAGO",IF($N345&lt;TODAY(),"ATRASADO",IF($N345&gt;TODAY(),"NO PRAZO",IF($N345=TODAY(),"NO PRAZO",SE))))</f>
        <v>PAGO</v>
      </c>
      <c r="R345" s="150" t="str">
        <f t="shared" ca="1" si="5"/>
        <v/>
      </c>
      <c r="S345" s="729"/>
      <c r="T345" s="112"/>
      <c r="U345" s="552">
        <f ca="1">SUBTOTAL(3,Tabela13[[#This Row],[STATUS]])</f>
        <v>1</v>
      </c>
    </row>
    <row r="346" spans="1:21" ht="24" customHeight="1">
      <c r="A346" s="113">
        <v>45908</v>
      </c>
      <c r="B346" s="105">
        <v>118247</v>
      </c>
      <c r="C346" s="688" t="str">
        <f>IFERROR(VLOOKUP(Tabela13[[#This Row],[CÓD. EMPRESA]],Tabela3[[CÓDIGO
 EMPRESA ]:[EMPRESA]],2,FALSE),"")</f>
        <v>COOPERATIVA DE TRABALHO DE CATADORAS DE CATADORES DE MATERIAIS RECICLAVEIS GUARULHOS RECICLA</v>
      </c>
      <c r="D346" s="112" t="s">
        <v>331</v>
      </c>
      <c r="E346" s="112" t="s">
        <v>500</v>
      </c>
      <c r="F346" s="491">
        <v>9422</v>
      </c>
      <c r="G346" s="109">
        <v>9</v>
      </c>
      <c r="H346" s="165" t="s">
        <v>51</v>
      </c>
      <c r="I346" s="147">
        <v>45778</v>
      </c>
      <c r="J346" s="113">
        <v>45808</v>
      </c>
      <c r="K346" s="401">
        <v>1200.42</v>
      </c>
      <c r="L346" s="398">
        <f>Tabela13[[#This Row],[VALOR
 BRUTO ]]-Tabela13[[#This Row],[VALOR 
LIQUIDO ]]</f>
        <v>0</v>
      </c>
      <c r="M346" s="399">
        <f>Tabela13[[#This Row],[VALORES PAGOS 
(FORMA PAGTO)]]</f>
        <v>1200.42</v>
      </c>
      <c r="N346" s="113">
        <v>45908</v>
      </c>
      <c r="O346" s="385">
        <v>1200.42</v>
      </c>
      <c r="P346" s="147">
        <v>45951</v>
      </c>
      <c r="Q346" s="197" t="str" cm="1">
        <f t="array" aca="1" ref="Q346" ca="1">IF($P346&lt;&gt;"","PAGO",IF($N346&lt;TODAY(),"ATRASADO",IF($N346&gt;TODAY(),"NO PRAZO",IF($N346=TODAY(),"NO PRAZO",SE))))</f>
        <v>PAGO</v>
      </c>
      <c r="R346" s="150" t="str">
        <f t="shared" ca="1" si="5"/>
        <v/>
      </c>
      <c r="S346" s="241"/>
      <c r="T346" s="112"/>
      <c r="U346" s="259">
        <f ca="1">SUBTOTAL(3,Tabela13[[#This Row],[STATUS]])</f>
        <v>1</v>
      </c>
    </row>
    <row r="347" spans="1:21" ht="24" customHeight="1">
      <c r="A347" s="546">
        <v>45908</v>
      </c>
      <c r="B347" s="105">
        <v>118247</v>
      </c>
      <c r="C347" s="688" t="str">
        <f>IFERROR(VLOOKUP(Tabela13[[#This Row],[CÓD. EMPRESA]],Tabela3[[CÓDIGO
 EMPRESA ]:[EMPRESA]],2,FALSE),"")</f>
        <v>COOPERATIVA DE TRABALHO DE CATADORAS DE CATADORES DE MATERIAIS RECICLAVEIS GUARULHOS RECICLA</v>
      </c>
      <c r="D347" s="112" t="s">
        <v>331</v>
      </c>
      <c r="E347" s="112" t="s">
        <v>500</v>
      </c>
      <c r="F347" s="491">
        <v>11494</v>
      </c>
      <c r="G347" s="109">
        <v>9</v>
      </c>
      <c r="H347" s="561" t="s">
        <v>51</v>
      </c>
      <c r="I347" s="549">
        <v>45778</v>
      </c>
      <c r="J347" s="546">
        <v>45808</v>
      </c>
      <c r="K347" s="401">
        <v>39184.800000000003</v>
      </c>
      <c r="L347" s="398">
        <f>Tabela13[[#This Row],[VALOR
 BRUTO ]]-Tabela13[[#This Row],[VALOR 
LIQUIDO ]]</f>
        <v>2182.46</v>
      </c>
      <c r="M347" s="399">
        <f>Tabela13[[#This Row],[VALORES PAGOS 
(FORMA PAGTO)]]</f>
        <v>37002.339999999997</v>
      </c>
      <c r="N347" s="546">
        <v>45908</v>
      </c>
      <c r="O347" s="551">
        <v>37002.339999999997</v>
      </c>
      <c r="P347" s="549">
        <v>45951</v>
      </c>
      <c r="Q347" s="197" t="str" cm="1">
        <f t="array" aca="1" ref="Q347" ca="1">IF($P347&lt;&gt;"","PAGO",IF($N347&lt;TODAY(),"ATRASADO",IF($N347&gt;TODAY(),"NO PRAZO",IF($N347=TODAY(),"NO PRAZO",SE))))</f>
        <v>PAGO</v>
      </c>
      <c r="R347" s="150" t="str">
        <f t="shared" ca="1" si="5"/>
        <v/>
      </c>
      <c r="S347" s="729"/>
      <c r="T347" s="112"/>
      <c r="U347" s="552">
        <f ca="1">SUBTOTAL(3,Tabela13[[#This Row],[STATUS]])</f>
        <v>1</v>
      </c>
    </row>
    <row r="348" spans="1:21" ht="24" customHeight="1">
      <c r="A348" s="113">
        <v>45908</v>
      </c>
      <c r="B348" s="105">
        <v>118247</v>
      </c>
      <c r="C348" s="688" t="str">
        <f>IFERROR(VLOOKUP(Tabela13[[#This Row],[CÓD. EMPRESA]],Tabela3[[CÓDIGO
 EMPRESA ]:[EMPRESA]],2,FALSE),"")</f>
        <v>COOPERATIVA DE TRABALHO DE CATADORAS DE CATADORES DE MATERIAIS RECICLAVEIS GUARULHOS RECICLA</v>
      </c>
      <c r="D348" s="112" t="s">
        <v>331</v>
      </c>
      <c r="E348" s="112" t="s">
        <v>500</v>
      </c>
      <c r="F348" s="491">
        <v>19181</v>
      </c>
      <c r="G348" s="109">
        <v>9</v>
      </c>
      <c r="H348" s="561" t="s">
        <v>51</v>
      </c>
      <c r="I348" s="549">
        <v>45778</v>
      </c>
      <c r="J348" s="546">
        <v>45808</v>
      </c>
      <c r="K348" s="401">
        <v>3263.98</v>
      </c>
      <c r="L348" s="398">
        <f>Tabela13[[#This Row],[VALOR
 BRUTO ]]-Tabela13[[#This Row],[VALOR 
LIQUIDO ]]</f>
        <v>0</v>
      </c>
      <c r="M348" s="399">
        <f>Tabela13[[#This Row],[VALORES PAGOS 
(FORMA PAGTO)]]</f>
        <v>3263.98</v>
      </c>
      <c r="N348" s="546">
        <v>45908</v>
      </c>
      <c r="O348" s="551">
        <v>3263.98</v>
      </c>
      <c r="P348" s="549">
        <v>45951</v>
      </c>
      <c r="Q348" s="197" t="str" cm="1">
        <f t="array" aca="1" ref="Q348" ca="1">IF($P348&lt;&gt;"","PAGO",IF($N348&lt;TODAY(),"ATRASADO",IF($N348&gt;TODAY(),"NO PRAZO",IF($N348=TODAY(),"NO PRAZO",SE))))</f>
        <v>PAGO</v>
      </c>
      <c r="R348" s="150" t="str">
        <f t="shared" ca="1" si="5"/>
        <v/>
      </c>
      <c r="S348" s="729"/>
      <c r="T348" s="112"/>
      <c r="U348" s="552">
        <f ca="1">SUBTOTAL(3,Tabela13[[#This Row],[STATUS]])</f>
        <v>1</v>
      </c>
    </row>
    <row r="349" spans="1:21" ht="24" customHeight="1">
      <c r="A349" s="585">
        <v>45908</v>
      </c>
      <c r="B349" s="105">
        <v>119149</v>
      </c>
      <c r="C349" s="688" t="str">
        <f>IFERROR(VLOOKUP(Tabela13[[#This Row],[CÓD. EMPRESA]],Tabela3[[CÓDIGO
 EMPRESA ]:[EMPRESA]],2,FALSE),"")</f>
        <v>COOPERATIVA DE TRABALHO NOVO BAMBI</v>
      </c>
      <c r="D349" s="112" t="s">
        <v>348</v>
      </c>
      <c r="E349" s="112" t="s">
        <v>647</v>
      </c>
      <c r="F349" s="491">
        <v>9410</v>
      </c>
      <c r="G349" s="411">
        <v>11</v>
      </c>
      <c r="H349" s="586" t="s">
        <v>51</v>
      </c>
      <c r="I349" s="587">
        <v>45778</v>
      </c>
      <c r="J349" s="585">
        <v>45808</v>
      </c>
      <c r="K349" s="591">
        <v>5608</v>
      </c>
      <c r="L349" s="398">
        <f>Tabela13[[#This Row],[VALOR
 BRUTO ]]-Tabela13[[#This Row],[VALOR 
LIQUIDO ]]</f>
        <v>0</v>
      </c>
      <c r="M349" s="399">
        <f>Tabela13[[#This Row],[VALORES PAGOS 
(FORMA PAGTO)]]</f>
        <v>5608</v>
      </c>
      <c r="N349" s="585">
        <v>45908</v>
      </c>
      <c r="O349" s="588">
        <v>5608</v>
      </c>
      <c r="P349" s="587">
        <v>45951</v>
      </c>
      <c r="Q349" s="197" t="str" cm="1">
        <f t="array" aca="1" ref="Q349" ca="1">IF($P349&lt;&gt;"","PAGO",IF($N349&lt;TODAY(),"ATRASADO",IF($N349&gt;TODAY(),"NO PRAZO",IF($N349=TODAY(),"NO PRAZO",SE))))</f>
        <v>PAGO</v>
      </c>
      <c r="R349" s="150" t="str">
        <f t="shared" ca="1" si="5"/>
        <v/>
      </c>
      <c r="S349" s="852"/>
      <c r="T349" s="112"/>
      <c r="U349" s="589">
        <f ca="1">SUBTOTAL(3,Tabela13[[#This Row],[STATUS]])</f>
        <v>1</v>
      </c>
    </row>
    <row r="350" spans="1:21" ht="24" customHeight="1">
      <c r="A350" s="585">
        <v>45908</v>
      </c>
      <c r="B350" s="105">
        <v>119149</v>
      </c>
      <c r="C350" s="688" t="str">
        <f>IFERROR(VLOOKUP(Tabela13[[#This Row],[CÓD. EMPRESA]],Tabela3[[CÓDIGO
 EMPRESA ]:[EMPRESA]],2,FALSE),"")</f>
        <v>COOPERATIVA DE TRABALHO NOVO BAMBI</v>
      </c>
      <c r="D350" s="112" t="s">
        <v>348</v>
      </c>
      <c r="E350" s="112" t="s">
        <v>501</v>
      </c>
      <c r="F350" s="491">
        <v>11487</v>
      </c>
      <c r="G350" s="411">
        <v>11</v>
      </c>
      <c r="H350" s="586" t="s">
        <v>51</v>
      </c>
      <c r="I350" s="587">
        <v>45778</v>
      </c>
      <c r="J350" s="585">
        <v>45808</v>
      </c>
      <c r="K350" s="591">
        <v>18804.18</v>
      </c>
      <c r="L350" s="398">
        <f>Tabela13[[#This Row],[VALOR
 BRUTO ]]-Tabela13[[#This Row],[VALOR 
LIQUIDO ]]</f>
        <v>1220.6099999999999</v>
      </c>
      <c r="M350" s="399">
        <f>Tabela13[[#This Row],[VALORES PAGOS 
(FORMA PAGTO)]]</f>
        <v>17583.57</v>
      </c>
      <c r="N350" s="585">
        <v>45908</v>
      </c>
      <c r="O350" s="588">
        <v>17583.57</v>
      </c>
      <c r="P350" s="587">
        <v>45951</v>
      </c>
      <c r="Q350" s="197" t="str" cm="1">
        <f t="array" aca="1" ref="Q350" ca="1">IF($P350&lt;&gt;"","PAGO",IF($N350&lt;TODAY(),"ATRASADO",IF($N350&gt;TODAY(),"NO PRAZO",IF($N350=TODAY(),"NO PRAZO",SE))))</f>
        <v>PAGO</v>
      </c>
      <c r="R350" s="150" t="str">
        <f t="shared" ca="1" si="5"/>
        <v/>
      </c>
      <c r="S350" s="241"/>
      <c r="T350" s="112"/>
      <c r="U350" s="589">
        <f ca="1">SUBTOTAL(3,Tabela13[[#This Row],[STATUS]])</f>
        <v>1</v>
      </c>
    </row>
    <row r="351" spans="1:21" ht="24" customHeight="1">
      <c r="A351" s="585">
        <v>45908</v>
      </c>
      <c r="B351" s="105">
        <v>119151</v>
      </c>
      <c r="C351" s="688" t="str">
        <f>IFERROR(VLOOKUP(Tabela13[[#This Row],[CÓD. EMPRESA]],Tabela3[[CÓDIGO
 EMPRESA ]:[EMPRESA]],2,FALSE),"")</f>
        <v>COOPERATIVA DE TRABALHO DE CATADORAS E CATADORES DE MATERIAIS RECICLAVEIS NOVA VIDA</v>
      </c>
      <c r="D351" s="112" t="s">
        <v>332</v>
      </c>
      <c r="E351" s="112" t="s">
        <v>497</v>
      </c>
      <c r="F351" s="491">
        <v>4199</v>
      </c>
      <c r="G351" s="411">
        <v>11</v>
      </c>
      <c r="H351" s="586" t="s">
        <v>51</v>
      </c>
      <c r="I351" s="587">
        <v>45778</v>
      </c>
      <c r="J351" s="585">
        <v>45808</v>
      </c>
      <c r="K351" s="591">
        <v>6144.95</v>
      </c>
      <c r="L351" s="398">
        <f>Tabela13[[#This Row],[VALOR
 BRUTO ]]-Tabela13[[#This Row],[VALOR 
LIQUIDO ]]</f>
        <v>0</v>
      </c>
      <c r="M351" s="399">
        <f>Tabela13[[#This Row],[VALORES PAGOS 
(FORMA PAGTO)]]</f>
        <v>6144.95</v>
      </c>
      <c r="N351" s="585">
        <v>45908</v>
      </c>
      <c r="O351" s="588">
        <v>6144.95</v>
      </c>
      <c r="P351" s="587">
        <v>45951</v>
      </c>
      <c r="Q351" s="197" t="str" cm="1">
        <f t="array" aca="1" ref="Q351" ca="1">IF($P351&lt;&gt;"","PAGO",IF($N351&lt;TODAY(),"ATRASADO",IF($N351&gt;TODAY(),"NO PRAZO",IF($N351=TODAY(),"NO PRAZO",SE))))</f>
        <v>PAGO</v>
      </c>
      <c r="R351" s="150" t="str">
        <f t="shared" ca="1" si="5"/>
        <v/>
      </c>
      <c r="S351" s="852"/>
      <c r="T351" s="112"/>
      <c r="U351" s="589">
        <f ca="1">SUBTOTAL(3,Tabela13[[#This Row],[STATUS]])</f>
        <v>1</v>
      </c>
    </row>
    <row r="352" spans="1:21" ht="24" customHeight="1">
      <c r="A352" s="585">
        <v>45908</v>
      </c>
      <c r="B352" s="105">
        <v>119151</v>
      </c>
      <c r="C352" s="688" t="str">
        <f>IFERROR(VLOOKUP(Tabela13[[#This Row],[CÓD. EMPRESA]],Tabela3[[CÓDIGO
 EMPRESA ]:[EMPRESA]],2,FALSE),"")</f>
        <v>COOPERATIVA DE TRABALHO DE CATADORAS E CATADORES DE MATERIAIS RECICLAVEIS NOVA VIDA</v>
      </c>
      <c r="D352" s="112" t="s">
        <v>332</v>
      </c>
      <c r="E352" s="112" t="s">
        <v>497</v>
      </c>
      <c r="F352" s="491">
        <v>7079</v>
      </c>
      <c r="G352" s="411">
        <v>11</v>
      </c>
      <c r="H352" s="586" t="s">
        <v>51</v>
      </c>
      <c r="I352" s="587">
        <v>45778</v>
      </c>
      <c r="J352" s="585">
        <v>45808</v>
      </c>
      <c r="K352" s="591">
        <v>12534.03</v>
      </c>
      <c r="L352" s="398">
        <f>Tabela13[[#This Row],[VALOR
 BRUTO ]]-Tabela13[[#This Row],[VALOR 
LIQUIDO ]]</f>
        <v>933.95</v>
      </c>
      <c r="M352" s="399">
        <f>Tabela13[[#This Row],[VALORES PAGOS 
(FORMA PAGTO)]]</f>
        <v>11600.08</v>
      </c>
      <c r="N352" s="585">
        <v>45908</v>
      </c>
      <c r="O352" s="588">
        <v>11600.08</v>
      </c>
      <c r="P352" s="587">
        <v>45951</v>
      </c>
      <c r="Q352" s="197" t="str" cm="1">
        <f t="array" aca="1" ref="Q352" ca="1">IF($P352&lt;&gt;"","PAGO",IF($N352&lt;TODAY(),"ATRASADO",IF($N352&gt;TODAY(),"NO PRAZO",IF($N352=TODAY(),"NO PRAZO",SE))))</f>
        <v>PAGO</v>
      </c>
      <c r="R352" s="150" t="str">
        <f t="shared" ca="1" si="5"/>
        <v/>
      </c>
      <c r="S352" s="852"/>
      <c r="T352" s="112"/>
      <c r="U352" s="589">
        <f ca="1">SUBTOTAL(3,Tabela13[[#This Row],[STATUS]])</f>
        <v>1</v>
      </c>
    </row>
    <row r="353" spans="1:21" ht="24" customHeight="1">
      <c r="A353" s="585">
        <v>45908</v>
      </c>
      <c r="B353" s="105">
        <v>118229</v>
      </c>
      <c r="C353" s="688" t="str">
        <f>IFERROR(VLOOKUP(Tabela13[[#This Row],[CÓD. EMPRESA]],Tabela3[[CÓDIGO
 EMPRESA ]:[EMPRESA]],2,FALSE),"")</f>
        <v>COOPERATIVA DE TRABALHO DAS CATADORAS E CATADORES DE MATERIAIS RECICLAVEIS LUTA E VIDA</v>
      </c>
      <c r="D353" s="112" t="s">
        <v>330</v>
      </c>
      <c r="E353" s="112" t="s">
        <v>498</v>
      </c>
      <c r="F353" s="491">
        <v>4196</v>
      </c>
      <c r="G353" s="411">
        <v>11</v>
      </c>
      <c r="H353" s="586" t="s">
        <v>51</v>
      </c>
      <c r="I353" s="587">
        <v>45778</v>
      </c>
      <c r="J353" s="585">
        <v>45808</v>
      </c>
      <c r="K353" s="591">
        <v>18569.38</v>
      </c>
      <c r="L353" s="398">
        <f>Tabela13[[#This Row],[VALOR
 BRUTO ]]-Tabela13[[#This Row],[VALOR 
LIQUIDO ]]</f>
        <v>928.47</v>
      </c>
      <c r="M353" s="399">
        <f>Tabela13[[#This Row],[VALORES PAGOS 
(FORMA PAGTO)]]</f>
        <v>17640.91</v>
      </c>
      <c r="N353" s="585">
        <v>45908</v>
      </c>
      <c r="O353" s="588">
        <v>17640.91</v>
      </c>
      <c r="P353" s="587">
        <v>45951</v>
      </c>
      <c r="Q353" s="197" t="str" cm="1">
        <f t="array" aca="1" ref="Q353" ca="1">IF($P353&lt;&gt;"","PAGO",IF($N353&lt;TODAY(),"ATRASADO",IF($N353&gt;TODAY(),"NO PRAZO",IF($N353=TODAY(),"NO PRAZO",SE))))</f>
        <v>PAGO</v>
      </c>
      <c r="R353" s="150" t="str">
        <f t="shared" ca="1" si="5"/>
        <v/>
      </c>
      <c r="S353" s="852"/>
      <c r="T353" s="112"/>
      <c r="U353" s="589">
        <f ca="1">SUBTOTAL(3,Tabela13[[#This Row],[STATUS]])</f>
        <v>1</v>
      </c>
    </row>
    <row r="354" spans="1:21" ht="24" customHeight="1">
      <c r="A354" s="585">
        <v>45908</v>
      </c>
      <c r="B354" s="105">
        <v>119162</v>
      </c>
      <c r="C354" s="688" t="str">
        <f>IFERROR(VLOOKUP(Tabela13[[#This Row],[CÓD. EMPRESA]],Tabela3[[CÓDIGO
 EMPRESA ]:[EMPRESA]],2,FALSE),"")</f>
        <v>COOPERATIVA DE TRABALHO COLETA TRIAGEM BENEFICIAMENTO E COMERCIO DE MATERIAIS RECICLAVEIS NOVO CICLO</v>
      </c>
      <c r="D354" s="112" t="s">
        <v>343</v>
      </c>
      <c r="E354" s="112" t="s">
        <v>648</v>
      </c>
      <c r="F354" s="491">
        <v>4276</v>
      </c>
      <c r="G354" s="411">
        <v>11</v>
      </c>
      <c r="H354" s="586" t="s">
        <v>51</v>
      </c>
      <c r="I354" s="587">
        <v>45778</v>
      </c>
      <c r="J354" s="585">
        <v>45808</v>
      </c>
      <c r="K354" s="591">
        <v>12669.64</v>
      </c>
      <c r="L354" s="398">
        <f>Tabela13[[#This Row],[VALOR
 BRUTO ]]-Tabela13[[#This Row],[VALOR 
LIQUIDO ]]</f>
        <v>633.48</v>
      </c>
      <c r="M354" s="399">
        <f>Tabela13[[#This Row],[VALORES PAGOS 
(FORMA PAGTO)]]</f>
        <v>12036.16</v>
      </c>
      <c r="N354" s="585">
        <v>45908</v>
      </c>
      <c r="O354" s="588">
        <v>12036.16</v>
      </c>
      <c r="P354" s="587">
        <v>45951</v>
      </c>
      <c r="Q354" s="197" t="str" cm="1">
        <f t="array" aca="1" ref="Q354" ca="1">IF($P354&lt;&gt;"","PAGO",IF($N354&lt;TODAY(),"ATRASADO",IF($N354&gt;TODAY(),"NO PRAZO",IF($N354=TODAY(),"NO PRAZO",SE))))</f>
        <v>PAGO</v>
      </c>
      <c r="R354" s="150" t="str">
        <f t="shared" ca="1" si="5"/>
        <v/>
      </c>
      <c r="S354" s="852"/>
      <c r="T354" s="112"/>
      <c r="U354" s="589">
        <f ca="1">SUBTOTAL(3,Tabela13[[#This Row],[STATUS]])</f>
        <v>1</v>
      </c>
    </row>
    <row r="355" spans="1:21" ht="24" customHeight="1">
      <c r="A355" s="546">
        <v>45908</v>
      </c>
      <c r="B355" s="105">
        <v>121973</v>
      </c>
      <c r="C355" s="688" t="str">
        <f>IFERROR(VLOOKUP(Tabela13[[#This Row],[CÓD. EMPRESA]],Tabela3[[CÓDIGO
 EMPRESA ]:[EMPRESA]],2,FALSE),"")</f>
        <v>CONSORCIO CENTRO DE TRATAMENTO DE RESIDUOS GUARULHOS</v>
      </c>
      <c r="D355" s="112" t="s">
        <v>446</v>
      </c>
      <c r="E355" s="112" t="s">
        <v>564</v>
      </c>
      <c r="F355" s="491">
        <v>6841</v>
      </c>
      <c r="G355" s="411">
        <v>8</v>
      </c>
      <c r="H355" s="165" t="s">
        <v>51</v>
      </c>
      <c r="I355" s="549">
        <v>45839</v>
      </c>
      <c r="J355" s="546">
        <v>45869</v>
      </c>
      <c r="K355" s="550">
        <v>825090.65</v>
      </c>
      <c r="L355" s="398">
        <f>Tabela13[[#This Row],[VALOR
 BRUTO ]]-Tabela13[[#This Row],[VALOR 
LIQUIDO ]]</f>
        <v>165016.79</v>
      </c>
      <c r="M355" s="399">
        <f>Tabela13[[#This Row],[VALORES PAGOS 
(FORMA PAGTO)]]</f>
        <v>660073.86</v>
      </c>
      <c r="N355" s="546">
        <v>45920</v>
      </c>
      <c r="O355" s="551">
        <v>660073.86</v>
      </c>
      <c r="P355" s="549">
        <v>45975</v>
      </c>
      <c r="Q355" s="197" t="str" cm="1">
        <f t="array" aca="1" ref="Q355" ca="1">IF($P355&lt;&gt;"","PAGO",IF($N355&lt;TODAY(),"ATRASADO",IF($N355&gt;TODAY(),"NO PRAZO",IF($N355=TODAY(),"NO PRAZO",SE))))</f>
        <v>PAGO</v>
      </c>
      <c r="R355" s="150" t="str">
        <f t="shared" ca="1" si="5"/>
        <v/>
      </c>
      <c r="S355" s="563"/>
      <c r="T355" s="112"/>
      <c r="U355" s="552">
        <f ca="1">SUBTOTAL(3,Tabela13[[#This Row],[STATUS]])</f>
        <v>1</v>
      </c>
    </row>
    <row r="356" spans="1:21" ht="24" customHeight="1">
      <c r="A356" s="631">
        <v>45909</v>
      </c>
      <c r="B356" s="105">
        <v>73112</v>
      </c>
      <c r="C356" s="688" t="str">
        <f>IFERROR(VLOOKUP(Tabela13[[#This Row],[CÓD. EMPRESA]],Tabela3[[CÓDIGO
 EMPRESA ]:[EMPRESA]],2,FALSE),"")</f>
        <v>M CONSTRUÇÕES &amp; SERVIÇOS LTDA</v>
      </c>
      <c r="D356" s="112" t="s">
        <v>30</v>
      </c>
      <c r="E356" s="112" t="s">
        <v>494</v>
      </c>
      <c r="F356" s="491">
        <v>12613</v>
      </c>
      <c r="G356" s="411">
        <v>2359</v>
      </c>
      <c r="H356" s="632" t="s">
        <v>51</v>
      </c>
      <c r="I356" s="633">
        <v>45839</v>
      </c>
      <c r="J356" s="631">
        <v>45869</v>
      </c>
      <c r="K356" s="634">
        <v>8295368.7999999998</v>
      </c>
      <c r="L356" s="398">
        <f>Tabela13[[#This Row],[VALOR
 BRUTO ]]-Tabela13[[#This Row],[VALORES PAGOS 
(FORMA PAGTO)]]-O357</f>
        <v>1426803.44</v>
      </c>
      <c r="M356" s="399">
        <f>Tabela13[[#This Row],[VALORES PAGOS 
(FORMA PAGTO)]]</f>
        <v>3434282.68</v>
      </c>
      <c r="N356" s="631">
        <v>45909</v>
      </c>
      <c r="O356" s="635">
        <v>3434282.68</v>
      </c>
      <c r="P356" s="633">
        <v>45915</v>
      </c>
      <c r="Q356" s="197" t="str" cm="1">
        <f t="array" aca="1" ref="Q356" ca="1">IF($P356&lt;&gt;"","PAGO",IF($N356&lt;TODAY(),"ATRASADO",IF($N356&gt;TODAY(),"NO PRAZO",IF($N356=TODAY(),"NO PRAZO",SE))))</f>
        <v>PAGO</v>
      </c>
      <c r="R356" s="150" t="str">
        <f t="shared" ca="1" si="5"/>
        <v/>
      </c>
      <c r="S356" s="720"/>
      <c r="T356" s="635"/>
      <c r="U356" s="636">
        <f ca="1">SUBTOTAL(3,Tabela13[[#This Row],[STATUS]])</f>
        <v>1</v>
      </c>
    </row>
    <row r="357" spans="1:21" ht="24" customHeight="1">
      <c r="A357" s="631">
        <v>45909</v>
      </c>
      <c r="B357" s="105">
        <v>73112</v>
      </c>
      <c r="C357" s="688" t="str">
        <f>IFERROR(VLOOKUP(Tabela13[[#This Row],[CÓD. EMPRESA]],Tabela3[[CÓDIGO
 EMPRESA ]:[EMPRESA]],2,FALSE),"")</f>
        <v>M CONSTRUÇÕES &amp; SERVIÇOS LTDA</v>
      </c>
      <c r="D357" s="112" t="s">
        <v>30</v>
      </c>
      <c r="E357" s="112" t="s">
        <v>494</v>
      </c>
      <c r="F357" s="491">
        <v>12613</v>
      </c>
      <c r="G357" s="411">
        <v>2359</v>
      </c>
      <c r="H357" s="632" t="s">
        <v>51</v>
      </c>
      <c r="I357" s="633">
        <v>45839</v>
      </c>
      <c r="J357" s="631">
        <v>45869</v>
      </c>
      <c r="K357" s="841"/>
      <c r="L357" s="842"/>
      <c r="M357" s="843">
        <f>Tabela13[[#This Row],[VALORES PAGOS 
(FORMA PAGTO)]]</f>
        <v>3434282.68</v>
      </c>
      <c r="N357" s="631">
        <v>45910</v>
      </c>
      <c r="O357" s="844">
        <v>3434282.68</v>
      </c>
      <c r="P357" s="840">
        <v>45930</v>
      </c>
      <c r="Q357" s="845" t="str" cm="1">
        <f t="array" aca="1" ref="Q357" ca="1">IF($P357&lt;&gt;"","PAGO",IF($N357&lt;TODAY(),"ATRASADO",IF($N357&gt;TODAY(),"NO PRAZO",IF($N357=TODAY(),"NO PRAZO",SE))))</f>
        <v>PAGO</v>
      </c>
      <c r="R357" s="259" t="str">
        <f t="shared" ca="1" si="5"/>
        <v/>
      </c>
      <c r="S357" s="839"/>
      <c r="T357" s="851"/>
      <c r="U357" s="846">
        <f ca="1">SUBTOTAL(3,Tabela13[[#This Row],[STATUS]])</f>
        <v>1</v>
      </c>
    </row>
    <row r="358" spans="1:21" ht="24" customHeight="1">
      <c r="A358" s="546">
        <v>45915</v>
      </c>
      <c r="B358" s="105">
        <v>103747</v>
      </c>
      <c r="C358" s="688" t="str">
        <f>IFERROR(VLOOKUP(Tabela13[[#This Row],[CÓD. EMPRESA]],Tabela3[[CÓDIGO
 EMPRESA ]:[EMPRESA]],2,FALSE),"")</f>
        <v>CDR PEDREIRA CENTRO DE DISPOSIÇÃO DE RESÍDUOS LTDA</v>
      </c>
      <c r="D358" s="112" t="s">
        <v>334</v>
      </c>
      <c r="E358" s="112" t="s">
        <v>431</v>
      </c>
      <c r="F358" s="491">
        <v>19569</v>
      </c>
      <c r="G358" s="411">
        <v>3846</v>
      </c>
      <c r="H358" s="165" t="s">
        <v>52</v>
      </c>
      <c r="I358" s="549">
        <v>45870</v>
      </c>
      <c r="J358" s="546">
        <v>45900</v>
      </c>
      <c r="K358" s="550">
        <v>3585003.4</v>
      </c>
      <c r="L358" s="398">
        <f>Tabela13[[#This Row],[VALOR
 BRUTO ]]-Tabela13[[#This Row],[VALORES PAGOS 
(FORMA PAGTO)]]</f>
        <v>351330.33</v>
      </c>
      <c r="M358" s="399">
        <f>Tabela13[[#This Row],[VALORES PAGOS 
(FORMA PAGTO)]]</f>
        <v>3233673.07</v>
      </c>
      <c r="N358" s="546">
        <v>45939</v>
      </c>
      <c r="O358" s="551">
        <v>3233673.07</v>
      </c>
      <c r="P358" s="549">
        <v>45975</v>
      </c>
      <c r="Q358" s="197" t="str" cm="1">
        <f t="array" aca="1" ref="Q358" ca="1">IF($P358&lt;&gt;"","PAGO",IF($N358&lt;TODAY(),"ATRASADO",IF($N358&gt;TODAY(),"NO PRAZO",IF($N358=TODAY(),"NO PRAZO",SE))))</f>
        <v>PAGO</v>
      </c>
      <c r="R358" s="150" t="str">
        <f t="shared" ca="1" si="5"/>
        <v/>
      </c>
      <c r="S358" s="729"/>
      <c r="T358" s="112"/>
      <c r="U358" s="552">
        <f ca="1">SUBTOTAL(3,Tabela13[[#This Row],[STATUS]])</f>
        <v>1</v>
      </c>
    </row>
    <row r="359" spans="1:21" ht="24" customHeight="1">
      <c r="A359" s="546">
        <v>45915</v>
      </c>
      <c r="B359" s="105">
        <v>76116</v>
      </c>
      <c r="C359" s="688" t="str">
        <f>IFERROR(VLOOKUP(Tabela13[[#This Row],[CÓD. EMPRESA]],Tabela3[[CÓDIGO
 EMPRESA ]:[EMPRESA]],2,FALSE),"")</f>
        <v>ALVORADA SISTEMA AMBIENTAL EIRELI</v>
      </c>
      <c r="D359" s="112" t="s">
        <v>342</v>
      </c>
      <c r="E359" s="112" t="s">
        <v>460</v>
      </c>
      <c r="F359" s="491">
        <v>4190</v>
      </c>
      <c r="G359" s="411">
        <v>14708</v>
      </c>
      <c r="H359" s="165" t="s">
        <v>52</v>
      </c>
      <c r="I359" s="549">
        <v>45870</v>
      </c>
      <c r="J359" s="546">
        <v>45900</v>
      </c>
      <c r="K359" s="550">
        <v>19981.36</v>
      </c>
      <c r="L359" s="398">
        <f>Tabela13[[#This Row],[VALOR
 BRUTO ]]-Tabela13[[#This Row],[VALOR 
LIQUIDO ]]</f>
        <v>0</v>
      </c>
      <c r="M359" s="399">
        <f>Tabela13[[#This Row],[VALORES PAGOS 
(FORMA PAGTO)]]</f>
        <v>19981.36</v>
      </c>
      <c r="N359" s="546">
        <v>45931</v>
      </c>
      <c r="O359" s="551">
        <v>19981.36</v>
      </c>
      <c r="P359" s="549">
        <v>45978</v>
      </c>
      <c r="Q359" s="197" t="str" cm="1">
        <f t="array" aca="1" ref="Q359" ca="1">IF($P359&lt;&gt;"","PAGO",IF($N359&lt;TODAY(),"ATRASADO",IF($N359&gt;TODAY(),"NO PRAZO",IF($N359=TODAY(),"NO PRAZO",SE))))</f>
        <v>PAGO</v>
      </c>
      <c r="R359" s="150" t="str">
        <f t="shared" ca="1" si="5"/>
        <v/>
      </c>
      <c r="S359" s="729"/>
      <c r="T359" s="112"/>
      <c r="U359" s="552">
        <f ca="1">SUBTOTAL(3,Tabela13[[#This Row],[STATUS]])</f>
        <v>1</v>
      </c>
    </row>
    <row r="360" spans="1:21" ht="24" customHeight="1">
      <c r="A360" s="546">
        <v>45916</v>
      </c>
      <c r="B360" s="105">
        <v>76116</v>
      </c>
      <c r="C360" s="688" t="str">
        <f>IFERROR(VLOOKUP(Tabela13[[#This Row],[CÓD. EMPRESA]],Tabela3[[CÓDIGO
 EMPRESA ]:[EMPRESA]],2,FALSE),"")</f>
        <v>ALVORADA SISTEMA AMBIENTAL EIRELI</v>
      </c>
      <c r="D360" s="112" t="s">
        <v>342</v>
      </c>
      <c r="E360" s="112" t="s">
        <v>460</v>
      </c>
      <c r="F360" s="491">
        <v>6835</v>
      </c>
      <c r="G360" s="411">
        <v>14708</v>
      </c>
      <c r="H360" s="165" t="s">
        <v>52</v>
      </c>
      <c r="I360" s="549">
        <v>45870</v>
      </c>
      <c r="J360" s="546">
        <v>45900</v>
      </c>
      <c r="K360" s="550">
        <v>46876.28</v>
      </c>
      <c r="L360" s="398">
        <f>Tabela13[[#This Row],[VALOR
 BRUTO ]]-Tabela13[[#This Row],[VALOR 
LIQUIDO ]]</f>
        <v>6552.05</v>
      </c>
      <c r="M360" s="399">
        <f>Tabela13[[#This Row],[VALORES PAGOS 
(FORMA PAGTO)]]</f>
        <v>40324.230000000003</v>
      </c>
      <c r="N360" s="546">
        <v>45931</v>
      </c>
      <c r="O360" s="551">
        <v>40324.230000000003</v>
      </c>
      <c r="P360" s="549">
        <v>45978</v>
      </c>
      <c r="Q360" s="197" t="str" cm="1">
        <f t="array" aca="1" ref="Q360" ca="1">IF($P360&lt;&gt;"","PAGO",IF($N360&lt;TODAY(),"ATRASADO",IF($N360&gt;TODAY(),"NO PRAZO",IF($N360=TODAY(),"NO PRAZO",SE))))</f>
        <v>PAGO</v>
      </c>
      <c r="R360" s="150" t="str">
        <f t="shared" ca="1" si="5"/>
        <v/>
      </c>
      <c r="S360" s="729"/>
      <c r="T360" s="112"/>
      <c r="U360" s="552">
        <f ca="1">SUBTOTAL(3,Tabela13[[#This Row],[STATUS]])</f>
        <v>1</v>
      </c>
    </row>
    <row r="361" spans="1:21" ht="24" customHeight="1">
      <c r="A361" s="546">
        <v>45916</v>
      </c>
      <c r="B361" s="105">
        <v>58778</v>
      </c>
      <c r="C361" s="688" t="str">
        <f>IFERROR(VLOOKUP(Tabela13[[#This Row],[CÓD. EMPRESA]],Tabela3[[CÓDIGO
 EMPRESA ]:[EMPRESA]],2,FALSE),"")</f>
        <v>ATTEND AMBIENTAL S.A</v>
      </c>
      <c r="D361" s="112" t="s">
        <v>335</v>
      </c>
      <c r="E361" s="112" t="s">
        <v>592</v>
      </c>
      <c r="F361" s="491">
        <v>4189</v>
      </c>
      <c r="G361" s="411">
        <v>48960</v>
      </c>
      <c r="H361" s="165" t="s">
        <v>52</v>
      </c>
      <c r="I361" s="549">
        <v>45870</v>
      </c>
      <c r="J361" s="546">
        <v>45900</v>
      </c>
      <c r="K361" s="550">
        <v>18460.79</v>
      </c>
      <c r="L361" s="398">
        <f>Tabela13[[#This Row],[VALOR
 BRUTO ]]-Tabela13[[#This Row],[VALOR 
LIQUIDO ]]</f>
        <v>0</v>
      </c>
      <c r="M361" s="399">
        <f>Tabela13[[#This Row],[VALORES PAGOS 
(FORMA PAGTO)]]</f>
        <v>18460.79</v>
      </c>
      <c r="N361" s="546">
        <v>45931</v>
      </c>
      <c r="O361" s="551">
        <v>18460.79</v>
      </c>
      <c r="P361" s="549">
        <v>45978</v>
      </c>
      <c r="Q361" s="197" t="str" cm="1">
        <f t="array" aca="1" ref="Q361" ca="1">IF($P361&lt;&gt;"","PAGO",IF($N361&lt;TODAY(),"ATRASADO",IF($N361&gt;TODAY(),"NO PRAZO",IF($N361=TODAY(),"NO PRAZO",SE))))</f>
        <v>PAGO</v>
      </c>
      <c r="R361" s="150" t="str">
        <f t="shared" ca="1" si="5"/>
        <v/>
      </c>
      <c r="S361" s="729"/>
      <c r="T361" s="112"/>
      <c r="U361" s="552">
        <f ca="1">SUBTOTAL(3,Tabela13[[#This Row],[STATUS]])</f>
        <v>1</v>
      </c>
    </row>
    <row r="362" spans="1:21" ht="24" customHeight="1">
      <c r="A362" s="546">
        <v>45916</v>
      </c>
      <c r="B362" s="105">
        <v>58778</v>
      </c>
      <c r="C362" s="688" t="str">
        <f>IFERROR(VLOOKUP(Tabela13[[#This Row],[CÓD. EMPRESA]],Tabela3[[CÓDIGO
 EMPRESA ]:[EMPRESA]],2,FALSE),"")</f>
        <v>ATTEND AMBIENTAL S.A</v>
      </c>
      <c r="D362" s="112" t="s">
        <v>335</v>
      </c>
      <c r="E362" s="112" t="s">
        <v>592</v>
      </c>
      <c r="F362" s="491">
        <v>6826</v>
      </c>
      <c r="G362" s="411">
        <v>48960</v>
      </c>
      <c r="H362" s="165" t="s">
        <v>52</v>
      </c>
      <c r="I362" s="549">
        <v>45870</v>
      </c>
      <c r="J362" s="546">
        <v>45688</v>
      </c>
      <c r="K362" s="550">
        <v>43309.03</v>
      </c>
      <c r="L362" s="398">
        <f>Tabela13[[#This Row],[VALOR
 BRUTO ]]-Tabela13[[#This Row],[VALOR 
LIQUIDO ]]</f>
        <v>2964.95</v>
      </c>
      <c r="M362" s="399">
        <f>Tabela13[[#This Row],[VALORES PAGOS 
(FORMA PAGTO)]]</f>
        <v>40344.080000000002</v>
      </c>
      <c r="N362" s="546">
        <v>45931</v>
      </c>
      <c r="O362" s="551">
        <v>40344.080000000002</v>
      </c>
      <c r="P362" s="549">
        <v>45978</v>
      </c>
      <c r="Q362" s="197" t="str" cm="1">
        <f t="array" aca="1" ref="Q362" ca="1">IF($P362&lt;&gt;"","PAGO",IF($N362&lt;TODAY(),"ATRASADO",IF($N362&gt;TODAY(),"NO PRAZO",IF($N362=TODAY(),"NO PRAZO",SE))))</f>
        <v>PAGO</v>
      </c>
      <c r="R362" s="150" t="str">
        <f t="shared" ca="1" si="5"/>
        <v/>
      </c>
      <c r="S362" s="729"/>
      <c r="T362" s="112"/>
      <c r="U362" s="552">
        <f ca="1">SUBTOTAL(3,Tabela13[[#This Row],[STATUS]])</f>
        <v>1</v>
      </c>
    </row>
    <row r="363" spans="1:21" ht="24" customHeight="1">
      <c r="A363" s="546">
        <v>45917</v>
      </c>
      <c r="B363" s="105">
        <v>54175</v>
      </c>
      <c r="C363" s="688" t="str">
        <f>IFERROR(VLOOKUP(Tabela13[[#This Row],[CÓD. EMPRESA]],Tabela3[[CÓDIGO
 EMPRESA ]:[EMPRESA]],2,FALSE),"")</f>
        <v>CONSELHO DE ARQUITETURA E URBANISMO DE SÃO PAULO (CAU-SP)</v>
      </c>
      <c r="D363" s="112" t="s">
        <v>632</v>
      </c>
      <c r="E363" s="112" t="s">
        <v>419</v>
      </c>
      <c r="F363" s="491">
        <v>20987</v>
      </c>
      <c r="G363" s="411">
        <v>23008781</v>
      </c>
      <c r="H363" s="165" t="s">
        <v>51</v>
      </c>
      <c r="I363" s="549"/>
      <c r="J363" s="546"/>
      <c r="K363" s="550">
        <v>125.4</v>
      </c>
      <c r="L363" s="398">
        <f>Tabela13[[#This Row],[VALOR
 BRUTO ]]-Tabela13[[#This Row],[VALOR 
LIQUIDO ]]</f>
        <v>0</v>
      </c>
      <c r="M363" s="399">
        <f>Tabela13[[#This Row],[VALORES PAGOS 
(FORMA PAGTO)]]</f>
        <v>125.4</v>
      </c>
      <c r="N363" s="546">
        <v>45930</v>
      </c>
      <c r="O363" s="551">
        <v>125.4</v>
      </c>
      <c r="P363" s="549">
        <v>45930</v>
      </c>
      <c r="Q363" s="197" t="str" cm="1">
        <f t="array" aca="1" ref="Q363" ca="1">IF($P363&lt;&gt;"","PAGO",IF($N363&lt;TODAY(),"ATRASADO",IF($N363&gt;TODAY(),"NO PRAZO",IF($N363=TODAY(),"NO PRAZO",SE))))</f>
        <v>PAGO</v>
      </c>
      <c r="R363" s="150" t="str">
        <f t="shared" ca="1" si="5"/>
        <v/>
      </c>
      <c r="S363" s="729"/>
      <c r="T363" s="112"/>
      <c r="U363" s="552">
        <f ca="1">SUBTOTAL(3,Tabela13[[#This Row],[STATUS]])</f>
        <v>1</v>
      </c>
    </row>
    <row r="364" spans="1:21" ht="24" customHeight="1">
      <c r="A364" s="546">
        <v>45917</v>
      </c>
      <c r="B364" s="105">
        <v>54175</v>
      </c>
      <c r="C364" s="688" t="str">
        <f>IFERROR(VLOOKUP(Tabela13[[#This Row],[CÓD. EMPRESA]],Tabela3[[CÓDIGO
 EMPRESA ]:[EMPRESA]],2,FALSE),"")</f>
        <v>CONSELHO DE ARQUITETURA E URBANISMO DE SÃO PAULO (CAU-SP)</v>
      </c>
      <c r="D364" s="112" t="s">
        <v>632</v>
      </c>
      <c r="E364" s="112" t="s">
        <v>419</v>
      </c>
      <c r="F364" s="491">
        <v>20987</v>
      </c>
      <c r="G364" s="411">
        <v>23009226</v>
      </c>
      <c r="H364" s="165" t="s">
        <v>51</v>
      </c>
      <c r="I364" s="549"/>
      <c r="J364" s="546"/>
      <c r="K364" s="550">
        <v>125.4</v>
      </c>
      <c r="L364" s="398">
        <f>Tabela13[[#This Row],[VALOR
 BRUTO ]]-Tabela13[[#This Row],[VALOR 
LIQUIDO ]]</f>
        <v>0</v>
      </c>
      <c r="M364" s="399">
        <f>Tabela13[[#This Row],[VALORES PAGOS 
(FORMA PAGTO)]]</f>
        <v>125.4</v>
      </c>
      <c r="N364" s="546">
        <v>45930</v>
      </c>
      <c r="O364" s="551">
        <v>125.4</v>
      </c>
      <c r="P364" s="549">
        <v>45930</v>
      </c>
      <c r="Q364" s="197" t="str" cm="1">
        <f t="array" aca="1" ref="Q364" ca="1">IF($P364&lt;&gt;"","PAGO",IF($N364&lt;TODAY(),"ATRASADO",IF($N364&gt;TODAY(),"NO PRAZO",IF($N364=TODAY(),"NO PRAZO",SE))))</f>
        <v>PAGO</v>
      </c>
      <c r="R364" s="150" t="str">
        <f t="shared" ca="1" si="5"/>
        <v/>
      </c>
      <c r="S364" s="729"/>
      <c r="T364" s="112"/>
      <c r="U364" s="552">
        <f ca="1">SUBTOTAL(3,Tabela13[[#This Row],[STATUS]])</f>
        <v>1</v>
      </c>
    </row>
    <row r="365" spans="1:21" ht="24" customHeight="1">
      <c r="A365" s="546">
        <v>45917</v>
      </c>
      <c r="B365" s="105">
        <v>54175</v>
      </c>
      <c r="C365" s="688" t="str">
        <f>IFERROR(VLOOKUP(Tabela13[[#This Row],[CÓD. EMPRESA]],Tabela3[[CÓDIGO
 EMPRESA ]:[EMPRESA]],2,FALSE),"")</f>
        <v>CONSELHO DE ARQUITETURA E URBANISMO DE SÃO PAULO (CAU-SP)</v>
      </c>
      <c r="D365" s="112" t="s">
        <v>632</v>
      </c>
      <c r="E365" s="112" t="s">
        <v>419</v>
      </c>
      <c r="F365" s="491">
        <v>20987</v>
      </c>
      <c r="G365" s="411">
        <v>23010116</v>
      </c>
      <c r="H365" s="165" t="s">
        <v>51</v>
      </c>
      <c r="I365" s="549"/>
      <c r="J365" s="546"/>
      <c r="K365" s="550">
        <v>125.4</v>
      </c>
      <c r="L365" s="398">
        <f>Tabela13[[#This Row],[VALOR
 BRUTO ]]-Tabela13[[#This Row],[VALOR 
LIQUIDO ]]</f>
        <v>0</v>
      </c>
      <c r="M365" s="399">
        <f>Tabela13[[#This Row],[VALORES PAGOS 
(FORMA PAGTO)]]</f>
        <v>125.4</v>
      </c>
      <c r="N365" s="546">
        <v>45930</v>
      </c>
      <c r="O365" s="551">
        <v>125.4</v>
      </c>
      <c r="P365" s="549">
        <v>45930</v>
      </c>
      <c r="Q365" s="197" t="str" cm="1">
        <f t="array" aca="1" ref="Q365" ca="1">IF($P365&lt;&gt;"","PAGO",IF($N365&lt;TODAY(),"ATRASADO",IF($N365&gt;TODAY(),"NO PRAZO",IF($N365=TODAY(),"NO PRAZO",SE))))</f>
        <v>PAGO</v>
      </c>
      <c r="R365" s="150" t="str">
        <f t="shared" ca="1" si="5"/>
        <v/>
      </c>
      <c r="S365" s="729"/>
      <c r="T365" s="112"/>
      <c r="U365" s="552">
        <f ca="1">SUBTOTAL(3,Tabela13[[#This Row],[STATUS]])</f>
        <v>1</v>
      </c>
    </row>
    <row r="366" spans="1:21" ht="24" customHeight="1">
      <c r="A366" s="585">
        <v>45917</v>
      </c>
      <c r="B366" s="105">
        <v>54175</v>
      </c>
      <c r="C366" s="688" t="str">
        <f>IFERROR(VLOOKUP(Tabela13[[#This Row],[CÓD. EMPRESA]],Tabela3[[CÓDIGO
 EMPRESA ]:[EMPRESA]],2,FALSE),"")</f>
        <v>CONSELHO DE ARQUITETURA E URBANISMO DE SÃO PAULO (CAU-SP)</v>
      </c>
      <c r="D366" s="112" t="s">
        <v>632</v>
      </c>
      <c r="E366" s="112" t="s">
        <v>419</v>
      </c>
      <c r="F366" s="491">
        <v>20987</v>
      </c>
      <c r="G366" s="411">
        <v>23010185</v>
      </c>
      <c r="H366" s="165" t="s">
        <v>51</v>
      </c>
      <c r="I366" s="587"/>
      <c r="J366" s="585"/>
      <c r="K366" s="591">
        <v>125.4</v>
      </c>
      <c r="L366" s="398">
        <f>Tabela13[[#This Row],[VALOR
 BRUTO ]]-Tabela13[[#This Row],[VALOR 
LIQUIDO ]]</f>
        <v>0</v>
      </c>
      <c r="M366" s="399">
        <f>Tabela13[[#This Row],[VALORES PAGOS 
(FORMA PAGTO)]]</f>
        <v>125.4</v>
      </c>
      <c r="N366" s="585">
        <v>45930</v>
      </c>
      <c r="O366" s="588">
        <v>125.4</v>
      </c>
      <c r="P366" s="587">
        <v>45930</v>
      </c>
      <c r="Q366" s="197" t="str" cm="1">
        <f t="array" aca="1" ref="Q366" ca="1">IF($P366&lt;&gt;"","PAGO",IF($N366&lt;TODAY(),"ATRASADO",IF($N366&gt;TODAY(),"NO PRAZO",IF($N366=TODAY(),"NO PRAZO",SE))))</f>
        <v>PAGO</v>
      </c>
      <c r="R366" s="150" t="str">
        <f t="shared" ca="1" si="5"/>
        <v/>
      </c>
      <c r="S366" s="852"/>
      <c r="T366" s="112"/>
      <c r="U366" s="589">
        <f ca="1">SUBTOTAL(3,Tabela13[[#This Row],[STATUS]])</f>
        <v>1</v>
      </c>
    </row>
    <row r="367" spans="1:21" ht="24" customHeight="1">
      <c r="A367" s="585">
        <v>45917</v>
      </c>
      <c r="B367" s="105">
        <v>54175</v>
      </c>
      <c r="C367" s="688" t="str">
        <f>IFERROR(VLOOKUP(Tabela13[[#This Row],[CÓD. EMPRESA]],Tabela3[[CÓDIGO
 EMPRESA ]:[EMPRESA]],2,FALSE),"")</f>
        <v>CONSELHO DE ARQUITETURA E URBANISMO DE SÃO PAULO (CAU-SP)</v>
      </c>
      <c r="D367" s="112" t="s">
        <v>632</v>
      </c>
      <c r="E367" s="112" t="s">
        <v>419</v>
      </c>
      <c r="F367" s="491">
        <v>20987</v>
      </c>
      <c r="G367" s="411">
        <v>23010377</v>
      </c>
      <c r="H367" s="165" t="s">
        <v>51</v>
      </c>
      <c r="I367" s="587"/>
      <c r="J367" s="585"/>
      <c r="K367" s="591">
        <v>125.4</v>
      </c>
      <c r="L367" s="398">
        <f>Tabela13[[#This Row],[VALOR
 BRUTO ]]-Tabela13[[#This Row],[VALOR 
LIQUIDO ]]</f>
        <v>0</v>
      </c>
      <c r="M367" s="399">
        <f>Tabela13[[#This Row],[VALORES PAGOS 
(FORMA PAGTO)]]</f>
        <v>125.4</v>
      </c>
      <c r="N367" s="585">
        <v>45930</v>
      </c>
      <c r="O367" s="588">
        <v>125.4</v>
      </c>
      <c r="P367" s="587">
        <v>45930</v>
      </c>
      <c r="Q367" s="197" t="str" cm="1">
        <f t="array" aca="1" ref="Q367" ca="1">IF($P367&lt;&gt;"","PAGO",IF($N367&lt;TODAY(),"ATRASADO",IF($N367&gt;TODAY(),"NO PRAZO",IF($N367=TODAY(),"NO PRAZO",SE))))</f>
        <v>PAGO</v>
      </c>
      <c r="R367" s="150" t="str">
        <f t="shared" ca="1" si="5"/>
        <v/>
      </c>
      <c r="S367" s="852"/>
      <c r="T367" s="112"/>
      <c r="U367" s="589">
        <f ca="1">SUBTOTAL(3,Tabela13[[#This Row],[STATUS]])</f>
        <v>1</v>
      </c>
    </row>
    <row r="368" spans="1:21" ht="24" customHeight="1">
      <c r="A368" s="585">
        <v>45917</v>
      </c>
      <c r="B368" s="105">
        <v>54175</v>
      </c>
      <c r="C368" s="688" t="str">
        <f>IFERROR(VLOOKUP(Tabela13[[#This Row],[CÓD. EMPRESA]],Tabela3[[CÓDIGO
 EMPRESA ]:[EMPRESA]],2,FALSE),"")</f>
        <v>CONSELHO DE ARQUITETURA E URBANISMO DE SÃO PAULO (CAU-SP)</v>
      </c>
      <c r="D368" s="112" t="s">
        <v>632</v>
      </c>
      <c r="E368" s="112" t="s">
        <v>419</v>
      </c>
      <c r="F368" s="491">
        <v>20987</v>
      </c>
      <c r="G368" s="411">
        <v>23010447</v>
      </c>
      <c r="H368" s="165" t="s">
        <v>51</v>
      </c>
      <c r="I368" s="587"/>
      <c r="J368" s="585"/>
      <c r="K368" s="591">
        <v>125.4</v>
      </c>
      <c r="L368" s="398">
        <f>Tabela13[[#This Row],[VALOR
 BRUTO ]]-Tabela13[[#This Row],[VALOR 
LIQUIDO ]]</f>
        <v>0</v>
      </c>
      <c r="M368" s="399">
        <f>Tabela13[[#This Row],[VALORES PAGOS 
(FORMA PAGTO)]]</f>
        <v>125.4</v>
      </c>
      <c r="N368" s="585">
        <v>45930</v>
      </c>
      <c r="O368" s="588">
        <v>125.4</v>
      </c>
      <c r="P368" s="587">
        <v>45930</v>
      </c>
      <c r="Q368" s="197" t="str" cm="1">
        <f t="array" aca="1" ref="Q368" ca="1">IF($P368&lt;&gt;"","PAGO",IF($N368&lt;TODAY(),"ATRASADO",IF($N368&gt;TODAY(),"NO PRAZO",IF($N368=TODAY(),"NO PRAZO",SE))))</f>
        <v>PAGO</v>
      </c>
      <c r="R368" s="150" t="str">
        <f t="shared" ca="1" si="5"/>
        <v/>
      </c>
      <c r="S368" s="852"/>
      <c r="T368" s="112"/>
      <c r="U368" s="589">
        <f ca="1">SUBTOTAL(3,Tabela13[[#This Row],[STATUS]])</f>
        <v>1</v>
      </c>
    </row>
    <row r="369" spans="1:21" ht="24" customHeight="1">
      <c r="A369" s="585">
        <v>45917</v>
      </c>
      <c r="B369" s="105">
        <v>54175</v>
      </c>
      <c r="C369" s="688" t="str">
        <f>IFERROR(VLOOKUP(Tabela13[[#This Row],[CÓD. EMPRESA]],Tabela3[[CÓDIGO
 EMPRESA ]:[EMPRESA]],2,FALSE),"")</f>
        <v>CONSELHO DE ARQUITETURA E URBANISMO DE SÃO PAULO (CAU-SP)</v>
      </c>
      <c r="D369" s="112" t="s">
        <v>632</v>
      </c>
      <c r="E369" s="112" t="s">
        <v>419</v>
      </c>
      <c r="F369" s="491">
        <v>20987</v>
      </c>
      <c r="G369" s="411">
        <v>23010529</v>
      </c>
      <c r="H369" s="165" t="s">
        <v>51</v>
      </c>
      <c r="I369" s="587"/>
      <c r="J369" s="585"/>
      <c r="K369" s="591">
        <v>125.4</v>
      </c>
      <c r="L369" s="398">
        <f>Tabela13[[#This Row],[VALOR
 BRUTO ]]-Tabela13[[#This Row],[VALOR 
LIQUIDO ]]</f>
        <v>0</v>
      </c>
      <c r="M369" s="399">
        <f>Tabela13[[#This Row],[VALORES PAGOS 
(FORMA PAGTO)]]</f>
        <v>125.4</v>
      </c>
      <c r="N369" s="585">
        <v>45930</v>
      </c>
      <c r="O369" s="588">
        <v>125.4</v>
      </c>
      <c r="P369" s="587">
        <v>45930</v>
      </c>
      <c r="Q369" s="197" t="str" cm="1">
        <f t="array" aca="1" ref="Q369" ca="1">IF($P369&lt;&gt;"","PAGO",IF($N369&lt;TODAY(),"ATRASADO",IF($N369&gt;TODAY(),"NO PRAZO",IF($N369=TODAY(),"NO PRAZO",SE))))</f>
        <v>PAGO</v>
      </c>
      <c r="R369" s="150" t="str">
        <f t="shared" ca="1" si="5"/>
        <v/>
      </c>
      <c r="S369" s="852"/>
      <c r="T369" s="112"/>
      <c r="U369" s="589">
        <f ca="1">SUBTOTAL(3,Tabela13[[#This Row],[STATUS]])</f>
        <v>1</v>
      </c>
    </row>
    <row r="370" spans="1:21" ht="24" customHeight="1">
      <c r="A370" s="585">
        <v>45917</v>
      </c>
      <c r="B370" s="105">
        <v>54175</v>
      </c>
      <c r="C370" s="688" t="str">
        <f>IFERROR(VLOOKUP(Tabela13[[#This Row],[CÓD. EMPRESA]],Tabela3[[CÓDIGO
 EMPRESA ]:[EMPRESA]],2,FALSE),"")</f>
        <v>CONSELHO DE ARQUITETURA E URBANISMO DE SÃO PAULO (CAU-SP)</v>
      </c>
      <c r="D370" s="112" t="s">
        <v>632</v>
      </c>
      <c r="E370" s="112" t="s">
        <v>419</v>
      </c>
      <c r="F370" s="491">
        <v>20987</v>
      </c>
      <c r="G370" s="411">
        <v>23010691</v>
      </c>
      <c r="H370" s="165" t="s">
        <v>51</v>
      </c>
      <c r="I370" s="587"/>
      <c r="J370" s="585"/>
      <c r="K370" s="591">
        <v>125.4</v>
      </c>
      <c r="L370" s="398">
        <f>Tabela13[[#This Row],[VALOR
 BRUTO ]]-Tabela13[[#This Row],[VALOR 
LIQUIDO ]]</f>
        <v>0</v>
      </c>
      <c r="M370" s="399">
        <f>Tabela13[[#This Row],[VALORES PAGOS 
(FORMA PAGTO)]]</f>
        <v>125.4</v>
      </c>
      <c r="N370" s="585">
        <v>45930</v>
      </c>
      <c r="O370" s="588">
        <v>125.4</v>
      </c>
      <c r="P370" s="587">
        <v>45930</v>
      </c>
      <c r="Q370" s="197" t="str" cm="1">
        <f t="array" aca="1" ref="Q370" ca="1">IF($P370&lt;&gt;"","PAGO",IF($N370&lt;TODAY(),"ATRASADO",IF($N370&gt;TODAY(),"NO PRAZO",IF($N370=TODAY(),"NO PRAZO",SE))))</f>
        <v>PAGO</v>
      </c>
      <c r="R370" s="150" t="str">
        <f t="shared" ca="1" si="5"/>
        <v/>
      </c>
      <c r="S370" s="852"/>
      <c r="T370" s="112"/>
      <c r="U370" s="589">
        <f ca="1">SUBTOTAL(3,Tabela13[[#This Row],[STATUS]])</f>
        <v>1</v>
      </c>
    </row>
    <row r="371" spans="1:21" ht="24" customHeight="1">
      <c r="A371" s="546">
        <v>45917</v>
      </c>
      <c r="B371" s="105">
        <v>69169</v>
      </c>
      <c r="C371" s="688" t="str">
        <f>IFERROR(VLOOKUP(Tabela13[[#This Row],[CÓD. EMPRESA]],Tabela3[[CÓDIGO
 EMPRESA ]:[EMPRESA]],2,FALSE),"")</f>
        <v>CECM PÂES LTDA</v>
      </c>
      <c r="D371" s="112" t="s">
        <v>429</v>
      </c>
      <c r="E371" s="112" t="s">
        <v>450</v>
      </c>
      <c r="F371" s="491">
        <v>3881</v>
      </c>
      <c r="G371" s="411">
        <v>19633</v>
      </c>
      <c r="H371" s="165" t="s">
        <v>52</v>
      </c>
      <c r="I371" s="549"/>
      <c r="J371" s="546"/>
      <c r="K371" s="550">
        <v>7819.2</v>
      </c>
      <c r="L371" s="398">
        <f>Tabela13[[#This Row],[VALOR
 BRUTO ]]-Tabela13[[#This Row],[VALOR 
LIQUIDO ]]</f>
        <v>0</v>
      </c>
      <c r="M371" s="399">
        <f>Tabela13[[#This Row],[VALORES PAGOS 
(FORMA PAGTO)]]</f>
        <v>7819.2</v>
      </c>
      <c r="N371" s="546">
        <v>45944</v>
      </c>
      <c r="O371" s="551">
        <v>7819.2</v>
      </c>
      <c r="P371" s="549">
        <v>45978</v>
      </c>
      <c r="Q371" s="197" t="str" cm="1">
        <f t="array" aca="1" ref="Q371" ca="1">IF($P371&lt;&gt;"","PAGO",IF($N371&lt;TODAY(),"ATRASADO",IF($N371&gt;TODAY(),"NO PRAZO",IF($N371=TODAY(),"NO PRAZO",SE))))</f>
        <v>PAGO</v>
      </c>
      <c r="R371" s="150" t="str">
        <f t="shared" ca="1" si="5"/>
        <v/>
      </c>
      <c r="S371" s="729"/>
      <c r="T371" s="112"/>
      <c r="U371" s="552">
        <f ca="1">SUBTOTAL(3,Tabela13[[#This Row],[STATUS]])</f>
        <v>1</v>
      </c>
    </row>
    <row r="372" spans="1:21" ht="24" customHeight="1">
      <c r="A372" s="585">
        <v>45918</v>
      </c>
      <c r="B372" s="105">
        <v>54175</v>
      </c>
      <c r="C372" s="688" t="str">
        <f>IFERROR(VLOOKUP(Tabela13[[#This Row],[CÓD. EMPRESA]],Tabela3[[CÓDIGO
 EMPRESA ]:[EMPRESA]],2,FALSE),"")</f>
        <v>CONSELHO DE ARQUITETURA E URBANISMO DE SÃO PAULO (CAU-SP)</v>
      </c>
      <c r="D372" s="112" t="s">
        <v>632</v>
      </c>
      <c r="E372" s="112" t="s">
        <v>419</v>
      </c>
      <c r="F372" s="491">
        <v>20987</v>
      </c>
      <c r="G372" s="411">
        <v>23010284</v>
      </c>
      <c r="H372" s="165" t="s">
        <v>51</v>
      </c>
      <c r="I372" s="587"/>
      <c r="J372" s="585"/>
      <c r="K372" s="591">
        <v>125.4</v>
      </c>
      <c r="L372" s="398">
        <f>Tabela13[[#This Row],[VALOR
 BRUTO ]]-Tabela13[[#This Row],[VALOR 
LIQUIDO ]]</f>
        <v>0</v>
      </c>
      <c r="M372" s="399">
        <f>Tabela13[[#This Row],[VALORES PAGOS 
(FORMA PAGTO)]]</f>
        <v>125.4</v>
      </c>
      <c r="N372" s="585">
        <v>45930</v>
      </c>
      <c r="O372" s="588">
        <v>125.4</v>
      </c>
      <c r="P372" s="587">
        <v>45930</v>
      </c>
      <c r="Q372" s="197" t="str" cm="1">
        <f t="array" aca="1" ref="Q372" ca="1">IF($P372&lt;&gt;"","PAGO",IF($N372&lt;TODAY(),"ATRASADO",IF($N372&gt;TODAY(),"NO PRAZO",IF($N372=TODAY(),"NO PRAZO",SE))))</f>
        <v>PAGO</v>
      </c>
      <c r="R372" s="150" t="str">
        <f t="shared" ca="1" si="5"/>
        <v/>
      </c>
      <c r="S372" s="852"/>
      <c r="T372" s="112"/>
      <c r="U372" s="589">
        <f ca="1">SUBTOTAL(3,Tabela13[[#This Row],[STATUS]])</f>
        <v>1</v>
      </c>
    </row>
    <row r="373" spans="1:21" ht="24" customHeight="1">
      <c r="A373" s="585">
        <v>45919</v>
      </c>
      <c r="B373" s="105">
        <v>51481</v>
      </c>
      <c r="C373" s="688" t="str">
        <f>IFERROR(VLOOKUP(Tabela13[[#This Row],[CÓD. EMPRESA]],Tabela3[[CÓDIGO
 EMPRESA ]:[EMPRESA]],2,FALSE),"")</f>
        <v>LIGA INDUSTRIA E COMÉRCIO DE MATERIAL PARA CONSTRUÇÃO LTDA .</v>
      </c>
      <c r="D373" s="112" t="s">
        <v>655</v>
      </c>
      <c r="E373" s="112" t="s">
        <v>637</v>
      </c>
      <c r="F373" s="491">
        <v>18360</v>
      </c>
      <c r="G373" s="411">
        <v>97</v>
      </c>
      <c r="H373" s="165" t="s">
        <v>52</v>
      </c>
      <c r="I373" s="587"/>
      <c r="J373" s="585"/>
      <c r="K373" s="591">
        <v>2240</v>
      </c>
      <c r="L373" s="398">
        <f>Tabela13[[#This Row],[VALOR
 BRUTO ]]-Tabela13[[#This Row],[VALOR 
LIQUIDO ]]</f>
        <v>71.680000000000007</v>
      </c>
      <c r="M373" s="399">
        <f>Tabela13[[#This Row],[VALORES PAGOS 
(FORMA PAGTO)]]</f>
        <v>2168.3200000000002</v>
      </c>
      <c r="N373" s="585">
        <v>45932</v>
      </c>
      <c r="O373" s="588">
        <v>2168.3200000000002</v>
      </c>
      <c r="P373" s="587">
        <v>45978</v>
      </c>
      <c r="Q373" s="197" t="str" cm="1">
        <f t="array" aca="1" ref="Q373" ca="1">IF($P373&lt;&gt;"","PAGO",IF($N373&lt;TODAY(),"ATRASADO",IF($N373&gt;TODAY(),"NO PRAZO",IF($N373=TODAY(),"NO PRAZO",SE))))</f>
        <v>PAGO</v>
      </c>
      <c r="R373" s="150" t="str">
        <f t="shared" ca="1" si="5"/>
        <v/>
      </c>
      <c r="S373" s="852"/>
      <c r="T373" s="112"/>
      <c r="U373" s="589">
        <f ca="1">SUBTOTAL(3,Tabela13[[#This Row],[STATUS]])</f>
        <v>1</v>
      </c>
    </row>
    <row r="374" spans="1:21" ht="24" customHeight="1">
      <c r="A374" s="585">
        <v>45919</v>
      </c>
      <c r="B374" s="105">
        <v>51481</v>
      </c>
      <c r="C374" s="688" t="str">
        <f>IFERROR(VLOOKUP(Tabela13[[#This Row],[CÓD. EMPRESA]],Tabela3[[CÓDIGO
 EMPRESA ]:[EMPRESA]],2,FALSE),"")</f>
        <v>LIGA INDUSTRIA E COMÉRCIO DE MATERIAL PARA CONSTRUÇÃO LTDA .</v>
      </c>
      <c r="D374" s="112" t="s">
        <v>655</v>
      </c>
      <c r="E374" s="112" t="s">
        <v>637</v>
      </c>
      <c r="F374" s="491">
        <v>18360</v>
      </c>
      <c r="G374" s="411">
        <v>98</v>
      </c>
      <c r="H374" s="165" t="s">
        <v>52</v>
      </c>
      <c r="I374" s="587"/>
      <c r="J374" s="585"/>
      <c r="K374" s="591">
        <v>1680</v>
      </c>
      <c r="L374" s="398">
        <f>Tabela13[[#This Row],[VALOR
 BRUTO ]]-Tabela13[[#This Row],[VALOR 
LIQUIDO ]]</f>
        <v>53.76</v>
      </c>
      <c r="M374" s="399">
        <f>Tabela13[[#This Row],[VALORES PAGOS 
(FORMA PAGTO)]]</f>
        <v>1626.24</v>
      </c>
      <c r="N374" s="585">
        <v>45934</v>
      </c>
      <c r="O374" s="588">
        <v>1626.24</v>
      </c>
      <c r="P374" s="587">
        <v>45978</v>
      </c>
      <c r="Q374" s="197" t="str" cm="1">
        <f t="array" aca="1" ref="Q374" ca="1">IF($P374&lt;&gt;"","PAGO",IF($N374&lt;TODAY(),"ATRASADO",IF($N374&gt;TODAY(),"NO PRAZO",IF($N374=TODAY(),"NO PRAZO",SE))))</f>
        <v>PAGO</v>
      </c>
      <c r="R374" s="150" t="str">
        <f t="shared" ca="1" si="5"/>
        <v/>
      </c>
      <c r="S374" s="852"/>
      <c r="T374" s="112"/>
      <c r="U374" s="589">
        <f ca="1">SUBTOTAL(3,Tabela13[[#This Row],[STATUS]])</f>
        <v>1</v>
      </c>
    </row>
    <row r="375" spans="1:21" ht="24" customHeight="1">
      <c r="A375" s="585">
        <v>45919</v>
      </c>
      <c r="B375" s="105">
        <v>51481</v>
      </c>
      <c r="C375" s="688" t="str">
        <f>IFERROR(VLOOKUP(Tabela13[[#This Row],[CÓD. EMPRESA]],Tabela3[[CÓDIGO
 EMPRESA ]:[EMPRESA]],2,FALSE),"")</f>
        <v>LIGA INDUSTRIA E COMÉRCIO DE MATERIAL PARA CONSTRUÇÃO LTDA .</v>
      </c>
      <c r="D375" s="112" t="s">
        <v>655</v>
      </c>
      <c r="E375" s="112" t="s">
        <v>637</v>
      </c>
      <c r="F375" s="491">
        <v>20078</v>
      </c>
      <c r="G375" s="411">
        <v>99</v>
      </c>
      <c r="H375" s="165" t="s">
        <v>52</v>
      </c>
      <c r="I375" s="587"/>
      <c r="J375" s="585"/>
      <c r="K375" s="591">
        <v>2800</v>
      </c>
      <c r="L375" s="398">
        <f>Tabela13[[#This Row],[VALOR
 BRUTO ]]-Tabela13[[#This Row],[VALOR 
LIQUIDO ]]</f>
        <v>89.6</v>
      </c>
      <c r="M375" s="399">
        <f>Tabela13[[#This Row],[VALORES PAGOS 
(FORMA PAGTO)]]</f>
        <v>2710.4</v>
      </c>
      <c r="N375" s="585">
        <v>45934</v>
      </c>
      <c r="O375" s="588">
        <v>2710.4</v>
      </c>
      <c r="P375" s="587">
        <v>45978</v>
      </c>
      <c r="Q375" s="197" t="str" cm="1">
        <f t="array" aca="1" ref="Q375" ca="1">IF($P375&lt;&gt;"","PAGO",IF($N375&lt;TODAY(),"ATRASADO",IF($N375&gt;TODAY(),"NO PRAZO",IF($N375=TODAY(),"NO PRAZO",SE))))</f>
        <v>PAGO</v>
      </c>
      <c r="R375" s="150" t="str">
        <f t="shared" ca="1" si="5"/>
        <v/>
      </c>
      <c r="S375" s="852"/>
      <c r="T375" s="112"/>
      <c r="U375" s="589">
        <f ca="1">SUBTOTAL(3,Tabela13[[#This Row],[STATUS]])</f>
        <v>1</v>
      </c>
    </row>
    <row r="376" spans="1:21" ht="24" customHeight="1">
      <c r="A376" s="585">
        <v>45919</v>
      </c>
      <c r="B376" s="105">
        <v>51481</v>
      </c>
      <c r="C376" s="688" t="str">
        <f>IFERROR(VLOOKUP(Tabela13[[#This Row],[CÓD. EMPRESA]],Tabela3[[CÓDIGO
 EMPRESA ]:[EMPRESA]],2,FALSE),"")</f>
        <v>LIGA INDUSTRIA E COMÉRCIO DE MATERIAL PARA CONSTRUÇÃO LTDA .</v>
      </c>
      <c r="D376" s="112" t="s">
        <v>655</v>
      </c>
      <c r="E376" s="112" t="s">
        <v>637</v>
      </c>
      <c r="F376" s="491">
        <v>20078</v>
      </c>
      <c r="G376" s="411">
        <v>100</v>
      </c>
      <c r="H376" s="165" t="s">
        <v>52</v>
      </c>
      <c r="I376" s="587"/>
      <c r="J376" s="585"/>
      <c r="K376" s="591">
        <v>2800</v>
      </c>
      <c r="L376" s="398">
        <f>Tabela13[[#This Row],[VALOR
 BRUTO ]]-Tabela13[[#This Row],[VALOR 
LIQUIDO ]]</f>
        <v>89.6</v>
      </c>
      <c r="M376" s="399">
        <f>Tabela13[[#This Row],[VALORES PAGOS 
(FORMA PAGTO)]]</f>
        <v>2710.4</v>
      </c>
      <c r="N376" s="585">
        <v>45937</v>
      </c>
      <c r="O376" s="588">
        <v>2710.4</v>
      </c>
      <c r="P376" s="587">
        <v>45978</v>
      </c>
      <c r="Q376" s="197" t="str" cm="1">
        <f t="array" aca="1" ref="Q376" ca="1">IF($P376&lt;&gt;"","PAGO",IF($N376&lt;TODAY(),"ATRASADO",IF($N376&gt;TODAY(),"NO PRAZO",IF($N376=TODAY(),"NO PRAZO",SE))))</f>
        <v>PAGO</v>
      </c>
      <c r="R376" s="150" t="str">
        <f t="shared" ca="1" si="5"/>
        <v/>
      </c>
      <c r="S376" s="852"/>
      <c r="T376" s="112"/>
      <c r="U376" s="589">
        <f ca="1">SUBTOTAL(3,Tabela13[[#This Row],[STATUS]])</f>
        <v>1</v>
      </c>
    </row>
    <row r="377" spans="1:21" ht="24" customHeight="1">
      <c r="A377" s="585">
        <v>45919</v>
      </c>
      <c r="B377" s="105">
        <v>51481</v>
      </c>
      <c r="C377" s="688" t="str">
        <f>IFERROR(VLOOKUP(Tabela13[[#This Row],[CÓD. EMPRESA]],Tabela3[[CÓDIGO
 EMPRESA ]:[EMPRESA]],2,FALSE),"")</f>
        <v>LIGA INDUSTRIA E COMÉRCIO DE MATERIAL PARA CONSTRUÇÃO LTDA .</v>
      </c>
      <c r="D377" s="112" t="s">
        <v>655</v>
      </c>
      <c r="E377" s="112" t="s">
        <v>637</v>
      </c>
      <c r="F377" s="491">
        <v>20078</v>
      </c>
      <c r="G377" s="411">
        <v>101</v>
      </c>
      <c r="H377" s="165" t="s">
        <v>52</v>
      </c>
      <c r="I377" s="587"/>
      <c r="J377" s="585"/>
      <c r="K377" s="591">
        <v>2800</v>
      </c>
      <c r="L377" s="398">
        <f>Tabela13[[#This Row],[VALOR
 BRUTO ]]-Tabela13[[#This Row],[VALOR 
LIQUIDO ]]</f>
        <v>89.6</v>
      </c>
      <c r="M377" s="399">
        <f>Tabela13[[#This Row],[VALORES PAGOS 
(FORMA PAGTO)]]</f>
        <v>2710.4</v>
      </c>
      <c r="N377" s="585">
        <v>45938</v>
      </c>
      <c r="O377" s="588">
        <v>2710.4</v>
      </c>
      <c r="P377" s="587">
        <v>45978</v>
      </c>
      <c r="Q377" s="197" t="str" cm="1">
        <f t="array" aca="1" ref="Q377" ca="1">IF($P377&lt;&gt;"","PAGO",IF($N377&lt;TODAY(),"ATRASADO",IF($N377&gt;TODAY(),"NO PRAZO",IF($N377=TODAY(),"NO PRAZO",SE))))</f>
        <v>PAGO</v>
      </c>
      <c r="R377" s="150" t="str">
        <f t="shared" ca="1" si="5"/>
        <v/>
      </c>
      <c r="S377" s="852"/>
      <c r="T377" s="112"/>
      <c r="U377" s="589">
        <f ca="1">SUBTOTAL(3,Tabela13[[#This Row],[STATUS]])</f>
        <v>1</v>
      </c>
    </row>
    <row r="378" spans="1:21" ht="24" customHeight="1">
      <c r="A378" s="585">
        <v>45919</v>
      </c>
      <c r="B378" s="105">
        <v>51481</v>
      </c>
      <c r="C378" s="688" t="str">
        <f>IFERROR(VLOOKUP(Tabela13[[#This Row],[CÓD. EMPRESA]],Tabela3[[CÓDIGO
 EMPRESA ]:[EMPRESA]],2,FALSE),"")</f>
        <v>LIGA INDUSTRIA E COMÉRCIO DE MATERIAL PARA CONSTRUÇÃO LTDA .</v>
      </c>
      <c r="D378" s="112" t="s">
        <v>655</v>
      </c>
      <c r="E378" s="112" t="s">
        <v>637</v>
      </c>
      <c r="F378" s="491">
        <v>20078</v>
      </c>
      <c r="G378" s="411">
        <v>102</v>
      </c>
      <c r="H378" s="165" t="s">
        <v>52</v>
      </c>
      <c r="I378" s="587"/>
      <c r="J378" s="585"/>
      <c r="K378" s="591">
        <v>2240</v>
      </c>
      <c r="L378" s="398">
        <f>Tabela13[[#This Row],[VALOR
 BRUTO ]]-Tabela13[[#This Row],[VALOR 
LIQUIDO ]]</f>
        <v>71.680000000000007</v>
      </c>
      <c r="M378" s="399">
        <f>Tabela13[[#This Row],[VALORES PAGOS 
(FORMA PAGTO)]]</f>
        <v>2168.3200000000002</v>
      </c>
      <c r="N378" s="585">
        <v>45938</v>
      </c>
      <c r="O378" s="588">
        <v>2168.3200000000002</v>
      </c>
      <c r="P378" s="587">
        <v>45978</v>
      </c>
      <c r="Q378" s="197" t="str" cm="1">
        <f t="array" aca="1" ref="Q378" ca="1">IF($P378&lt;&gt;"","PAGO",IF($N378&lt;TODAY(),"ATRASADO",IF($N378&gt;TODAY(),"NO PRAZO",IF($N378=TODAY(),"NO PRAZO",SE))))</f>
        <v>PAGO</v>
      </c>
      <c r="R378" s="150" t="str">
        <f t="shared" ca="1" si="5"/>
        <v/>
      </c>
      <c r="S378" s="852"/>
      <c r="T378" s="112"/>
      <c r="U378" s="589">
        <f ca="1">SUBTOTAL(3,Tabela13[[#This Row],[STATUS]])</f>
        <v>1</v>
      </c>
    </row>
    <row r="379" spans="1:21" ht="24" customHeight="1">
      <c r="A379" s="113">
        <v>45919</v>
      </c>
      <c r="B379" s="105">
        <v>51481</v>
      </c>
      <c r="C379" s="688" t="str">
        <f>IFERROR(VLOOKUP(Tabela13[[#This Row],[CÓD. EMPRESA]],Tabela3[[CÓDIGO
 EMPRESA ]:[EMPRESA]],2,FALSE),"")</f>
        <v>LIGA INDUSTRIA E COMÉRCIO DE MATERIAL PARA CONSTRUÇÃO LTDA .</v>
      </c>
      <c r="D379" s="112" t="s">
        <v>655</v>
      </c>
      <c r="E379" s="112" t="s">
        <v>637</v>
      </c>
      <c r="F379" s="491">
        <v>20078</v>
      </c>
      <c r="G379" s="411">
        <v>103</v>
      </c>
      <c r="H379" s="165" t="s">
        <v>52</v>
      </c>
      <c r="I379" s="587"/>
      <c r="J379" s="585"/>
      <c r="K379" s="591">
        <v>2800</v>
      </c>
      <c r="L379" s="398">
        <f>Tabela13[[#This Row],[VALOR
 BRUTO ]]-Tabela13[[#This Row],[VALOR 
LIQUIDO ]]</f>
        <v>89.6</v>
      </c>
      <c r="M379" s="399">
        <f>Tabela13[[#This Row],[VALORES PAGOS 
(FORMA PAGTO)]]</f>
        <v>2710.4</v>
      </c>
      <c r="N379" s="585">
        <v>45939</v>
      </c>
      <c r="O379" s="588">
        <v>2710.4</v>
      </c>
      <c r="P379" s="587">
        <v>45978</v>
      </c>
      <c r="Q379" s="197" t="str" cm="1">
        <f t="array" aca="1" ref="Q379" ca="1">IF($P379&lt;&gt;"","PAGO",IF($N379&lt;TODAY(),"ATRASADO",IF($N379&gt;TODAY(),"NO PRAZO",IF($N379=TODAY(),"NO PRAZO",SE))))</f>
        <v>PAGO</v>
      </c>
      <c r="R379" s="150" t="str">
        <f t="shared" ca="1" si="5"/>
        <v/>
      </c>
      <c r="S379" s="852"/>
      <c r="T379" s="112"/>
      <c r="U379" s="589">
        <f ca="1">SUBTOTAL(3,Tabela13[[#This Row],[STATUS]])</f>
        <v>1</v>
      </c>
    </row>
    <row r="380" spans="1:21" ht="24" customHeight="1">
      <c r="A380" s="585">
        <v>45919</v>
      </c>
      <c r="B380" s="105">
        <v>51481</v>
      </c>
      <c r="C380" s="688" t="str">
        <f>IFERROR(VLOOKUP(Tabela13[[#This Row],[CÓD. EMPRESA]],Tabela3[[CÓDIGO
 EMPRESA ]:[EMPRESA]],2,FALSE),"")</f>
        <v>LIGA INDUSTRIA E COMÉRCIO DE MATERIAL PARA CONSTRUÇÃO LTDA .</v>
      </c>
      <c r="D380" s="112" t="s">
        <v>655</v>
      </c>
      <c r="E380" s="112" t="s">
        <v>637</v>
      </c>
      <c r="F380" s="491">
        <v>20078</v>
      </c>
      <c r="G380" s="411">
        <v>104</v>
      </c>
      <c r="H380" s="165" t="s">
        <v>52</v>
      </c>
      <c r="I380" s="587"/>
      <c r="J380" s="585"/>
      <c r="K380" s="591">
        <v>2800</v>
      </c>
      <c r="L380" s="398">
        <f>Tabela13[[#This Row],[VALOR
 BRUTO ]]-Tabela13[[#This Row],[VALOR 
LIQUIDO ]]</f>
        <v>89.6</v>
      </c>
      <c r="M380" s="399">
        <f>Tabela13[[#This Row],[VALORES PAGOS 
(FORMA PAGTO)]]</f>
        <v>2710.4</v>
      </c>
      <c r="N380" s="585">
        <v>45940</v>
      </c>
      <c r="O380" s="588">
        <v>2710.4</v>
      </c>
      <c r="P380" s="587">
        <v>45978</v>
      </c>
      <c r="Q380" s="197" t="str" cm="1">
        <f t="array" aca="1" ref="Q380" ca="1">IF($P380&lt;&gt;"","PAGO",IF($N380&lt;TODAY(),"ATRASADO",IF($N380&gt;TODAY(),"NO PRAZO",IF($N380=TODAY(),"NO PRAZO",SE))))</f>
        <v>PAGO</v>
      </c>
      <c r="R380" s="150" t="str">
        <f t="shared" ca="1" si="5"/>
        <v/>
      </c>
      <c r="S380" s="852"/>
      <c r="T380" s="112"/>
      <c r="U380" s="589">
        <f ca="1">SUBTOTAL(3,Tabela13[[#This Row],[STATUS]])</f>
        <v>1</v>
      </c>
    </row>
    <row r="381" spans="1:21" ht="24" customHeight="1">
      <c r="A381" s="585">
        <v>45919</v>
      </c>
      <c r="B381" s="105">
        <v>51481</v>
      </c>
      <c r="C381" s="688" t="str">
        <f>IFERROR(VLOOKUP(Tabela13[[#This Row],[CÓD. EMPRESA]],Tabela3[[CÓDIGO
 EMPRESA ]:[EMPRESA]],2,FALSE),"")</f>
        <v>LIGA INDUSTRIA E COMÉRCIO DE MATERIAL PARA CONSTRUÇÃO LTDA .</v>
      </c>
      <c r="D381" s="112" t="s">
        <v>655</v>
      </c>
      <c r="E381" s="112" t="s">
        <v>637</v>
      </c>
      <c r="F381" s="491">
        <v>20078</v>
      </c>
      <c r="G381" s="411">
        <v>105</v>
      </c>
      <c r="H381" s="165" t="s">
        <v>52</v>
      </c>
      <c r="I381" s="587"/>
      <c r="J381" s="585"/>
      <c r="K381" s="591">
        <v>3920</v>
      </c>
      <c r="L381" s="398">
        <f>Tabela13[[#This Row],[VALOR
 BRUTO ]]-Tabela13[[#This Row],[VALOR 
LIQUIDO ]]</f>
        <v>125.44</v>
      </c>
      <c r="M381" s="399">
        <f>Tabela13[[#This Row],[VALORES PAGOS 
(FORMA PAGTO)]]</f>
        <v>3794.56</v>
      </c>
      <c r="N381" s="585">
        <v>45944</v>
      </c>
      <c r="O381" s="588">
        <v>3794.56</v>
      </c>
      <c r="P381" s="587">
        <v>45978</v>
      </c>
      <c r="Q381" s="197" t="str" cm="1">
        <f t="array" aca="1" ref="Q381" ca="1">IF($P381&lt;&gt;"","PAGO",IF($N381&lt;TODAY(),"ATRASADO",IF($N381&gt;TODAY(),"NO PRAZO",IF($N381=TODAY(),"NO PRAZO",SE))))</f>
        <v>PAGO</v>
      </c>
      <c r="R381" s="150" t="str">
        <f t="shared" ca="1" si="5"/>
        <v/>
      </c>
      <c r="S381" s="852"/>
      <c r="T381" s="112"/>
      <c r="U381" s="589">
        <f ca="1">SUBTOTAL(3,Tabela13[[#This Row],[STATUS]])</f>
        <v>1</v>
      </c>
    </row>
    <row r="382" spans="1:21" ht="24" customHeight="1">
      <c r="A382" s="585">
        <v>45919</v>
      </c>
      <c r="B382" s="105">
        <v>46674</v>
      </c>
      <c r="C382" s="688" t="s">
        <v>338</v>
      </c>
      <c r="D382" s="112" t="s">
        <v>638</v>
      </c>
      <c r="E382" s="112" t="s">
        <v>437</v>
      </c>
      <c r="F382" s="491">
        <v>17167</v>
      </c>
      <c r="G382" s="411">
        <v>1749</v>
      </c>
      <c r="H382" s="165" t="s">
        <v>52</v>
      </c>
      <c r="I382" s="587">
        <v>45870</v>
      </c>
      <c r="J382" s="585">
        <v>45900</v>
      </c>
      <c r="K382" s="591">
        <v>67241.899999999994</v>
      </c>
      <c r="L382" s="398">
        <f>Tabela13[[#This Row],[VALOR
 BRUTO ]]-Tabela13[[#This Row],[VALOR 
LIQUIDO ]]</f>
        <v>0</v>
      </c>
      <c r="M382" s="399">
        <f>Tabela13[[#This Row],[VALORES PAGOS 
(FORMA PAGTO)]]</f>
        <v>67241.899999999994</v>
      </c>
      <c r="N382" s="585">
        <v>45947</v>
      </c>
      <c r="O382" s="588">
        <v>67241.899999999994</v>
      </c>
      <c r="P382" s="587">
        <v>45980</v>
      </c>
      <c r="Q382" s="197" t="str" cm="1">
        <f t="array" aca="1" ref="Q382" ca="1">IF($P382&lt;&gt;"","PAGO",IF($N382&lt;TODAY(),"ATRASADO",IF($N382&gt;TODAY(),"NO PRAZO",IF($N382=TODAY(),"NO PRAZO",SE))))</f>
        <v>PAGO</v>
      </c>
      <c r="R382" s="150" t="str">
        <f t="shared" ca="1" si="5"/>
        <v/>
      </c>
      <c r="S382" s="852"/>
      <c r="T382" s="112"/>
      <c r="U382" s="589">
        <f ca="1">SUBTOTAL(3,Tabela13[[#This Row],[STATUS]])</f>
        <v>1</v>
      </c>
    </row>
    <row r="383" spans="1:21" ht="24" customHeight="1">
      <c r="A383" s="585">
        <v>45919</v>
      </c>
      <c r="B383" s="105">
        <v>46674</v>
      </c>
      <c r="C383" s="688" t="str">
        <f>IFERROR(VLOOKUP(Tabela13[[#This Row],[CÓD. EMPRESA]],Tabela3[[CÓDIGO
 EMPRESA ]:[EMPRESA]],2,FALSE),"")</f>
        <v>NOA SERVICOS E LOCACAO LTDA</v>
      </c>
      <c r="D383" s="112" t="s">
        <v>638</v>
      </c>
      <c r="E383" s="112" t="s">
        <v>437</v>
      </c>
      <c r="F383" s="491">
        <v>14449</v>
      </c>
      <c r="G383" s="411">
        <v>1749</v>
      </c>
      <c r="H383" s="165" t="s">
        <v>52</v>
      </c>
      <c r="I383" s="587">
        <v>45870</v>
      </c>
      <c r="J383" s="585">
        <v>45900</v>
      </c>
      <c r="K383" s="591">
        <v>85300.18</v>
      </c>
      <c r="L383" s="398">
        <f>Tabela13[[#This Row],[VALOR
 BRUTO ]]-Tabela13[[#This Row],[VALOR 
LIQUIDO ]]</f>
        <v>13271.15</v>
      </c>
      <c r="M383" s="399">
        <f>Tabela13[[#This Row],[VALORES PAGOS 
(FORMA PAGTO)]]</f>
        <v>72029.03</v>
      </c>
      <c r="N383" s="585">
        <v>45947</v>
      </c>
      <c r="O383" s="590">
        <v>72029.03</v>
      </c>
      <c r="P383" s="587">
        <v>45980</v>
      </c>
      <c r="Q383" s="197" t="str" cm="1">
        <f t="array" aca="1" ref="Q383" ca="1">IF($P383&lt;&gt;"","PAGO",IF($N383&lt;TODAY(),"ATRASADO",IF($N383&gt;TODAY(),"NO PRAZO",IF($N383=TODAY(),"NO PRAZO",SE))))</f>
        <v>PAGO</v>
      </c>
      <c r="R383" s="150" t="str">
        <f t="shared" ca="1" si="5"/>
        <v/>
      </c>
      <c r="S383" s="852"/>
      <c r="T383" s="112"/>
      <c r="U383" s="589">
        <f ca="1">SUBTOTAL(3,Tabela13[[#This Row],[STATUS]])</f>
        <v>1</v>
      </c>
    </row>
    <row r="384" spans="1:21" ht="24" customHeight="1">
      <c r="A384" s="585">
        <v>45921</v>
      </c>
      <c r="B384" s="105">
        <v>75036</v>
      </c>
      <c r="C384" s="688" t="str">
        <f>IFERROR(VLOOKUP(Tabela13[[#This Row],[CÓD. EMPRESA]],Tabela3[[CÓDIGO
 EMPRESA ]:[EMPRESA]],2,FALSE),"")</f>
        <v xml:space="preserve">SUPREME COMERCIAL LTDA </v>
      </c>
      <c r="D384" s="112" t="s">
        <v>639</v>
      </c>
      <c r="E384" s="112" t="s">
        <v>640</v>
      </c>
      <c r="F384" s="491">
        <v>18251</v>
      </c>
      <c r="G384" s="411">
        <v>5929</v>
      </c>
      <c r="H384" s="165" t="s">
        <v>52</v>
      </c>
      <c r="I384" s="587"/>
      <c r="J384" s="585"/>
      <c r="K384" s="591">
        <v>48020</v>
      </c>
      <c r="L384" s="398">
        <f>Tabela13[[#This Row],[VALOR
 BRUTO ]]-Tabela13[[#This Row],[VALOR 
LIQUIDO ]]</f>
        <v>576.24</v>
      </c>
      <c r="M384" s="399">
        <f>Tabela13[[#This Row],[VALORES PAGOS 
(FORMA PAGTO)]]</f>
        <v>47443.76</v>
      </c>
      <c r="N384" s="585">
        <v>45944</v>
      </c>
      <c r="O384" s="588">
        <v>47443.76</v>
      </c>
      <c r="P384" s="587">
        <v>45978</v>
      </c>
      <c r="Q384" s="197" t="str" cm="1">
        <f t="array" aca="1" ref="Q384" ca="1">IF($P384&lt;&gt;"","PAGO",IF($N384&lt;TODAY(),"ATRASADO",IF($N384&gt;TODAY(),"NO PRAZO",IF($N384=TODAY(),"NO PRAZO",SE))))</f>
        <v>PAGO</v>
      </c>
      <c r="R384" s="150" t="str">
        <f t="shared" ca="1" si="5"/>
        <v/>
      </c>
      <c r="S384" s="852"/>
      <c r="T384" s="112"/>
      <c r="U384" s="589">
        <f ca="1">SUBTOTAL(3,Tabela13[[#This Row],[STATUS]])</f>
        <v>1</v>
      </c>
    </row>
    <row r="385" spans="1:21" ht="24" customHeight="1">
      <c r="A385" s="585">
        <v>45922</v>
      </c>
      <c r="B385" s="105">
        <v>60979</v>
      </c>
      <c r="C385" s="688" t="str">
        <f>IFERROR(VLOOKUP(Tabela13[[#This Row],[CÓD. EMPRESA]],Tabela3[[CÓDIGO
 EMPRESA ]:[EMPRESA]],2,FALSE),"")</f>
        <v>SILCON AMBIENTAL S/A</v>
      </c>
      <c r="D385" s="112" t="s">
        <v>355</v>
      </c>
      <c r="E385" s="112" t="s">
        <v>490</v>
      </c>
      <c r="F385" s="491">
        <v>19658</v>
      </c>
      <c r="G385" s="411">
        <v>40100</v>
      </c>
      <c r="H385" s="586" t="s">
        <v>52</v>
      </c>
      <c r="I385" s="587">
        <v>45870</v>
      </c>
      <c r="J385" s="585">
        <v>45900</v>
      </c>
      <c r="K385" s="591">
        <v>231599.76</v>
      </c>
      <c r="L385" s="398">
        <f>Tabela13[[#This Row],[VALOR
 BRUTO ]]-Tabela13[[#This Row],[VALOR 
LIQUIDO ]]</f>
        <v>48172.75</v>
      </c>
      <c r="M385" s="399">
        <f>Tabela13[[#This Row],[VALORES PAGOS 
(FORMA PAGTO)]]</f>
        <v>183427.01</v>
      </c>
      <c r="N385" s="585">
        <v>45946</v>
      </c>
      <c r="O385" s="588">
        <v>183427.01</v>
      </c>
      <c r="P385" s="587">
        <v>45994</v>
      </c>
      <c r="Q385" s="197" t="str" cm="1">
        <f t="array" aca="1" ref="Q385" ca="1">IF($P385&lt;&gt;"","PAGO",IF($N385&lt;TODAY(),"ATRASADO",IF($N385&gt;TODAY(),"NO PRAZO",IF($N385=TODAY(),"NO PRAZO",SE))))</f>
        <v>PAGO</v>
      </c>
      <c r="R385" s="150" t="str">
        <f t="shared" ca="1" si="5"/>
        <v/>
      </c>
      <c r="S385" s="852"/>
      <c r="T385" s="112"/>
      <c r="U385" s="589">
        <f ca="1">SUBTOTAL(3,Tabela13[[#This Row],[STATUS]])</f>
        <v>1</v>
      </c>
    </row>
    <row r="386" spans="1:21" ht="24" customHeight="1">
      <c r="A386" s="585">
        <v>45922</v>
      </c>
      <c r="B386" s="105">
        <v>60979</v>
      </c>
      <c r="C386" s="688" t="str">
        <f>IFERROR(VLOOKUP(Tabela13[[#This Row],[CÓD. EMPRESA]],Tabela3[[CÓDIGO
 EMPRESA ]:[EMPRESA]],2,FALSE),"")</f>
        <v>SILCON AMBIENTAL S/A</v>
      </c>
      <c r="D386" s="112" t="s">
        <v>355</v>
      </c>
      <c r="E386" s="112" t="s">
        <v>490</v>
      </c>
      <c r="F386" s="491">
        <v>19658</v>
      </c>
      <c r="G386" s="411">
        <v>40101</v>
      </c>
      <c r="H386" s="586" t="s">
        <v>52</v>
      </c>
      <c r="I386" s="587">
        <v>45870</v>
      </c>
      <c r="J386" s="585">
        <v>45900</v>
      </c>
      <c r="K386" s="591">
        <v>347399.64</v>
      </c>
      <c r="L386" s="398">
        <f>Tabela13[[#This Row],[VALOR
 BRUTO ]]-Tabela13[[#This Row],[VALOR 
LIQUIDO ]]</f>
        <v>16675.18</v>
      </c>
      <c r="M386" s="399">
        <f>Tabela13[[#This Row],[VALORES PAGOS 
(FORMA PAGTO)]]</f>
        <v>330724.46000000002</v>
      </c>
      <c r="N386" s="585">
        <v>45946</v>
      </c>
      <c r="O386" s="588">
        <v>330724.46000000002</v>
      </c>
      <c r="P386" s="587">
        <v>45994</v>
      </c>
      <c r="Q386" s="197" t="str" cm="1">
        <f t="array" aca="1" ref="Q386" ca="1">IF($P386&lt;&gt;"","PAGO",IF($N386&lt;TODAY(),"ATRASADO",IF($N386&gt;TODAY(),"NO PRAZO",IF($N386=TODAY(),"NO PRAZO",SE))))</f>
        <v>PAGO</v>
      </c>
      <c r="R386" s="150" t="str">
        <f t="shared" ca="1" si="5"/>
        <v/>
      </c>
      <c r="S386" s="852"/>
      <c r="T386" s="112"/>
      <c r="U386" s="589">
        <f ca="1">SUBTOTAL(3,Tabela13[[#This Row],[STATUS]])</f>
        <v>1</v>
      </c>
    </row>
    <row r="387" spans="1:21" ht="24" customHeight="1">
      <c r="A387" s="585">
        <v>45922</v>
      </c>
      <c r="B387" s="105">
        <v>60979</v>
      </c>
      <c r="C387" s="688" t="str">
        <f>IFERROR(VLOOKUP(Tabela13[[#This Row],[CÓD. EMPRESA]],Tabela3[[CÓDIGO
 EMPRESA ]:[EMPRESA]],2,FALSE),"")</f>
        <v>SILCON AMBIENTAL S/A</v>
      </c>
      <c r="D387" s="112" t="s">
        <v>355</v>
      </c>
      <c r="E387" s="112" t="s">
        <v>490</v>
      </c>
      <c r="F387" s="491">
        <v>19658</v>
      </c>
      <c r="G387" s="411">
        <v>40102</v>
      </c>
      <c r="H387" s="586" t="s">
        <v>52</v>
      </c>
      <c r="I387" s="587">
        <v>45870</v>
      </c>
      <c r="J387" s="585">
        <v>45900</v>
      </c>
      <c r="K387" s="591">
        <v>5351.22</v>
      </c>
      <c r="L387" s="398">
        <f>Tabela13[[#This Row],[VALOR
 BRUTO ]]-Tabela13[[#This Row],[VALOR 
LIQUIDO ]]</f>
        <v>256.86</v>
      </c>
      <c r="M387" s="399">
        <f>Tabela13[[#This Row],[VALORES PAGOS 
(FORMA PAGTO)]]</f>
        <v>5094.3599999999997</v>
      </c>
      <c r="N387" s="585">
        <v>45946</v>
      </c>
      <c r="O387" s="588">
        <v>5094.3599999999997</v>
      </c>
      <c r="P387" s="587">
        <v>45978</v>
      </c>
      <c r="Q387" s="197" t="str" cm="1">
        <f t="array" aca="1" ref="Q387" ca="1">IF($P387&lt;&gt;"","PAGO",IF($N387&lt;TODAY(),"ATRASADO",IF($N387&gt;TODAY(),"NO PRAZO",IF($N387=TODAY(),"NO PRAZO",SE))))</f>
        <v>PAGO</v>
      </c>
      <c r="R387" s="150" t="str">
        <f t="shared" ca="1" si="5"/>
        <v/>
      </c>
      <c r="S387" s="852"/>
      <c r="T387" s="112"/>
      <c r="U387" s="589">
        <f ca="1">SUBTOTAL(3,Tabela13[[#This Row],[STATUS]])</f>
        <v>1</v>
      </c>
    </row>
    <row r="388" spans="1:21" ht="24" customHeight="1">
      <c r="A388" s="585">
        <v>45922</v>
      </c>
      <c r="B388" s="105">
        <v>60979</v>
      </c>
      <c r="C388" s="688" t="str">
        <f>IFERROR(VLOOKUP(Tabela13[[#This Row],[CÓD. EMPRESA]],Tabela3[[CÓDIGO
 EMPRESA ]:[EMPRESA]],2,FALSE),"")</f>
        <v>SILCON AMBIENTAL S/A</v>
      </c>
      <c r="D388" s="112" t="s">
        <v>355</v>
      </c>
      <c r="E388" s="112" t="s">
        <v>490</v>
      </c>
      <c r="F388" s="491">
        <v>19658</v>
      </c>
      <c r="G388" s="411">
        <v>40103</v>
      </c>
      <c r="H388" s="586" t="s">
        <v>52</v>
      </c>
      <c r="I388" s="587">
        <v>45870</v>
      </c>
      <c r="J388" s="585">
        <v>45900</v>
      </c>
      <c r="K388" s="591">
        <v>3567.48</v>
      </c>
      <c r="L388" s="398">
        <f>Tabela13[[#This Row],[VALOR
 BRUTO ]]-Tabela13[[#This Row],[VALOR 
LIQUIDO ]]</f>
        <v>742.03</v>
      </c>
      <c r="M388" s="399">
        <f>Tabela13[[#This Row],[VALORES PAGOS 
(FORMA PAGTO)]]</f>
        <v>2825.45</v>
      </c>
      <c r="N388" s="585">
        <v>45946</v>
      </c>
      <c r="O388" s="588">
        <v>2825.45</v>
      </c>
      <c r="P388" s="587">
        <v>45978</v>
      </c>
      <c r="Q388" s="197" t="str" cm="1">
        <f t="array" aca="1" ref="Q388" ca="1">IF($P388&lt;&gt;"","PAGO",IF($N388&lt;TODAY(),"ATRASADO",IF($N388&gt;TODAY(),"NO PRAZO",IF($N388=TODAY(),"NO PRAZO",SE))))</f>
        <v>PAGO</v>
      </c>
      <c r="R388" s="150" t="str">
        <f t="shared" ca="1" si="5"/>
        <v/>
      </c>
      <c r="S388" s="852"/>
      <c r="T388" s="112"/>
      <c r="U388" s="589">
        <f ca="1">SUBTOTAL(3,Tabela13[[#This Row],[STATUS]])</f>
        <v>1</v>
      </c>
    </row>
    <row r="389" spans="1:21" ht="24" customHeight="1">
      <c r="A389" s="585">
        <v>45922</v>
      </c>
      <c r="B389" s="105">
        <v>68004</v>
      </c>
      <c r="C389" s="688" t="str">
        <f>IFERROR(VLOOKUP(Tabela13[[#This Row],[CÓD. EMPRESA]],Tabela3[[CÓDIGO
 EMPRESA ]:[EMPRESA]],2,FALSE),"")</f>
        <v>VB AMBIENTAL CONSULTORIA E PROJETOS LTDA-ME</v>
      </c>
      <c r="D389" s="112" t="s">
        <v>641</v>
      </c>
      <c r="E389" s="112" t="s">
        <v>489</v>
      </c>
      <c r="F389" s="491">
        <v>19153</v>
      </c>
      <c r="G389" s="411">
        <v>2109</v>
      </c>
      <c r="H389" s="586" t="s">
        <v>52</v>
      </c>
      <c r="I389" s="587">
        <v>45870</v>
      </c>
      <c r="J389" s="585">
        <v>45900</v>
      </c>
      <c r="K389" s="1023">
        <v>5430.18</v>
      </c>
      <c r="L389" s="398">
        <f>Tabela13[[#This Row],[VALOR
 BRUTO ]]-Tabela13[[#This Row],[VALOR 
LIQUIDO ]]</f>
        <v>260.64999999999998</v>
      </c>
      <c r="M389" s="399">
        <f>Tabela13[[#This Row],[VALORES PAGOS 
(FORMA PAGTO)]]</f>
        <v>5169.53</v>
      </c>
      <c r="N389" s="585">
        <v>45939</v>
      </c>
      <c r="O389" s="588">
        <v>5169.53</v>
      </c>
      <c r="P389" s="587">
        <v>45978</v>
      </c>
      <c r="Q389" s="197" t="str" cm="1">
        <f t="array" aca="1" ref="Q389" ca="1">IF($P389&lt;&gt;"","PAGO",IF($N389&lt;TODAY(),"ATRASADO",IF($N389&gt;TODAY(),"NO PRAZO",IF($N389=TODAY(),"NO PRAZO",SE))))</f>
        <v>PAGO</v>
      </c>
      <c r="R389" s="150" t="str">
        <f t="shared" ca="1" si="5"/>
        <v/>
      </c>
      <c r="S389" s="852"/>
      <c r="T389" s="112"/>
      <c r="U389" s="589">
        <f ca="1">SUBTOTAL(3,Tabela13[[#This Row],[STATUS]])</f>
        <v>1</v>
      </c>
    </row>
    <row r="390" spans="1:21" ht="24" customHeight="1">
      <c r="A390" s="585">
        <v>45924</v>
      </c>
      <c r="B390" s="105">
        <v>73112</v>
      </c>
      <c r="C390" s="688" t="str">
        <f>IFERROR(VLOOKUP(Tabela13[[#This Row],[CÓD. EMPRESA]],Tabela3[[CÓDIGO
 EMPRESA ]:[EMPRESA]],2,FALSE),"")</f>
        <v>M CONSTRUÇÕES &amp; SERVIÇOS LTDA</v>
      </c>
      <c r="D390" s="112" t="s">
        <v>350</v>
      </c>
      <c r="E390" s="112" t="s">
        <v>494</v>
      </c>
      <c r="F390" s="491">
        <v>12613</v>
      </c>
      <c r="G390" s="411">
        <v>2403</v>
      </c>
      <c r="H390" s="586" t="s">
        <v>51</v>
      </c>
      <c r="I390" s="587">
        <v>45870</v>
      </c>
      <c r="J390" s="585">
        <v>45900</v>
      </c>
      <c r="K390" s="591">
        <v>7586185.3300000001</v>
      </c>
      <c r="L390" s="399">
        <v>1385857.07</v>
      </c>
      <c r="M390" s="843">
        <f>Tabela13[[#This Row],[VALORES PAGOS 
(FORMA PAGTO)]]</f>
        <v>2000000</v>
      </c>
      <c r="N390" s="585">
        <v>45924</v>
      </c>
      <c r="O390" s="588">
        <v>2000000</v>
      </c>
      <c r="P390" s="587">
        <v>45940</v>
      </c>
      <c r="Q390" s="197" t="str" cm="1">
        <f t="array" aca="1" ref="Q390" ca="1">IF($P390&lt;&gt;"","PAGO",IF($N390&lt;TODAY(),"ATRASADO",IF($N390&gt;TODAY(),"NO PRAZO",IF($N390=TODAY(),"NO PRAZO",SE))))</f>
        <v>PAGO</v>
      </c>
      <c r="R390" s="150" t="str">
        <f t="shared" ref="R390:R453" ca="1" si="6">IF(Q390="ATRASADO",N390-TODAY(),IF(Q390="NO PRAZO",N390-TODAY(),IF(Q390="PAGO","")))</f>
        <v/>
      </c>
      <c r="S390" s="852"/>
      <c r="T390" s="112"/>
      <c r="U390" s="589">
        <f ca="1">SUBTOTAL(3,Tabela13[[#This Row],[STATUS]])</f>
        <v>1</v>
      </c>
    </row>
    <row r="391" spans="1:21" ht="24" customHeight="1">
      <c r="A391" s="585">
        <v>45924</v>
      </c>
      <c r="B391" s="105">
        <v>73112</v>
      </c>
      <c r="C391" s="688" t="str">
        <f>IFERROR(VLOOKUP(Tabela13[[#This Row],[CÓD. EMPRESA]],Tabela3[[CÓDIGO
 EMPRESA ]:[EMPRESA]],2,FALSE),"")</f>
        <v>M CONSTRUÇÕES &amp; SERVIÇOS LTDA</v>
      </c>
      <c r="D391" s="112" t="s">
        <v>350</v>
      </c>
      <c r="E391" s="112" t="s">
        <v>494</v>
      </c>
      <c r="F391" s="491">
        <v>12613</v>
      </c>
      <c r="G391" s="411">
        <v>2403</v>
      </c>
      <c r="H391" s="586" t="s">
        <v>51</v>
      </c>
      <c r="I391" s="587">
        <v>45870</v>
      </c>
      <c r="J391" s="585">
        <v>45900</v>
      </c>
      <c r="K391" s="888"/>
      <c r="L391" s="889"/>
      <c r="M391" s="890">
        <f>Tabela13[[#This Row],[VALORES PAGOS 
(FORMA PAGTO)]]</f>
        <v>1900328.26</v>
      </c>
      <c r="N391" s="885">
        <v>45924</v>
      </c>
      <c r="O391" s="891">
        <v>1900328.26</v>
      </c>
      <c r="P391" s="887">
        <v>45961</v>
      </c>
      <c r="Q391" s="892" t="str" cm="1">
        <f t="array" aca="1" ref="Q391" ca="1">IF($P391&lt;&gt;"","PAGO",IF($N391&lt;TODAY(),"ATRASADO",IF($N391&gt;TODAY(),"NO PRAZO",IF($N391=TODAY(),"NO PRAZO",SE))))</f>
        <v>PAGO</v>
      </c>
      <c r="R391" s="259" t="str">
        <f t="shared" ca="1" si="6"/>
        <v/>
      </c>
      <c r="S391" s="887"/>
      <c r="T391" s="886"/>
      <c r="U391" s="893">
        <f ca="1">SUBTOTAL(3,Tabela13[[#This Row],[STATUS]])</f>
        <v>1</v>
      </c>
    </row>
    <row r="392" spans="1:21" ht="24" customHeight="1">
      <c r="A392" s="585">
        <v>45924</v>
      </c>
      <c r="B392" s="105">
        <v>73112</v>
      </c>
      <c r="C392" s="688" t="str">
        <f>IFERROR(VLOOKUP(Tabela13[[#This Row],[CÓD. EMPRESA]],Tabela3[[CÓDIGO
 EMPRESA ]:[EMPRESA]],2,FALSE),"")</f>
        <v>M CONSTRUÇÕES &amp; SERVIÇOS LTDA</v>
      </c>
      <c r="D392" s="112" t="s">
        <v>350</v>
      </c>
      <c r="E392" s="112" t="s">
        <v>494</v>
      </c>
      <c r="F392" s="491">
        <v>12613</v>
      </c>
      <c r="G392" s="411">
        <v>2403</v>
      </c>
      <c r="H392" s="586" t="s">
        <v>51</v>
      </c>
      <c r="I392" s="587">
        <v>45870</v>
      </c>
      <c r="J392" s="585">
        <v>45900</v>
      </c>
      <c r="K392" s="888"/>
      <c r="L392" s="889"/>
      <c r="M392" s="890">
        <v>2300000</v>
      </c>
      <c r="N392" s="885">
        <v>45924</v>
      </c>
      <c r="O392" s="891">
        <v>2300000</v>
      </c>
      <c r="P392" s="887">
        <v>45944</v>
      </c>
      <c r="Q392" s="892" t="str" cm="1">
        <f t="array" aca="1" ref="Q392" ca="1">IF($P392&lt;&gt;"","PAGO",IF($N392&lt;TODAY(),"ATRASADO",IF($N392&gt;TODAY(),"NO PRAZO",IF($N392=TODAY(),"NO PRAZO",SE))))</f>
        <v>PAGO</v>
      </c>
      <c r="R392" s="259" t="str">
        <f t="shared" ca="1" si="6"/>
        <v/>
      </c>
      <c r="S392" s="887"/>
      <c r="T392" s="886"/>
      <c r="U392" s="893">
        <f ca="1">SUBTOTAL(3,Tabela13[[#This Row],[STATUS]])</f>
        <v>1</v>
      </c>
    </row>
    <row r="393" spans="1:21" ht="24" customHeight="1">
      <c r="A393" s="585">
        <v>45924</v>
      </c>
      <c r="B393" s="105">
        <v>73112</v>
      </c>
      <c r="C393" s="688" t="str">
        <f>IFERROR(VLOOKUP(Tabela13[[#This Row],[CÓD. EMPRESA]],Tabela3[[CÓDIGO
 EMPRESA ]:[EMPRESA]],2,FALSE),"")</f>
        <v>M CONSTRUÇÕES &amp; SERVIÇOS LTDA</v>
      </c>
      <c r="D393" s="112" t="s">
        <v>350</v>
      </c>
      <c r="E393" s="112" t="s">
        <v>494</v>
      </c>
      <c r="F393" s="491">
        <v>20079</v>
      </c>
      <c r="G393" s="411">
        <v>2403</v>
      </c>
      <c r="H393" s="586" t="s">
        <v>51</v>
      </c>
      <c r="I393" s="587">
        <v>45870</v>
      </c>
      <c r="J393" s="585">
        <v>45900</v>
      </c>
      <c r="K393" s="591">
        <v>471123.22</v>
      </c>
      <c r="L393" s="398"/>
      <c r="M393" s="890">
        <v>471123.22</v>
      </c>
      <c r="N393" s="585">
        <v>45924</v>
      </c>
      <c r="O393" s="591">
        <v>471123.22</v>
      </c>
      <c r="P393" s="587">
        <v>45961</v>
      </c>
      <c r="Q393" s="197" t="str" cm="1">
        <f t="array" aca="1" ref="Q393" ca="1">IF($P393&lt;&gt;"","PAGO",IF($N393&lt;TODAY(),"ATRASADO",IF($N393&gt;TODAY(),"NO PRAZO",IF($N393=TODAY(),"NO PRAZO",SE))))</f>
        <v>PAGO</v>
      </c>
      <c r="R393" s="150" t="str">
        <f t="shared" ca="1" si="6"/>
        <v/>
      </c>
      <c r="S393" s="887"/>
      <c r="T393" s="112"/>
      <c r="U393" s="589">
        <f ca="1">SUBTOTAL(3,Tabela13[[#This Row],[STATUS]])</f>
        <v>1</v>
      </c>
    </row>
    <row r="394" spans="1:21" ht="24" customHeight="1">
      <c r="A394" s="585">
        <v>45924</v>
      </c>
      <c r="B394" s="105">
        <v>70064</v>
      </c>
      <c r="C394" s="688" t="str">
        <f>IFERROR(VLOOKUP(Tabela13[[#This Row],[CÓD. EMPRESA]],Tabela3[[CÓDIGO
 EMPRESA ]:[EMPRESA]],2,FALSE),"")</f>
        <v>PROMAXIMA GESTÃO EMPRESARIAL LTDA</v>
      </c>
      <c r="D394" s="112" t="s">
        <v>645</v>
      </c>
      <c r="E394" s="112" t="s">
        <v>419</v>
      </c>
      <c r="F394" s="491">
        <v>15569</v>
      </c>
      <c r="G394" s="411">
        <v>2571</v>
      </c>
      <c r="H394" s="586" t="s">
        <v>51</v>
      </c>
      <c r="I394" s="587"/>
      <c r="J394" s="585"/>
      <c r="K394" s="591">
        <v>7000</v>
      </c>
      <c r="L394" s="398">
        <f>Tabela13[[#This Row],[VALOR
 BRUTO ]]-Tabela13[[#This Row],[VALOR 
LIQUIDO ]]</f>
        <v>0</v>
      </c>
      <c r="M394" s="399">
        <f>Tabela13[[#This Row],[VALORES PAGOS 
(FORMA PAGTO)]]</f>
        <v>7000</v>
      </c>
      <c r="N394" s="585">
        <v>45928</v>
      </c>
      <c r="O394" s="588">
        <v>7000</v>
      </c>
      <c r="P394" s="587">
        <v>45951</v>
      </c>
      <c r="Q394" s="197" t="str" cm="1">
        <f t="array" aca="1" ref="Q394" ca="1">IF($P394&lt;&gt;"","PAGO",IF($N394&lt;TODAY(),"ATRASADO",IF($N394&gt;TODAY(),"NO PRAZO",IF($N394=TODAY(),"NO PRAZO",SE))))</f>
        <v>PAGO</v>
      </c>
      <c r="R394" s="150" t="str">
        <f t="shared" ca="1" si="6"/>
        <v/>
      </c>
      <c r="S394" s="241"/>
      <c r="T394" s="112"/>
      <c r="U394" s="589">
        <f ca="1">SUBTOTAL(3,Tabela13[[#This Row],[STATUS]])</f>
        <v>1</v>
      </c>
    </row>
    <row r="395" spans="1:21" ht="24" customHeight="1">
      <c r="A395" s="585">
        <v>45925</v>
      </c>
      <c r="B395" s="105">
        <v>54615</v>
      </c>
      <c r="C395" s="688" t="str">
        <f>IFERROR(VLOOKUP(Tabela13[[#This Row],[CÓD. EMPRESA]],Tabela3[[CÓDIGO
 EMPRESA ]:[EMPRESA]],2,FALSE),"")</f>
        <v>NEO-TAGUS COMERCIO E ASSISTENCIA TECNICA LTDA</v>
      </c>
      <c r="D395" s="112" t="s">
        <v>133</v>
      </c>
      <c r="E395" s="112" t="s">
        <v>686</v>
      </c>
      <c r="F395" s="491">
        <v>13826</v>
      </c>
      <c r="G395" s="411">
        <v>9594</v>
      </c>
      <c r="H395" s="586" t="s">
        <v>52</v>
      </c>
      <c r="I395" s="587">
        <v>45744</v>
      </c>
      <c r="J395" s="585">
        <v>45774</v>
      </c>
      <c r="K395" s="591">
        <v>4233</v>
      </c>
      <c r="L395" s="398">
        <f>Tabela13[[#This Row],[VALOR
 BRUTO ]]-Tabela13[[#This Row],[VALOR 
LIQUIDO ]]</f>
        <v>203.18</v>
      </c>
      <c r="M395" s="399">
        <f>Tabela13[[#This Row],[VALORES PAGOS 
(FORMA PAGTO)]]</f>
        <v>4029.82</v>
      </c>
      <c r="N395" s="585">
        <v>45952</v>
      </c>
      <c r="O395" s="588">
        <v>4029.82</v>
      </c>
      <c r="P395" s="587">
        <v>45978</v>
      </c>
      <c r="Q395" s="197" t="str" cm="1">
        <f t="array" aca="1" ref="Q395" ca="1">IF($P395&lt;&gt;"","PAGO",IF($N395&lt;TODAY(),"ATRASADO",IF($N395&gt;TODAY(),"NO PRAZO",IF($N395=TODAY(),"NO PRAZO",SE))))</f>
        <v>PAGO</v>
      </c>
      <c r="R395" s="150" t="str">
        <f t="shared" ca="1" si="6"/>
        <v/>
      </c>
      <c r="S395" s="852"/>
      <c r="T395" s="112"/>
      <c r="U395" s="589">
        <f ca="1">SUBTOTAL(3,Tabela13[[#This Row],[STATUS]])</f>
        <v>1</v>
      </c>
    </row>
    <row r="396" spans="1:21" ht="24" customHeight="1">
      <c r="A396" s="113">
        <v>45930</v>
      </c>
      <c r="B396" s="105">
        <v>51481</v>
      </c>
      <c r="C396" s="688" t="str">
        <f>IFERROR(VLOOKUP(Tabela13[[#This Row],[CÓD. EMPRESA]],Tabela3[[CÓDIGO
 EMPRESA ]:[EMPRESA]],2,FALSE),"")</f>
        <v>LIGA INDUSTRIA E COMÉRCIO DE MATERIAL PARA CONSTRUÇÃO LTDA .</v>
      </c>
      <c r="D396" s="112" t="s">
        <v>654</v>
      </c>
      <c r="E396" s="112" t="s">
        <v>637</v>
      </c>
      <c r="F396" s="491">
        <v>20078</v>
      </c>
      <c r="G396" s="411">
        <v>106</v>
      </c>
      <c r="H396" s="165" t="s">
        <v>52</v>
      </c>
      <c r="I396" s="147"/>
      <c r="J396" s="113"/>
      <c r="K396" s="401">
        <v>2240</v>
      </c>
      <c r="L396" s="398">
        <f>Tabela13[[#This Row],[VALOR
 BRUTO ]]-Tabela13[[#This Row],[VALOR 
LIQUIDO ]]</f>
        <v>71.680000000000007</v>
      </c>
      <c r="M396" s="399">
        <f>Tabela13[[#This Row],[VALORES PAGOS 
(FORMA PAGTO)]]</f>
        <v>2168.3200000000002</v>
      </c>
      <c r="N396" s="113">
        <v>45955</v>
      </c>
      <c r="O396" s="385">
        <v>2168.3200000000002</v>
      </c>
      <c r="P396" s="147">
        <v>45978</v>
      </c>
      <c r="Q396" s="197" t="str" cm="1">
        <f t="array" aca="1" ref="Q396" ca="1">IF($P396&lt;&gt;"","PAGO",IF($N396&lt;TODAY(),"ATRASADO",IF($N396&gt;TODAY(),"NO PRAZO",IF($N396=TODAY(),"NO PRAZO",SE))))</f>
        <v>PAGO</v>
      </c>
      <c r="R396" s="150" t="str">
        <f t="shared" ca="1" si="6"/>
        <v/>
      </c>
      <c r="S396" s="852"/>
      <c r="T396" s="112"/>
      <c r="U396" s="259">
        <f ca="1">SUBTOTAL(3,Tabela13[[#This Row],[STATUS]])</f>
        <v>1</v>
      </c>
    </row>
    <row r="397" spans="1:21" ht="24" customHeight="1">
      <c r="A397" s="631">
        <v>45930</v>
      </c>
      <c r="B397" s="105">
        <v>54615</v>
      </c>
      <c r="C397" s="688" t="str">
        <f>IFERROR(VLOOKUP(Tabela13[[#This Row],[CÓD. EMPRESA]],Tabela3[[CÓDIGO
 EMPRESA ]:[EMPRESA]],2,FALSE),"")</f>
        <v>NEO-TAGUS COMERCIO E ASSISTENCIA TECNICA LTDA</v>
      </c>
      <c r="D397" s="112" t="s">
        <v>133</v>
      </c>
      <c r="E397" s="112" t="s">
        <v>686</v>
      </c>
      <c r="F397" s="491">
        <v>13826</v>
      </c>
      <c r="G397" s="411">
        <v>9597</v>
      </c>
      <c r="H397" s="632" t="s">
        <v>52</v>
      </c>
      <c r="I397" s="633">
        <v>45897</v>
      </c>
      <c r="J397" s="631">
        <v>45927</v>
      </c>
      <c r="K397" s="634">
        <v>4233</v>
      </c>
      <c r="L397" s="398">
        <f>Tabela13[[#This Row],[VALOR
 BRUTO ]]-Tabela13[[#This Row],[VALOR 
LIQUIDO ]]</f>
        <v>203.18</v>
      </c>
      <c r="M397" s="399">
        <f>Tabela13[[#This Row],[VALORES PAGOS 
(FORMA PAGTO)]]</f>
        <v>4029.82</v>
      </c>
      <c r="N397" s="631">
        <v>45958</v>
      </c>
      <c r="O397" s="588">
        <v>4029.82</v>
      </c>
      <c r="P397" s="633">
        <v>45978</v>
      </c>
      <c r="Q397" s="197" t="str" cm="1">
        <f t="array" aca="1" ref="Q397" ca="1">IF($P397&lt;&gt;"","PAGO",IF($N397&lt;TODAY(),"ATRASADO",IF($N397&gt;TODAY(),"NO PRAZO",IF($N397=TODAY(),"NO PRAZO",SE))))</f>
        <v>PAGO</v>
      </c>
      <c r="R397" s="150" t="str">
        <f t="shared" ca="1" si="6"/>
        <v/>
      </c>
      <c r="S397" s="720"/>
      <c r="T397" s="112"/>
      <c r="U397" s="636">
        <f ca="1">SUBTOTAL(3,Tabela13[[#This Row],[STATUS]])</f>
        <v>1</v>
      </c>
    </row>
    <row r="398" spans="1:21" ht="24" customHeight="1">
      <c r="A398" s="631">
        <v>45932</v>
      </c>
      <c r="B398" s="105">
        <v>118253</v>
      </c>
      <c r="C398" s="688" t="str">
        <f>IFERROR(VLOOKUP(Tabela13[[#This Row],[CÓD. EMPRESA]],Tabela3[[CÓDIGO
 EMPRESA ]:[EMPRESA]],2,FALSE),"")</f>
        <v>COOPERATIVA DE TRABALHO DOS CATADORES DA AREA DE MATERIAIS RECICLAVEIS DE GUARULHOS</v>
      </c>
      <c r="D398" s="939" t="s">
        <v>440</v>
      </c>
      <c r="E398" s="112" t="s">
        <v>441</v>
      </c>
      <c r="F398" s="491">
        <v>7076</v>
      </c>
      <c r="G398" s="411">
        <v>7</v>
      </c>
      <c r="H398" s="632" t="s">
        <v>52</v>
      </c>
      <c r="I398" s="633">
        <v>45778</v>
      </c>
      <c r="J398" s="631">
        <v>45808</v>
      </c>
      <c r="K398" s="634">
        <v>39444.879999999997</v>
      </c>
      <c r="L398" s="398">
        <f>Tabela13[[#This Row],[VALOR
 BRUTO ]]-Tabela13[[#This Row],[VALOR 
LIQUIDO ]]</f>
        <v>1972.24</v>
      </c>
      <c r="M398" s="399">
        <f>Tabela13[[#This Row],[VALORES PAGOS 
(FORMA PAGTO)]]</f>
        <v>37472.639999999999</v>
      </c>
      <c r="N398" s="631">
        <v>45953</v>
      </c>
      <c r="O398" s="635">
        <v>37472.639999999999</v>
      </c>
      <c r="P398" s="633">
        <v>45978</v>
      </c>
      <c r="Q398" s="197" t="str" cm="1">
        <f t="array" aca="1" ref="Q398" ca="1">IF($P398&lt;&gt;"","PAGO",IF($N398&lt;TODAY(),"ATRASADO",IF($N398&gt;TODAY(),"NO PRAZO",IF($N398=TODAY(),"NO PRAZO",SE))))</f>
        <v>PAGO</v>
      </c>
      <c r="R398" s="150" t="str">
        <f t="shared" ca="1" si="6"/>
        <v/>
      </c>
      <c r="S398" s="720"/>
      <c r="T398" s="112"/>
      <c r="U398" s="636">
        <f ca="1">SUBTOTAL(3,Tabela13[[#This Row],[STATUS]])</f>
        <v>1</v>
      </c>
    </row>
    <row r="399" spans="1:21" ht="24" customHeight="1">
      <c r="A399" s="113">
        <v>45936</v>
      </c>
      <c r="B399" s="114">
        <v>73402</v>
      </c>
      <c r="C399" s="688" t="str">
        <f>IFERROR(VLOOKUP(Tabela13[[#This Row],[CÓD. EMPRESA]],Tabela3[[CÓDIGO
 EMPRESA ]:[EMPRESA]],2,FALSE),"")</f>
        <v>NELSON TAKAO YOSHIDA</v>
      </c>
      <c r="D399" s="112" t="s">
        <v>683</v>
      </c>
      <c r="E399" s="112" t="s">
        <v>684</v>
      </c>
      <c r="F399" s="196">
        <v>21661</v>
      </c>
      <c r="G399" s="109">
        <v>195</v>
      </c>
      <c r="H399" s="165" t="s">
        <v>52</v>
      </c>
      <c r="I399" s="147"/>
      <c r="J399" s="113"/>
      <c r="K399" s="401">
        <v>17158.34</v>
      </c>
      <c r="L399" s="398">
        <f>Tabela13[[#This Row],[VALOR
 BRUTO ]]-Tabela13[[#This Row],[VALOR 
LIQUIDO ]]</f>
        <v>257.38</v>
      </c>
      <c r="M399" s="703">
        <f>Tabela13[[#This Row],[VALORES PAGOS 
(FORMA PAGTO)]]</f>
        <v>16900.96</v>
      </c>
      <c r="N399" s="113">
        <v>45932</v>
      </c>
      <c r="O399" s="385">
        <v>16900.96</v>
      </c>
      <c r="P399" s="147">
        <v>45946</v>
      </c>
      <c r="Q399" s="197" t="str" cm="1">
        <f t="array" aca="1" ref="Q399" ca="1">IF($P399&lt;&gt;"","PAGO",IF($N399&lt;TODAY(),"ATRASADO",IF($N399&gt;TODAY(),"NO PRAZO",IF($N399=TODAY(),"NO PRAZO",SE))))</f>
        <v>PAGO</v>
      </c>
      <c r="R399" s="259" t="str">
        <f t="shared" ca="1" si="6"/>
        <v/>
      </c>
      <c r="S399" s="147"/>
      <c r="T399" s="112"/>
      <c r="U399" s="259">
        <f ca="1">SUBTOTAL(3,Tabela13[[#This Row],[STATUS]])</f>
        <v>1</v>
      </c>
    </row>
    <row r="400" spans="1:21" ht="24" customHeight="1">
      <c r="A400" s="113">
        <v>45936</v>
      </c>
      <c r="B400" s="114">
        <v>73402</v>
      </c>
      <c r="C400" s="688" t="str">
        <f>IFERROR(VLOOKUP(Tabela13[[#This Row],[CÓD. EMPRESA]],Tabela3[[CÓDIGO
 EMPRESA ]:[EMPRESA]],2,FALSE),"")</f>
        <v>NELSON TAKAO YOSHIDA</v>
      </c>
      <c r="D400" s="112" t="s">
        <v>683</v>
      </c>
      <c r="E400" s="112" t="s">
        <v>684</v>
      </c>
      <c r="F400" s="196">
        <v>21661</v>
      </c>
      <c r="G400" s="109">
        <v>206</v>
      </c>
      <c r="H400" s="165" t="s">
        <v>52</v>
      </c>
      <c r="I400" s="147"/>
      <c r="J400" s="113"/>
      <c r="K400" s="401">
        <v>15939.96</v>
      </c>
      <c r="L400" s="398">
        <f>Tabela13[[#This Row],[VALOR
 BRUTO ]]-Tabela13[[#This Row],[VALOR 
LIQUIDO ]]</f>
        <v>239.1</v>
      </c>
      <c r="M400" s="703">
        <f>Tabela13[[#This Row],[VALORES PAGOS 
(FORMA PAGTO)]]</f>
        <v>15700.86</v>
      </c>
      <c r="N400" s="113">
        <v>45932</v>
      </c>
      <c r="O400" s="385">
        <v>15700.86</v>
      </c>
      <c r="P400" s="147">
        <v>45946</v>
      </c>
      <c r="Q400" s="197" t="str" cm="1">
        <f t="array" aca="1" ref="Q400" ca="1">IF($P400&lt;&gt;"","PAGO",IF($N400&lt;TODAY(),"ATRASADO",IF($N400&gt;TODAY(),"NO PRAZO",IF($N400=TODAY(),"NO PRAZO",SE))))</f>
        <v>PAGO</v>
      </c>
      <c r="R400" s="259" t="str">
        <f t="shared" ca="1" si="6"/>
        <v/>
      </c>
      <c r="S400" s="147"/>
      <c r="T400" s="112"/>
      <c r="U400" s="259">
        <f ca="1">SUBTOTAL(3,Tabela13[[#This Row],[STATUS]])</f>
        <v>1</v>
      </c>
    </row>
    <row r="401" spans="1:21" ht="24" customHeight="1">
      <c r="A401" s="113">
        <v>45936</v>
      </c>
      <c r="B401" s="114">
        <v>73402</v>
      </c>
      <c r="C401" s="688" t="str">
        <f>IFERROR(VLOOKUP(Tabela13[[#This Row],[CÓD. EMPRESA]],Tabela3[[CÓDIGO
 EMPRESA ]:[EMPRESA]],2,FALSE),"")</f>
        <v>NELSON TAKAO YOSHIDA</v>
      </c>
      <c r="D401" s="112" t="s">
        <v>683</v>
      </c>
      <c r="E401" s="112" t="s">
        <v>684</v>
      </c>
      <c r="F401" s="196">
        <v>21661</v>
      </c>
      <c r="G401" s="109">
        <v>210</v>
      </c>
      <c r="H401" s="165" t="s">
        <v>52</v>
      </c>
      <c r="I401" s="147"/>
      <c r="J401" s="113"/>
      <c r="K401" s="401">
        <v>14180.4</v>
      </c>
      <c r="L401" s="398">
        <f>Tabela13[[#This Row],[VALOR
 BRUTO ]]-Tabela13[[#This Row],[VALOR 
LIQUIDO ]]</f>
        <v>212.71</v>
      </c>
      <c r="M401" s="703">
        <f>Tabela13[[#This Row],[VALORES PAGOS 
(FORMA PAGTO)]]</f>
        <v>13967.69</v>
      </c>
      <c r="N401" s="113">
        <v>45932</v>
      </c>
      <c r="O401" s="385">
        <v>13967.69</v>
      </c>
      <c r="P401" s="147">
        <v>45946</v>
      </c>
      <c r="Q401" s="197" t="str" cm="1">
        <f t="array" aca="1" ref="Q401" ca="1">IF($P401&lt;&gt;"","PAGO",IF($N401&lt;TODAY(),"ATRASADO",IF($N401&gt;TODAY(),"NO PRAZO",IF($N401=TODAY(),"NO PRAZO",SE))))</f>
        <v>PAGO</v>
      </c>
      <c r="R401" s="259" t="str">
        <f t="shared" ca="1" si="6"/>
        <v/>
      </c>
      <c r="S401" s="147"/>
      <c r="T401" s="112"/>
      <c r="U401" s="259">
        <f ca="1">SUBTOTAL(3,Tabela13[[#This Row],[STATUS]])</f>
        <v>1</v>
      </c>
    </row>
    <row r="402" spans="1:21" ht="24" customHeight="1">
      <c r="A402" s="113">
        <v>45937</v>
      </c>
      <c r="B402" s="105">
        <v>121973</v>
      </c>
      <c r="C402" s="688" t="str">
        <f>IFERROR(VLOOKUP(Tabela13[[#This Row],[CÓD. EMPRESA]],Tabela3[[CÓDIGO
 EMPRESA ]:[EMPRESA]],2,FALSE),"")</f>
        <v>CONSORCIO CENTRO DE TRATAMENTO DE RESIDUOS GUARULHOS</v>
      </c>
      <c r="D402" s="112" t="s">
        <v>446</v>
      </c>
      <c r="E402" s="112" t="s">
        <v>564</v>
      </c>
      <c r="F402" s="491">
        <v>6841</v>
      </c>
      <c r="G402" s="491">
        <v>9</v>
      </c>
      <c r="H402" s="165" t="s">
        <v>52</v>
      </c>
      <c r="I402" s="147">
        <v>45870</v>
      </c>
      <c r="J402" s="113">
        <v>45900</v>
      </c>
      <c r="K402" s="401">
        <v>240784.03</v>
      </c>
      <c r="L402" s="398">
        <f>Tabela13[[#This Row],[VALOR
 BRUTO ]]-Tabela13[[#This Row],[VALOR 
LIQUIDO ]]</f>
        <v>0</v>
      </c>
      <c r="M402" s="399">
        <f>Tabela13[[#This Row],[VALORES PAGOS 
(FORMA PAGTO)]]</f>
        <v>240784.03</v>
      </c>
      <c r="N402" s="113">
        <v>45955</v>
      </c>
      <c r="O402" s="385">
        <v>240784.03</v>
      </c>
      <c r="P402" s="147">
        <v>45995</v>
      </c>
      <c r="Q402" s="197" t="str" cm="1">
        <f t="array" aca="1" ref="Q402" ca="1">IF($P402&lt;&gt;"","PAGO",IF($N402&lt;TODAY(),"ATRASADO",IF($N402&gt;TODAY(),"NO PRAZO",IF($N402=TODAY(),"NO PRAZO",SE))))</f>
        <v>PAGO</v>
      </c>
      <c r="R402" s="150" t="str">
        <f t="shared" ca="1" si="6"/>
        <v/>
      </c>
      <c r="S402" s="241"/>
      <c r="T402" s="112"/>
      <c r="U402" s="259">
        <f ca="1">SUBTOTAL(3,Tabela13[[#This Row],[STATUS]])</f>
        <v>1</v>
      </c>
    </row>
    <row r="403" spans="1:21" ht="24.75" customHeight="1">
      <c r="A403" s="113">
        <v>45937</v>
      </c>
      <c r="B403" s="105">
        <v>121973</v>
      </c>
      <c r="C403" s="688" t="str">
        <f>IFERROR(VLOOKUP(Tabela13[[#This Row],[CÓD. EMPRESA]],Tabela3[[CÓDIGO
 EMPRESA ]:[EMPRESA]],2,FALSE),"")</f>
        <v>CONSORCIO CENTRO DE TRATAMENTO DE RESIDUOS GUARULHOS</v>
      </c>
      <c r="D403" s="853" t="s">
        <v>446</v>
      </c>
      <c r="E403" s="112" t="s">
        <v>564</v>
      </c>
      <c r="F403" s="491">
        <v>19160</v>
      </c>
      <c r="G403" s="491">
        <v>9</v>
      </c>
      <c r="H403" s="165" t="s">
        <v>52</v>
      </c>
      <c r="I403" s="147">
        <v>45870</v>
      </c>
      <c r="J403" s="113">
        <v>45900</v>
      </c>
      <c r="K403" s="401">
        <v>548264.54</v>
      </c>
      <c r="L403" s="398">
        <f>Tabela13[[#This Row],[VALOR
 BRUTO ]]-Tabela13[[#This Row],[VALOR 
LIQUIDO ]]</f>
        <v>120724.43</v>
      </c>
      <c r="M403" s="399">
        <f>Tabela13[[#This Row],[VALORES PAGOS 
(FORMA PAGTO)]]</f>
        <v>427540.11</v>
      </c>
      <c r="N403" s="113">
        <v>45955</v>
      </c>
      <c r="O403" s="385">
        <v>427540.11</v>
      </c>
      <c r="P403" s="607">
        <v>45995</v>
      </c>
      <c r="Q403" s="197" t="str" cm="1">
        <f t="array" aca="1" ref="Q403" ca="1">IF($P403&lt;&gt;"","PAGO",IF($N403&lt;TODAY(),"ATRASADO",IF($N403&gt;TODAY(),"NO PRAZO",IF($N403=TODAY(),"NO PRAZO",SE))))</f>
        <v>PAGO</v>
      </c>
      <c r="R403" s="150" t="str">
        <f t="shared" ca="1" si="6"/>
        <v/>
      </c>
      <c r="S403" s="732"/>
      <c r="T403" s="112"/>
      <c r="U403" s="610">
        <f ca="1">SUBTOTAL(3,Tabela13[[#This Row],[STATUS]])</f>
        <v>1</v>
      </c>
    </row>
    <row r="404" spans="1:21" ht="24" customHeight="1">
      <c r="A404" s="606">
        <v>45939</v>
      </c>
      <c r="B404" s="105">
        <v>34074</v>
      </c>
      <c r="C404" s="688" t="str">
        <f>IFERROR(VLOOKUP(Tabela13[[#This Row],[CÓD. EMPRESA]],Tabela3[[CÓDIGO
 EMPRESA ]:[EMPRESA]],2,FALSE),"")</f>
        <v>SEGUROS SURA S.A</v>
      </c>
      <c r="D404" s="112" t="s">
        <v>668</v>
      </c>
      <c r="E404" s="112" t="s">
        <v>669</v>
      </c>
      <c r="F404" s="491">
        <v>17980</v>
      </c>
      <c r="G404" s="874" t="s">
        <v>670</v>
      </c>
      <c r="H404" s="165" t="s">
        <v>53</v>
      </c>
      <c r="I404" s="607"/>
      <c r="J404" s="606"/>
      <c r="K404" s="608">
        <v>16291.33</v>
      </c>
      <c r="L404" s="398">
        <f>Tabela13[[#This Row],[VALOR
 BRUTO ]]-Tabela13[[#This Row],[VALOR 
LIQUIDO ]]</f>
        <v>390.99</v>
      </c>
      <c r="M404" s="399">
        <f>Tabela13[[#This Row],[VALORES PAGOS 
(FORMA PAGTO)]]</f>
        <v>15900.34</v>
      </c>
      <c r="N404" s="606">
        <v>45962</v>
      </c>
      <c r="O404" s="609">
        <v>15900.34</v>
      </c>
      <c r="P404" s="607">
        <v>45961</v>
      </c>
      <c r="Q404" s="197" t="str" cm="1">
        <f t="array" aca="1" ref="Q404" ca="1">IF($P404&lt;&gt;"","PAGO",IF($N404&lt;TODAY(),"ATRASADO",IF($N404&gt;TODAY(),"NO PRAZO",IF($N404=TODAY(),"NO PRAZO",SE))))</f>
        <v>PAGO</v>
      </c>
      <c r="R404" s="150" t="str">
        <f t="shared" ca="1" si="6"/>
        <v/>
      </c>
      <c r="S404" s="731"/>
      <c r="T404" s="112"/>
      <c r="U404" s="610">
        <f ca="1">SUBTOTAL(3,Tabela13[[#This Row],[STATUS]])</f>
        <v>1</v>
      </c>
    </row>
    <row r="405" spans="1:21" ht="24" customHeight="1">
      <c r="A405" s="606">
        <v>45939</v>
      </c>
      <c r="B405" s="105">
        <v>119710</v>
      </c>
      <c r="C405" s="688" t="str">
        <f>IFERROR(VLOOKUP(Tabela13[[#This Row],[CÓD. EMPRESA]],Tabela3[[CÓDIGO
 EMPRESA ]:[EMPRESA]],2,FALSE),"")</f>
        <v>HC GROUP DO BRASIL IMPORTAÇÃO DISTRIBUIÇÃO LTDA</v>
      </c>
      <c r="D405" s="112" t="s">
        <v>666</v>
      </c>
      <c r="E405" s="112" t="s">
        <v>667</v>
      </c>
      <c r="F405" s="491">
        <v>20089</v>
      </c>
      <c r="G405" s="411">
        <v>1635</v>
      </c>
      <c r="H405" s="165" t="s">
        <v>52</v>
      </c>
      <c r="I405" s="607"/>
      <c r="J405" s="606"/>
      <c r="K405" s="608">
        <v>2565</v>
      </c>
      <c r="L405" s="398">
        <f>Tabela13[[#This Row],[VALOR
 BRUTO ]]-Tabela13[[#This Row],[VALOR 
LIQUIDO ]]</f>
        <v>30.78</v>
      </c>
      <c r="M405" s="399">
        <f>Tabela13[[#This Row],[VALORES PAGOS 
(FORMA PAGTO)]]</f>
        <v>2534.2199999999998</v>
      </c>
      <c r="N405" s="606">
        <v>45952</v>
      </c>
      <c r="O405" s="609">
        <v>2534.2199999999998</v>
      </c>
      <c r="P405" s="607">
        <v>45978</v>
      </c>
      <c r="Q405" s="197" t="str" cm="1">
        <f t="array" aca="1" ref="Q405" ca="1">IF($P405&lt;&gt;"","PAGO",IF($N405&lt;TODAY(),"ATRASADO",IF($N405&gt;TODAY(),"NO PRAZO",IF($N405=TODAY(),"NO PRAZO",SE))))</f>
        <v>PAGO</v>
      </c>
      <c r="R405" s="150" t="str">
        <f t="shared" ca="1" si="6"/>
        <v/>
      </c>
      <c r="S405" s="732"/>
      <c r="T405" s="112"/>
      <c r="U405" s="610">
        <f ca="1">SUBTOTAL(3,Tabela13[[#This Row],[STATUS]])</f>
        <v>1</v>
      </c>
    </row>
    <row r="406" spans="1:21" ht="24" customHeight="1">
      <c r="A406" s="606">
        <v>45940</v>
      </c>
      <c r="B406" s="105">
        <v>2808</v>
      </c>
      <c r="C406" s="688" t="str">
        <f>IFERROR(VLOOKUP(Tabela13[[#This Row],[CÓD. EMPRESA]],Tabela3[[CÓDIGO
 EMPRESA ]:[EMPRESA]],2,FALSE),"")</f>
        <v>EMPRESA BRASILEIRA DE CORREIOS E TELEGRAFOS</v>
      </c>
      <c r="D406" s="112" t="s">
        <v>34</v>
      </c>
      <c r="E406" s="112" t="s">
        <v>443</v>
      </c>
      <c r="F406" s="112">
        <v>9359</v>
      </c>
      <c r="G406" s="112">
        <v>3706035</v>
      </c>
      <c r="H406" s="165" t="s">
        <v>52</v>
      </c>
      <c r="I406" s="607">
        <v>45912</v>
      </c>
      <c r="J406" s="606">
        <v>45926</v>
      </c>
      <c r="K406" s="608">
        <v>1671.32</v>
      </c>
      <c r="L406" s="398">
        <f>Tabela13[[#This Row],[VALOR
 BRUTO ]]-Tabela13[[#This Row],[VALOR 
LIQUIDO ]]</f>
        <v>0</v>
      </c>
      <c r="M406" s="399">
        <f>Tabela13[[#This Row],[VALORES PAGOS 
(FORMA PAGTO)]]</f>
        <v>1671.32</v>
      </c>
      <c r="N406" s="606">
        <v>45951</v>
      </c>
      <c r="O406" s="608">
        <v>1671.32</v>
      </c>
      <c r="P406" s="607">
        <v>45951</v>
      </c>
      <c r="Q406" s="197" t="str" cm="1">
        <f t="array" aca="1" ref="Q406" ca="1">IF($P406&lt;&gt;"","PAGO",IF($N406&lt;TODAY(),"ATRASADO",IF($N406&gt;TODAY(),"NO PRAZO",IF($N406=TODAY(),"NO PRAZO",SE))))</f>
        <v>PAGO</v>
      </c>
      <c r="R406" s="150" t="str">
        <f t="shared" ca="1" si="6"/>
        <v/>
      </c>
      <c r="S406" s="732"/>
      <c r="T406" s="112"/>
      <c r="U406" s="610">
        <f ca="1">SUBTOTAL(3,Tabela13[[#This Row],[STATUS]])</f>
        <v>1</v>
      </c>
    </row>
    <row r="407" spans="1:21" ht="24" customHeight="1">
      <c r="A407" s="606">
        <v>45940</v>
      </c>
      <c r="B407" s="105">
        <v>2808</v>
      </c>
      <c r="C407" s="688" t="str">
        <f>IFERROR(VLOOKUP(Tabela13[[#This Row],[CÓD. EMPRESA]],Tabela3[[CÓDIGO
 EMPRESA ]:[EMPRESA]],2,FALSE),"")</f>
        <v>EMPRESA BRASILEIRA DE CORREIOS E TELEGRAFOS</v>
      </c>
      <c r="D407" s="112" t="s">
        <v>34</v>
      </c>
      <c r="E407" s="112" t="s">
        <v>443</v>
      </c>
      <c r="F407" s="112">
        <v>17981</v>
      </c>
      <c r="G407" s="112">
        <v>3706035</v>
      </c>
      <c r="H407" s="165" t="s">
        <v>52</v>
      </c>
      <c r="I407" s="607">
        <v>45912</v>
      </c>
      <c r="J407" s="606">
        <v>45926</v>
      </c>
      <c r="K407" s="608">
        <v>799.34</v>
      </c>
      <c r="L407" s="398">
        <f>Tabela13[[#This Row],[VALOR
 BRUTO ]]-Tabela13[[#This Row],[VALOR 
LIQUIDO ]]</f>
        <v>0</v>
      </c>
      <c r="M407" s="399">
        <f>Tabela13[[#This Row],[VALORES PAGOS 
(FORMA PAGTO)]]</f>
        <v>799.34</v>
      </c>
      <c r="N407" s="606">
        <v>45951</v>
      </c>
      <c r="O407" s="608">
        <v>799.34</v>
      </c>
      <c r="P407" s="607">
        <v>45951</v>
      </c>
      <c r="Q407" s="197" t="str" cm="1">
        <f t="array" aca="1" ref="Q407" ca="1">IF($P407&lt;&gt;"","PAGO",IF($N407&lt;TODAY(),"ATRASADO",IF($N407&gt;TODAY(),"NO PRAZO",IF($N407=TODAY(),"NO PRAZO",SE))))</f>
        <v>PAGO</v>
      </c>
      <c r="R407" s="150" t="str">
        <f t="shared" ca="1" si="6"/>
        <v/>
      </c>
      <c r="S407" s="732"/>
      <c r="T407" s="112"/>
      <c r="U407" s="610">
        <f ca="1">SUBTOTAL(3,Tabela13[[#This Row],[STATUS]])</f>
        <v>1</v>
      </c>
    </row>
    <row r="408" spans="1:21" ht="24" customHeight="1">
      <c r="A408" s="606">
        <v>45940</v>
      </c>
      <c r="B408" s="105">
        <v>112466</v>
      </c>
      <c r="C408" s="688" t="str">
        <f>IFERROR(VLOOKUP(Tabela13[[#This Row],[CÓD. EMPRESA]],Tabela3[[CÓDIGO
 EMPRESA ]:[EMPRESA]],2,FALSE),"")</f>
        <v>COOPERATIVA DE TRABALHO DE RECICLAGEM ECO GUARULHOS</v>
      </c>
      <c r="D408" s="112" t="s">
        <v>337</v>
      </c>
      <c r="E408" s="112" t="s">
        <v>630</v>
      </c>
      <c r="F408" s="491">
        <v>11491</v>
      </c>
      <c r="G408" s="411">
        <v>29</v>
      </c>
      <c r="H408" s="165" t="s">
        <v>52</v>
      </c>
      <c r="I408" s="607">
        <v>45809</v>
      </c>
      <c r="J408" s="606">
        <v>45838</v>
      </c>
      <c r="K408" s="608">
        <v>17537.93</v>
      </c>
      <c r="L408" s="398">
        <f>Tabela13[[#This Row],[VALOR
 BRUTO ]]-Tabela13[[#This Row],[VALOR 
LIQUIDO ]]</f>
        <v>876.9</v>
      </c>
      <c r="M408" s="399">
        <f>Tabela13[[#This Row],[VALORES PAGOS 
(FORMA PAGTO)]]</f>
        <v>16661.03</v>
      </c>
      <c r="N408" s="606">
        <v>45940</v>
      </c>
      <c r="O408" s="609">
        <v>16661.03</v>
      </c>
      <c r="P408" s="607">
        <v>45978</v>
      </c>
      <c r="Q408" s="197" t="str" cm="1">
        <f t="array" aca="1" ref="Q408" ca="1">IF($P408&lt;&gt;"","PAGO",IF($N408&lt;TODAY(),"ATRASADO",IF($N408&gt;TODAY(),"NO PRAZO",IF($N408=TODAY(),"NO PRAZO",SE))))</f>
        <v>PAGO</v>
      </c>
      <c r="R408" s="150" t="str">
        <f t="shared" ca="1" si="6"/>
        <v/>
      </c>
      <c r="S408" s="732"/>
      <c r="T408" s="112"/>
      <c r="U408" s="610">
        <f ca="1">SUBTOTAL(3,Tabela13[[#This Row],[STATUS]])</f>
        <v>1</v>
      </c>
    </row>
    <row r="409" spans="1:21" ht="24" customHeight="1">
      <c r="A409" s="113">
        <v>45943</v>
      </c>
      <c r="B409" s="105">
        <v>58778</v>
      </c>
      <c r="C409" s="688" t="str">
        <f>IFERROR(VLOOKUP(Tabela13[[#This Row],[CÓD. EMPRESA]],Tabela3[[CÓDIGO
 EMPRESA ]:[EMPRESA]],2,FALSE),"")</f>
        <v>ATTEND AMBIENTAL S.A</v>
      </c>
      <c r="D409" s="112" t="s">
        <v>335</v>
      </c>
      <c r="E409" s="112" t="s">
        <v>592</v>
      </c>
      <c r="F409" s="491">
        <v>6826</v>
      </c>
      <c r="G409" s="411">
        <v>49503</v>
      </c>
      <c r="H409" s="165" t="s">
        <v>53</v>
      </c>
      <c r="I409" s="147">
        <v>45901</v>
      </c>
      <c r="J409" s="113">
        <v>45930</v>
      </c>
      <c r="K409" s="401">
        <v>74922.600000000006</v>
      </c>
      <c r="L409" s="398">
        <f>Tabela13[[#This Row],[VALOR
 BRUTO ]]-Tabela13[[#This Row],[VALOR 
LIQUIDO ]]</f>
        <v>3596.28</v>
      </c>
      <c r="M409" s="399">
        <f>Tabela13[[#This Row],[VALORES PAGOS 
(FORMA PAGTO)]]</f>
        <v>71326.320000000007</v>
      </c>
      <c r="N409" s="113">
        <v>45966</v>
      </c>
      <c r="O409" s="385">
        <v>71326.320000000007</v>
      </c>
      <c r="P409" s="147">
        <v>46007</v>
      </c>
      <c r="Q409" s="197" t="str" cm="1">
        <f t="array" aca="1" ref="Q409" ca="1">IF($P409&lt;&gt;"","PAGO",IF($N409&lt;TODAY(),"ATRASADO",IF($N409&gt;TODAY(),"NO PRAZO",IF($N409=TODAY(),"NO PRAZO",SE))))</f>
        <v>PAGO</v>
      </c>
      <c r="R409" s="150" t="str">
        <f t="shared" ca="1" si="6"/>
        <v/>
      </c>
      <c r="S409" s="241"/>
      <c r="T409" s="112"/>
      <c r="U409" s="259">
        <f ca="1">SUBTOTAL(3,Tabela13[[#This Row],[STATUS]])</f>
        <v>1</v>
      </c>
    </row>
    <row r="410" spans="1:21" ht="24" customHeight="1">
      <c r="A410" s="113">
        <v>45944</v>
      </c>
      <c r="B410" s="105">
        <v>119151</v>
      </c>
      <c r="C410" s="688" t="str">
        <f>IFERROR(VLOOKUP(Tabela13[[#This Row],[CÓD. EMPRESA]],Tabela3[[CÓDIGO
 EMPRESA ]:[EMPRESA]],2,FALSE),"")</f>
        <v>COOPERATIVA DE TRABALHO DE CATADORAS E CATADORES DE MATERIAIS RECICLAVEIS NOVA VIDA</v>
      </c>
      <c r="D410" s="112" t="s">
        <v>332</v>
      </c>
      <c r="E410" s="112" t="s">
        <v>497</v>
      </c>
      <c r="F410" s="491">
        <v>7079</v>
      </c>
      <c r="G410" s="411">
        <v>12</v>
      </c>
      <c r="H410" s="165" t="s">
        <v>52</v>
      </c>
      <c r="I410" s="147">
        <v>45809</v>
      </c>
      <c r="J410" s="113">
        <v>45838</v>
      </c>
      <c r="K410" s="401">
        <v>11069.27</v>
      </c>
      <c r="L410" s="398">
        <f>Tabela13[[#This Row],[VALOR
 BRUTO ]]-Tabela13[[#This Row],[VALOR 
LIQUIDO ]]</f>
        <v>948.04</v>
      </c>
      <c r="M410" s="399">
        <f>Tabela13[[#This Row],[VALORES PAGOS 
(FORMA PAGTO)]]</f>
        <v>10121.23</v>
      </c>
      <c r="N410" s="113">
        <v>45944</v>
      </c>
      <c r="O410" s="385">
        <v>10121.23</v>
      </c>
      <c r="P410" s="147">
        <v>45978</v>
      </c>
      <c r="Q410" s="197" t="str" cm="1">
        <f t="array" aca="1" ref="Q410" ca="1">IF($P410&lt;&gt;"","PAGO",IF($N410&lt;TODAY(),"ATRASADO",IF($N410&gt;TODAY(),"NO PRAZO",IF($N410=TODAY(),"NO PRAZO",SE))))</f>
        <v>PAGO</v>
      </c>
      <c r="R410" s="150" t="str">
        <f t="shared" ca="1" si="6"/>
        <v/>
      </c>
      <c r="S410" s="241"/>
      <c r="T410" s="112"/>
      <c r="U410" s="259">
        <f ca="1">SUBTOTAL(3,Tabela13[[#This Row],[STATUS]])</f>
        <v>1</v>
      </c>
    </row>
    <row r="411" spans="1:21" ht="24" customHeight="1">
      <c r="A411" s="113">
        <v>45944</v>
      </c>
      <c r="B411" s="105">
        <v>119151</v>
      </c>
      <c r="C411" s="688" t="str">
        <f>IFERROR(VLOOKUP(Tabela13[[#This Row],[CÓD. EMPRESA]],Tabela3[[CÓDIGO
 EMPRESA ]:[EMPRESA]],2,FALSE),"")</f>
        <v>COOPERATIVA DE TRABALHO DE CATADORAS E CATADORES DE MATERIAIS RECICLAVEIS NOVA VIDA</v>
      </c>
      <c r="D411" s="112" t="s">
        <v>332</v>
      </c>
      <c r="E411" s="112" t="s">
        <v>497</v>
      </c>
      <c r="F411" s="491">
        <v>9366</v>
      </c>
      <c r="G411" s="411">
        <v>12</v>
      </c>
      <c r="H411" s="165" t="s">
        <v>52</v>
      </c>
      <c r="I411" s="147">
        <v>45809</v>
      </c>
      <c r="J411" s="113">
        <v>45838</v>
      </c>
      <c r="K411" s="401">
        <v>7891.6</v>
      </c>
      <c r="L411" s="398">
        <f>Tabela13[[#This Row],[VALOR
 BRUTO ]]-Tabela13[[#This Row],[VALOR 
LIQUIDO ]]</f>
        <v>0</v>
      </c>
      <c r="M411" s="399">
        <f>Tabela13[[#This Row],[VALORES PAGOS 
(FORMA PAGTO)]]</f>
        <v>7891.6</v>
      </c>
      <c r="N411" s="113">
        <v>45944</v>
      </c>
      <c r="O411" s="385">
        <v>7891.6</v>
      </c>
      <c r="P411" s="147">
        <v>45978</v>
      </c>
      <c r="Q411" s="197" t="str" cm="1">
        <f t="array" aca="1" ref="Q411" ca="1">IF($P411&lt;&gt;"","PAGO",IF($N411&lt;TODAY(),"ATRASADO",IF($N411&gt;TODAY(),"NO PRAZO",IF($N411=TODAY(),"NO PRAZO",SE))))</f>
        <v>PAGO</v>
      </c>
      <c r="R411" s="150" t="str">
        <f t="shared" ca="1" si="6"/>
        <v/>
      </c>
      <c r="S411" s="241"/>
      <c r="T411" s="112"/>
      <c r="U411" s="259">
        <f ca="1">SUBTOTAL(3,Tabela13[[#This Row],[STATUS]])</f>
        <v>1</v>
      </c>
    </row>
    <row r="412" spans="1:21" ht="24" customHeight="1">
      <c r="A412" s="113">
        <v>45944</v>
      </c>
      <c r="B412" s="105">
        <v>119151</v>
      </c>
      <c r="C412" s="688" t="str">
        <f>IFERROR(VLOOKUP(Tabela13[[#This Row],[CÓD. EMPRESA]],Tabela3[[CÓDIGO
 EMPRESA ]:[EMPRESA]],2,FALSE),"")</f>
        <v>COOPERATIVA DE TRABALHO DE CATADORAS E CATADORES DE MATERIAIS RECICLAVEIS NOVA VIDA</v>
      </c>
      <c r="D412" s="112" t="s">
        <v>332</v>
      </c>
      <c r="E412" s="112" t="s">
        <v>497</v>
      </c>
      <c r="F412" s="491">
        <v>9366</v>
      </c>
      <c r="G412" s="411">
        <v>13</v>
      </c>
      <c r="H412" s="165" t="s">
        <v>52</v>
      </c>
      <c r="I412" s="147">
        <v>45839</v>
      </c>
      <c r="J412" s="113">
        <v>45869</v>
      </c>
      <c r="K412" s="401">
        <v>15711.7</v>
      </c>
      <c r="L412" s="398">
        <f>Tabela13[[#This Row],[VALOR
 BRUTO ]]-Tabela13[[#This Row],[VALOR 
LIQUIDO ]]</f>
        <v>988.1</v>
      </c>
      <c r="M412" s="399">
        <f>Tabela13[[#This Row],[VALORES PAGOS 
(FORMA PAGTO)]]</f>
        <v>14723.6</v>
      </c>
      <c r="N412" s="113">
        <v>45944</v>
      </c>
      <c r="O412" s="385">
        <v>14723.6</v>
      </c>
      <c r="P412" s="147">
        <v>45978</v>
      </c>
      <c r="Q412" s="197" t="str" cm="1">
        <f t="array" aca="1" ref="Q412" ca="1">IF($P412&lt;&gt;"","PAGO",IF($N412&lt;TODAY(),"ATRASADO",IF($N412&gt;TODAY(),"NO PRAZO",IF($N412=TODAY(),"NO PRAZO",SE))))</f>
        <v>PAGO</v>
      </c>
      <c r="R412" s="150" t="str">
        <f t="shared" ca="1" si="6"/>
        <v/>
      </c>
      <c r="S412" s="241"/>
      <c r="T412" s="112"/>
      <c r="U412" s="259">
        <f ca="1">SUBTOTAL(3,Tabela13[[#This Row],[STATUS]])</f>
        <v>1</v>
      </c>
    </row>
    <row r="413" spans="1:21" ht="24" customHeight="1">
      <c r="A413" s="113">
        <v>45944</v>
      </c>
      <c r="B413" s="105">
        <v>119151</v>
      </c>
      <c r="C413" s="688" t="str">
        <f>IFERROR(VLOOKUP(Tabela13[[#This Row],[CÓD. EMPRESA]],Tabela3[[CÓDIGO
 EMPRESA ]:[EMPRESA]],2,FALSE),"")</f>
        <v>COOPERATIVA DE TRABALHO DE CATADORAS E CATADORES DE MATERIAIS RECICLAVEIS NOVA VIDA</v>
      </c>
      <c r="D413" s="112" t="s">
        <v>332</v>
      </c>
      <c r="E413" s="112" t="s">
        <v>497</v>
      </c>
      <c r="F413" s="491">
        <v>11483</v>
      </c>
      <c r="G413" s="411">
        <v>13</v>
      </c>
      <c r="H413" s="165" t="s">
        <v>52</v>
      </c>
      <c r="I413" s="147">
        <v>45839</v>
      </c>
      <c r="J413" s="113">
        <v>45869</v>
      </c>
      <c r="K413" s="401">
        <v>4050.33</v>
      </c>
      <c r="L413" s="398">
        <f>Tabela13[[#This Row],[VALOR
 BRUTO ]]-Tabela13[[#This Row],[VALOR 
LIQUIDO ]]</f>
        <v>0</v>
      </c>
      <c r="M413" s="399">
        <f>Tabela13[[#This Row],[VALORES PAGOS 
(FORMA PAGTO)]]</f>
        <v>4050.33</v>
      </c>
      <c r="N413" s="113">
        <v>45944</v>
      </c>
      <c r="O413" s="385">
        <v>4050.33</v>
      </c>
      <c r="P413" s="147">
        <v>45978</v>
      </c>
      <c r="Q413" s="197" t="str" cm="1">
        <f t="array" aca="1" ref="Q413" ca="1">IF($P413&lt;&gt;"","PAGO",IF($N413&lt;TODAY(),"ATRASADO",IF($N413&gt;TODAY(),"NO PRAZO",IF($N413=TODAY(),"NO PRAZO",SE))))</f>
        <v>PAGO</v>
      </c>
      <c r="R413" s="150" t="str">
        <f t="shared" ca="1" si="6"/>
        <v/>
      </c>
      <c r="S413" s="241"/>
      <c r="T413" s="112"/>
      <c r="U413" s="259">
        <f ca="1">SUBTOTAL(3,Tabela13[[#This Row],[STATUS]])</f>
        <v>1</v>
      </c>
    </row>
    <row r="414" spans="1:21" ht="24" customHeight="1">
      <c r="A414" s="606">
        <v>45944</v>
      </c>
      <c r="B414" s="105">
        <v>67538</v>
      </c>
      <c r="C414" s="688" t="str">
        <f>IFERROR(VLOOKUP(Tabela13[[#This Row],[CÓD. EMPRESA]],Tabela3[[CÓDIGO
 EMPRESA ]:[EMPRESA]],2,FALSE),"")</f>
        <v>IGM2 METROLOGIA E MANUTENCAO LTDA</v>
      </c>
      <c r="D414" s="112" t="s">
        <v>344</v>
      </c>
      <c r="E414" s="112" t="s">
        <v>614</v>
      </c>
      <c r="F414" s="491">
        <v>11819</v>
      </c>
      <c r="G414" s="411">
        <v>1</v>
      </c>
      <c r="H414" s="611" t="s">
        <v>53</v>
      </c>
      <c r="I414" s="607"/>
      <c r="J414" s="606"/>
      <c r="K414" s="608">
        <v>1535.16</v>
      </c>
      <c r="L414" s="398">
        <f>Tabela13[[#This Row],[VALOR
 BRUTO ]]-Tabela13[[#This Row],[VALOR 
LIQUIDO ]]</f>
        <v>0</v>
      </c>
      <c r="M414" s="399">
        <f>Tabela13[[#This Row],[VALORES PAGOS 
(FORMA PAGTO)]]</f>
        <v>1535.16</v>
      </c>
      <c r="N414" s="606">
        <v>45962</v>
      </c>
      <c r="O414" s="609">
        <v>1535.16</v>
      </c>
      <c r="P414" s="607">
        <v>46007</v>
      </c>
      <c r="Q414" s="197" t="str" cm="1">
        <f t="array" aca="1" ref="Q414" ca="1">IF($P414&lt;&gt;"","PAGO",IF($N414&lt;TODAY(),"ATRASADO",IF($N414&gt;TODAY(),"NO PRAZO",IF($N414=TODAY(),"NO PRAZO",SE))))</f>
        <v>PAGO</v>
      </c>
      <c r="R414" s="150" t="str">
        <f t="shared" ca="1" si="6"/>
        <v/>
      </c>
      <c r="S414" s="732"/>
      <c r="T414" s="112"/>
      <c r="U414" s="610">
        <f ca="1">SUBTOTAL(3,Tabela13[[#This Row],[STATUS]])</f>
        <v>1</v>
      </c>
    </row>
    <row r="415" spans="1:21" ht="24" customHeight="1">
      <c r="A415" s="606">
        <v>45944</v>
      </c>
      <c r="B415" s="105">
        <v>119149</v>
      </c>
      <c r="C415" s="688" t="str">
        <f>IFERROR(VLOOKUP(Tabela13[[#This Row],[CÓD. EMPRESA]],Tabela3[[CÓDIGO
 EMPRESA ]:[EMPRESA]],2,FALSE),"")</f>
        <v>COOPERATIVA DE TRABALHO NOVO BAMBI</v>
      </c>
      <c r="D415" s="112" t="s">
        <v>348</v>
      </c>
      <c r="E415" s="112" t="s">
        <v>501</v>
      </c>
      <c r="F415" s="491">
        <v>11487</v>
      </c>
      <c r="G415" s="411">
        <v>12</v>
      </c>
      <c r="H415" s="611" t="s">
        <v>52</v>
      </c>
      <c r="I415" s="607">
        <v>45809</v>
      </c>
      <c r="J415" s="606">
        <v>45838</v>
      </c>
      <c r="K415" s="608">
        <v>4799.12</v>
      </c>
      <c r="L415" s="398">
        <f>Tabela13[[#This Row],[VALOR
 BRUTO ]]-Tabela13[[#This Row],[VALOR 
LIQUIDO ]]</f>
        <v>0</v>
      </c>
      <c r="M415" s="399">
        <f>Tabela13[[#This Row],[VALORES PAGOS 
(FORMA PAGTO)]]</f>
        <v>4799.12</v>
      </c>
      <c r="N415" s="606">
        <v>45944</v>
      </c>
      <c r="O415" s="609">
        <v>4799.12</v>
      </c>
      <c r="P415" s="607">
        <v>45978</v>
      </c>
      <c r="Q415" s="197" t="str" cm="1">
        <f t="array" aca="1" ref="Q415" ca="1">IF($P415&lt;&gt;"","PAGO",IF($N415&lt;TODAY(),"ATRASADO",IF($N415&gt;TODAY(),"NO PRAZO",IF($N415=TODAY(),"NO PRAZO",SE))))</f>
        <v>PAGO</v>
      </c>
      <c r="R415" s="150" t="str">
        <f t="shared" ca="1" si="6"/>
        <v/>
      </c>
      <c r="S415" s="732"/>
      <c r="T415" s="112"/>
      <c r="U415" s="610">
        <f ca="1">SUBTOTAL(3,Tabela13[[#This Row],[STATUS]])</f>
        <v>1</v>
      </c>
    </row>
    <row r="416" spans="1:21" ht="24" customHeight="1">
      <c r="A416" s="606">
        <v>45944</v>
      </c>
      <c r="B416" s="105">
        <v>119149</v>
      </c>
      <c r="C416" s="688" t="str">
        <f>IFERROR(VLOOKUP(Tabela13[[#This Row],[CÓD. EMPRESA]],Tabela3[[CÓDIGO
 EMPRESA ]:[EMPRESA]],2,FALSE),"")</f>
        <v>COOPERATIVA DE TRABALHO NOVO BAMBI</v>
      </c>
      <c r="D416" s="112" t="s">
        <v>348</v>
      </c>
      <c r="E416" s="112" t="s">
        <v>501</v>
      </c>
      <c r="F416" s="491">
        <v>19178</v>
      </c>
      <c r="G416" s="411">
        <v>12</v>
      </c>
      <c r="H416" s="611" t="s">
        <v>52</v>
      </c>
      <c r="I416" s="607">
        <v>45809</v>
      </c>
      <c r="J416" s="606">
        <v>45838</v>
      </c>
      <c r="K416" s="608">
        <v>13858.95</v>
      </c>
      <c r="L416" s="398">
        <f>Tabela13[[#This Row],[VALOR
 BRUTO ]]-Tabela13[[#This Row],[VALOR 
LIQUIDO ]]</f>
        <v>932.9</v>
      </c>
      <c r="M416" s="399">
        <f>Tabela13[[#This Row],[VALORES PAGOS 
(FORMA PAGTO)]]</f>
        <v>12926.05</v>
      </c>
      <c r="N416" s="606">
        <v>45944</v>
      </c>
      <c r="O416" s="609">
        <v>12926.05</v>
      </c>
      <c r="P416" s="607">
        <v>45978</v>
      </c>
      <c r="Q416" s="197" t="str" cm="1">
        <f t="array" aca="1" ref="Q416" ca="1">IF($P416&lt;&gt;"","PAGO",IF($N416&lt;TODAY(),"ATRASADO",IF($N416&gt;TODAY(),"NO PRAZO",IF($N416=TODAY(),"NO PRAZO",SE))))</f>
        <v>PAGO</v>
      </c>
      <c r="R416" s="150" t="str">
        <f t="shared" ca="1" si="6"/>
        <v/>
      </c>
      <c r="S416" s="722"/>
      <c r="T416" s="112"/>
      <c r="U416" s="610">
        <f ca="1">SUBTOTAL(3,Tabela13[[#This Row],[STATUS]])</f>
        <v>1</v>
      </c>
    </row>
    <row r="417" spans="1:21" ht="24" customHeight="1">
      <c r="A417" s="606">
        <v>45944</v>
      </c>
      <c r="B417" s="105">
        <v>119149</v>
      </c>
      <c r="C417" s="688" t="str">
        <f>IFERROR(VLOOKUP(Tabela13[[#This Row],[CÓD. EMPRESA]],Tabela3[[CÓDIGO
 EMPRESA ]:[EMPRESA]],2,FALSE),"")</f>
        <v>COOPERATIVA DE TRABALHO NOVO BAMBI</v>
      </c>
      <c r="D417" s="112" t="s">
        <v>348</v>
      </c>
      <c r="E417" s="112" t="s">
        <v>501</v>
      </c>
      <c r="F417" s="491">
        <v>19178</v>
      </c>
      <c r="G417" s="411">
        <v>13</v>
      </c>
      <c r="H417" s="611" t="s">
        <v>52</v>
      </c>
      <c r="I417" s="607">
        <v>45839</v>
      </c>
      <c r="J417" s="606">
        <v>45869</v>
      </c>
      <c r="K417" s="608">
        <v>9744.35</v>
      </c>
      <c r="L417" s="398">
        <f>Tabela13[[#This Row],[VALOR
 BRUTO ]]-Tabela13[[#This Row],[VALOR 
LIQUIDO ]]</f>
        <v>0</v>
      </c>
      <c r="M417" s="399">
        <f>Tabela13[[#This Row],[VALORES PAGOS 
(FORMA PAGTO)]]</f>
        <v>9744.35</v>
      </c>
      <c r="N417" s="606">
        <v>45944</v>
      </c>
      <c r="O417" s="609">
        <v>9744.35</v>
      </c>
      <c r="P417" s="607">
        <v>45978</v>
      </c>
      <c r="Q417" s="197" t="str" cm="1">
        <f t="array" aca="1" ref="Q417" ca="1">IF($P417&lt;&gt;"","PAGO",IF($N417&lt;TODAY(),"ATRASADO",IF($N417&gt;TODAY(),"NO PRAZO",IF($N417=TODAY(),"NO PRAZO",SE))))</f>
        <v>PAGO</v>
      </c>
      <c r="R417" s="150" t="str">
        <f t="shared" ca="1" si="6"/>
        <v/>
      </c>
      <c r="S417" s="732"/>
      <c r="T417" s="112"/>
      <c r="U417" s="610">
        <f ca="1">SUBTOTAL(3,Tabela13[[#This Row],[STATUS]])</f>
        <v>1</v>
      </c>
    </row>
    <row r="418" spans="1:21" ht="24" customHeight="1">
      <c r="A418" s="606">
        <v>45944</v>
      </c>
      <c r="B418" s="105">
        <v>119149</v>
      </c>
      <c r="C418" s="688" t="str">
        <f>IFERROR(VLOOKUP(Tabela13[[#This Row],[CÓD. EMPRESA]],Tabela3[[CÓDIGO
 EMPRESA ]:[EMPRESA]],2,FALSE),"")</f>
        <v>COOPERATIVA DE TRABALHO NOVO BAMBI</v>
      </c>
      <c r="D418" s="112" t="s">
        <v>348</v>
      </c>
      <c r="E418" s="112" t="s">
        <v>501</v>
      </c>
      <c r="F418" s="491">
        <v>21209</v>
      </c>
      <c r="G418" s="411">
        <v>13</v>
      </c>
      <c r="H418" s="611" t="s">
        <v>52</v>
      </c>
      <c r="I418" s="607">
        <v>45839</v>
      </c>
      <c r="J418" s="606">
        <v>45869</v>
      </c>
      <c r="K418" s="608">
        <v>13615.4</v>
      </c>
      <c r="L418" s="398">
        <f>Tabela13[[#This Row],[VALOR
 BRUTO ]]-Tabela13[[#This Row],[VALOR 
LIQUIDO ]]</f>
        <v>1167.99</v>
      </c>
      <c r="M418" s="399">
        <f>Tabela13[[#This Row],[VALORES PAGOS 
(FORMA PAGTO)]]</f>
        <v>12447.41</v>
      </c>
      <c r="N418" s="606">
        <v>45944</v>
      </c>
      <c r="O418" s="609">
        <v>12447.41</v>
      </c>
      <c r="P418" s="607">
        <v>45978</v>
      </c>
      <c r="Q418" s="197" t="str" cm="1">
        <f t="array" aca="1" ref="Q418" ca="1">IF($P418&lt;&gt;"","PAGO",IF($N418&lt;TODAY(),"ATRASADO",IF($N418&gt;TODAY(),"NO PRAZO",IF($N418=TODAY(),"NO PRAZO",SE))))</f>
        <v>PAGO</v>
      </c>
      <c r="R418" s="150" t="str">
        <f t="shared" ca="1" si="6"/>
        <v/>
      </c>
      <c r="S418" s="732"/>
      <c r="T418" s="112"/>
      <c r="U418" s="610">
        <f ca="1">SUBTOTAL(3,Tabela13[[#This Row],[STATUS]])</f>
        <v>1</v>
      </c>
    </row>
    <row r="419" spans="1:21" ht="24" customHeight="1">
      <c r="A419" s="606">
        <v>45944</v>
      </c>
      <c r="B419" s="105">
        <v>119166</v>
      </c>
      <c r="C419" s="688" t="str">
        <f>IFERROR(VLOOKUP(Tabela13[[#This Row],[CÓD. EMPRESA]],Tabela3[[CÓDIGO
 EMPRESA ]:[EMPRESA]],2,FALSE),"")</f>
        <v>COOPERATIVA DE TRABALHO DE CATADORES E CATADORAS DE MATERIAL DE RECICLAGEM VILA RENATA CRV</v>
      </c>
      <c r="D419" s="112" t="s">
        <v>347</v>
      </c>
      <c r="E419" s="112" t="s">
        <v>497</v>
      </c>
      <c r="F419" s="491">
        <v>7087</v>
      </c>
      <c r="G419" s="411">
        <v>7</v>
      </c>
      <c r="H419" s="611" t="s">
        <v>52</v>
      </c>
      <c r="I419" s="607">
        <v>45778</v>
      </c>
      <c r="J419" s="606">
        <v>45808</v>
      </c>
      <c r="K419" s="608">
        <v>14492.66</v>
      </c>
      <c r="L419" s="398">
        <f>Tabela13[[#This Row],[VALOR
 BRUTO ]]-Tabela13[[#This Row],[VALOR 
LIQUIDO ]]</f>
        <v>1225.17</v>
      </c>
      <c r="M419" s="399">
        <f>Tabela13[[#This Row],[VALORES PAGOS 
(FORMA PAGTO)]]</f>
        <v>13267.49</v>
      </c>
      <c r="N419" s="606">
        <v>45944</v>
      </c>
      <c r="O419" s="609">
        <v>13267.49</v>
      </c>
      <c r="P419" s="607">
        <v>45978</v>
      </c>
      <c r="Q419" s="197" t="str" cm="1">
        <f t="array" aca="1" ref="Q419" ca="1">IF($P419&lt;&gt;"","PAGO",IF($N419&lt;TODAY(),"ATRASADO",IF($N419&gt;TODAY(),"NO PRAZO",IF($N419=TODAY(),"NO PRAZO",SE))))</f>
        <v>PAGO</v>
      </c>
      <c r="R419" s="150" t="str">
        <f t="shared" ca="1" si="6"/>
        <v/>
      </c>
      <c r="S419" s="732"/>
      <c r="T419" s="112"/>
      <c r="U419" s="610">
        <f ca="1">SUBTOTAL(3,Tabela13[[#This Row],[STATUS]])</f>
        <v>1</v>
      </c>
    </row>
    <row r="420" spans="1:21" ht="24" customHeight="1">
      <c r="A420" s="606">
        <v>45944</v>
      </c>
      <c r="B420" s="105">
        <v>119166</v>
      </c>
      <c r="C420" s="688" t="str">
        <f>IFERROR(VLOOKUP(Tabela13[[#This Row],[CÓD. EMPRESA]],Tabela3[[CÓDIGO
 EMPRESA ]:[EMPRESA]],2,FALSE),"")</f>
        <v>COOPERATIVA DE TRABALHO DE CATADORES E CATADORAS DE MATERIAL DE RECICLAGEM VILA RENATA CRV</v>
      </c>
      <c r="D420" s="112" t="s">
        <v>347</v>
      </c>
      <c r="E420" s="112" t="s">
        <v>497</v>
      </c>
      <c r="F420" s="491">
        <v>9413</v>
      </c>
      <c r="G420" s="411">
        <v>7</v>
      </c>
      <c r="H420" s="611" t="s">
        <v>52</v>
      </c>
      <c r="I420" s="607">
        <v>45778</v>
      </c>
      <c r="J420" s="606">
        <v>45808</v>
      </c>
      <c r="K420" s="608">
        <v>10010.73</v>
      </c>
      <c r="L420" s="398">
        <f>Tabela13[[#This Row],[VALOR
 BRUTO ]]-Tabela13[[#This Row],[VALOR 
LIQUIDO ]]</f>
        <v>0</v>
      </c>
      <c r="M420" s="399">
        <f>Tabela13[[#This Row],[VALORES PAGOS 
(FORMA PAGTO)]]</f>
        <v>10010.73</v>
      </c>
      <c r="N420" s="606">
        <v>45944</v>
      </c>
      <c r="O420" s="609">
        <v>10010.73</v>
      </c>
      <c r="P420" s="607">
        <v>45978</v>
      </c>
      <c r="Q420" s="197" t="str" cm="1">
        <f t="array" aca="1" ref="Q420" ca="1">IF($P420&lt;&gt;"","PAGO",IF($N420&lt;TODAY(),"ATRASADO",IF($N420&gt;TODAY(),"NO PRAZO",IF($N420=TODAY(),"NO PRAZO",SE))))</f>
        <v>PAGO</v>
      </c>
      <c r="R420" s="150" t="str">
        <f t="shared" ca="1" si="6"/>
        <v/>
      </c>
      <c r="S420" s="732"/>
      <c r="T420" s="112"/>
      <c r="U420" s="610">
        <f ca="1">SUBTOTAL(3,Tabela13[[#This Row],[STATUS]])</f>
        <v>1</v>
      </c>
    </row>
    <row r="421" spans="1:21" ht="24" customHeight="1">
      <c r="A421" s="606">
        <v>45944</v>
      </c>
      <c r="B421" s="105">
        <v>119166</v>
      </c>
      <c r="C421" s="688" t="str">
        <f>IFERROR(VLOOKUP(Tabela13[[#This Row],[CÓD. EMPRESA]],Tabela3[[CÓDIGO
 EMPRESA ]:[EMPRESA]],2,FALSE),"")</f>
        <v>COOPERATIVA DE TRABALHO DE CATADORES E CATADORAS DE MATERIAL DE RECICLAGEM VILA RENATA CRV</v>
      </c>
      <c r="D421" s="112" t="s">
        <v>347</v>
      </c>
      <c r="E421" s="112" t="s">
        <v>497</v>
      </c>
      <c r="F421" s="491">
        <v>9413</v>
      </c>
      <c r="G421" s="411">
        <v>8</v>
      </c>
      <c r="H421" s="611" t="s">
        <v>52</v>
      </c>
      <c r="I421" s="607">
        <v>45809</v>
      </c>
      <c r="J421" s="606">
        <v>45838</v>
      </c>
      <c r="K421" s="608">
        <v>13592.57</v>
      </c>
      <c r="L421" s="398">
        <f>Tabela13[[#This Row],[VALOR
 BRUTO ]]-Tabela13[[#This Row],[VALOR 
LIQUIDO ]]</f>
        <v>1160.03</v>
      </c>
      <c r="M421" s="399">
        <f>Tabela13[[#This Row],[VALORES PAGOS 
(FORMA PAGTO)]]</f>
        <v>12432.54</v>
      </c>
      <c r="N421" s="606">
        <v>45944</v>
      </c>
      <c r="O421" s="609">
        <v>12432.54</v>
      </c>
      <c r="P421" s="607">
        <v>45978</v>
      </c>
      <c r="Q421" s="197" t="str" cm="1">
        <f t="array" aca="1" ref="Q421" ca="1">IF($P421&lt;&gt;"","PAGO",IF($N421&lt;TODAY(),"ATRASADO",IF($N421&gt;TODAY(),"NO PRAZO",IF($N421=TODAY(),"NO PRAZO",SE))))</f>
        <v>PAGO</v>
      </c>
      <c r="R421" s="150" t="str">
        <f t="shared" ca="1" si="6"/>
        <v/>
      </c>
      <c r="S421" s="732"/>
      <c r="T421" s="112"/>
      <c r="U421" s="610">
        <f ca="1">SUBTOTAL(3,Tabela13[[#This Row],[STATUS]])</f>
        <v>1</v>
      </c>
    </row>
    <row r="422" spans="1:21" ht="24" customHeight="1">
      <c r="A422" s="606">
        <v>45944</v>
      </c>
      <c r="B422" s="105">
        <v>119166</v>
      </c>
      <c r="C422" s="688" t="str">
        <f>IFERROR(VLOOKUP(Tabela13[[#This Row],[CÓD. EMPRESA]],Tabela3[[CÓDIGO
 EMPRESA ]:[EMPRESA]],2,FALSE),"")</f>
        <v>COOPERATIVA DE TRABALHO DE CATADORES E CATADORAS DE MATERIAL DE RECICLAGEM VILA RENATA CRV</v>
      </c>
      <c r="D422" s="112" t="s">
        <v>347</v>
      </c>
      <c r="E422" s="112" t="s">
        <v>497</v>
      </c>
      <c r="F422" s="491">
        <v>11490</v>
      </c>
      <c r="G422" s="411">
        <v>8</v>
      </c>
      <c r="H422" s="611" t="s">
        <v>52</v>
      </c>
      <c r="I422" s="607">
        <v>45809</v>
      </c>
      <c r="J422" s="606">
        <v>45838</v>
      </c>
      <c r="K422" s="608">
        <v>9608.06</v>
      </c>
      <c r="L422" s="398">
        <f>Tabela13[[#This Row],[VALOR
 BRUTO ]]-Tabela13[[#This Row],[VALOR 
LIQUIDO ]]</f>
        <v>0</v>
      </c>
      <c r="M422" s="399">
        <f>Tabela13[[#This Row],[VALORES PAGOS 
(FORMA PAGTO)]]</f>
        <v>9608.06</v>
      </c>
      <c r="N422" s="606">
        <v>45944</v>
      </c>
      <c r="O422" s="609">
        <v>9608.06</v>
      </c>
      <c r="P422" s="607">
        <v>45978</v>
      </c>
      <c r="Q422" s="197" t="str" cm="1">
        <f t="array" aca="1" ref="Q422" ca="1">IF($P422&lt;&gt;"","PAGO",IF($N422&lt;TODAY(),"ATRASADO",IF($N422&gt;TODAY(),"NO PRAZO",IF($N422=TODAY(),"NO PRAZO",SE))))</f>
        <v>PAGO</v>
      </c>
      <c r="R422" s="150" t="str">
        <f t="shared" ca="1" si="6"/>
        <v/>
      </c>
      <c r="S422" s="732"/>
      <c r="T422" s="112"/>
      <c r="U422" s="610">
        <f ca="1">SUBTOTAL(3,Tabela13[[#This Row],[STATUS]])</f>
        <v>1</v>
      </c>
    </row>
    <row r="423" spans="1:21" ht="24" customHeight="1">
      <c r="A423" s="667">
        <v>45944</v>
      </c>
      <c r="B423" s="105">
        <v>118247</v>
      </c>
      <c r="C423" s="688" t="str">
        <f>IFERROR(VLOOKUP(Tabela13[[#This Row],[CÓD. EMPRESA]],Tabela3[[CÓDIGO
 EMPRESA ]:[EMPRESA]],2,FALSE),"")</f>
        <v>COOPERATIVA DE TRABALHO DE CATADORAS DE CATADORES DE MATERIAIS RECICLAVEIS GUARULHOS RECICLA</v>
      </c>
      <c r="D423" s="112" t="s">
        <v>331</v>
      </c>
      <c r="E423" s="112" t="s">
        <v>500</v>
      </c>
      <c r="F423" s="491">
        <v>19181</v>
      </c>
      <c r="G423" s="109">
        <v>8</v>
      </c>
      <c r="H423" s="671" t="s">
        <v>52</v>
      </c>
      <c r="I423" s="668">
        <v>45809</v>
      </c>
      <c r="J423" s="667">
        <v>45838</v>
      </c>
      <c r="K423" s="401">
        <v>30539.25</v>
      </c>
      <c r="L423" s="398">
        <f>Tabela13[[#This Row],[VALOR
 BRUTO ]]-Tabela13[[#This Row],[VALOR 
LIQUIDO ]]</f>
        <v>1526.96</v>
      </c>
      <c r="M423" s="399">
        <f>Tabela13[[#This Row],[VALORES PAGOS 
(FORMA PAGTO)]]</f>
        <v>29012.29</v>
      </c>
      <c r="N423" s="667">
        <v>45944</v>
      </c>
      <c r="O423" s="669">
        <v>29012.29</v>
      </c>
      <c r="P423" s="668">
        <v>45978</v>
      </c>
      <c r="Q423" s="197" t="str" cm="1">
        <f t="array" aca="1" ref="Q423" ca="1">IF($P423&lt;&gt;"","PAGO",IF($N423&lt;TODAY(),"ATRASADO",IF($N423&gt;TODAY(),"NO PRAZO",IF($N423=TODAY(),"NO PRAZO",SE))))</f>
        <v>PAGO</v>
      </c>
      <c r="R423" s="150" t="str">
        <f t="shared" ca="1" si="6"/>
        <v/>
      </c>
      <c r="S423" s="733"/>
      <c r="T423" s="112"/>
      <c r="U423" s="670">
        <f ca="1">SUBTOTAL(3,Tabela13[[#This Row],[STATUS]])</f>
        <v>1</v>
      </c>
    </row>
    <row r="424" spans="1:21" ht="24" customHeight="1">
      <c r="A424" s="667">
        <v>45944</v>
      </c>
      <c r="B424" s="105">
        <v>118247</v>
      </c>
      <c r="C424" s="688" t="str">
        <f>IFERROR(VLOOKUP(Tabela13[[#This Row],[CÓD. EMPRESA]],Tabela3[[CÓDIGO
 EMPRESA ]:[EMPRESA]],2,FALSE),"")</f>
        <v>COOPERATIVA DE TRABALHO DE CATADORAS DE CATADORES DE MATERIAIS RECICLAVEIS GUARULHOS RECICLA</v>
      </c>
      <c r="D424" s="112" t="s">
        <v>331</v>
      </c>
      <c r="E424" s="112" t="s">
        <v>500</v>
      </c>
      <c r="F424" s="491">
        <v>19181</v>
      </c>
      <c r="G424" s="109">
        <v>10</v>
      </c>
      <c r="H424" s="673" t="s">
        <v>52</v>
      </c>
      <c r="I424" s="668">
        <v>45839</v>
      </c>
      <c r="J424" s="667">
        <v>45869</v>
      </c>
      <c r="K424" s="401">
        <v>5381.57</v>
      </c>
      <c r="L424" s="398">
        <f>Tabela13[[#This Row],[VALOR
 BRUTO ]]-Tabela13[[#This Row],[VALOR 
LIQUIDO ]]</f>
        <v>0</v>
      </c>
      <c r="M424" s="399">
        <f>Tabela13[[#This Row],[VALORES PAGOS 
(FORMA PAGTO)]]</f>
        <v>5381.57</v>
      </c>
      <c r="N424" s="667">
        <v>45944</v>
      </c>
      <c r="O424" s="675">
        <v>5381.57</v>
      </c>
      <c r="P424" s="674">
        <v>45978</v>
      </c>
      <c r="Q424" s="197" t="str" cm="1">
        <f t="array" aca="1" ref="Q424" ca="1">IF($P424&lt;&gt;"","PAGO",IF($N424&lt;TODAY(),"ATRASADO",IF($N424&gt;TODAY(),"NO PRAZO",IF($N424=TODAY(),"NO PRAZO",SE))))</f>
        <v>PAGO</v>
      </c>
      <c r="R424" s="150" t="str">
        <f t="shared" ca="1" si="6"/>
        <v/>
      </c>
      <c r="S424" s="734"/>
      <c r="T424" s="672"/>
      <c r="U424" s="676">
        <f ca="1">SUBTOTAL(3,Tabela13[[#This Row],[STATUS]])</f>
        <v>1</v>
      </c>
    </row>
    <row r="425" spans="1:21" ht="24" customHeight="1">
      <c r="A425" s="606">
        <v>45944</v>
      </c>
      <c r="B425" s="105">
        <v>118247</v>
      </c>
      <c r="C425" s="688" t="str">
        <f>IFERROR(VLOOKUP(Tabela13[[#This Row],[CÓD. EMPRESA]],Tabela3[[CÓDIGO
 EMPRESA ]:[EMPRESA]],2,FALSE),"")</f>
        <v>COOPERATIVA DE TRABALHO DE CATADORAS DE CATADORES DE MATERIAIS RECICLAVEIS GUARULHOS RECICLA</v>
      </c>
      <c r="D425" s="112" t="s">
        <v>331</v>
      </c>
      <c r="E425" s="112" t="s">
        <v>500</v>
      </c>
      <c r="F425" s="491">
        <v>21207</v>
      </c>
      <c r="G425" s="109">
        <v>10</v>
      </c>
      <c r="H425" s="165" t="s">
        <v>52</v>
      </c>
      <c r="I425" s="607">
        <v>45839</v>
      </c>
      <c r="J425" s="606">
        <v>45869</v>
      </c>
      <c r="K425" s="401">
        <v>31382.21</v>
      </c>
      <c r="L425" s="398">
        <f>Tabela13[[#This Row],[VALOR
 BRUTO ]]-Tabela13[[#This Row],[VALOR 
LIQUIDO ]]</f>
        <v>1838.19</v>
      </c>
      <c r="M425" s="399">
        <f>Tabela13[[#This Row],[VALORES PAGOS 
(FORMA PAGTO)]]</f>
        <v>29544.02</v>
      </c>
      <c r="N425" s="606">
        <v>45944</v>
      </c>
      <c r="O425" s="609">
        <v>29544.02</v>
      </c>
      <c r="P425" s="607">
        <v>45978</v>
      </c>
      <c r="Q425" s="197" t="str" cm="1">
        <f t="array" aca="1" ref="Q425" ca="1">IF($P425&lt;&gt;"","PAGO",IF($N425&lt;TODAY(),"ATRASADO",IF($N425&gt;TODAY(),"NO PRAZO",IF($N425=TODAY(),"NO PRAZO",SE))))</f>
        <v>PAGO</v>
      </c>
      <c r="R425" s="150" t="str">
        <f t="shared" ca="1" si="6"/>
        <v/>
      </c>
      <c r="S425" s="732"/>
      <c r="T425" s="112"/>
      <c r="U425" s="610">
        <f ca="1">SUBTOTAL(3,Tabela13[[#This Row],[STATUS]])</f>
        <v>1</v>
      </c>
    </row>
    <row r="426" spans="1:21" ht="24" customHeight="1">
      <c r="A426" s="606">
        <v>45944</v>
      </c>
      <c r="B426" s="105">
        <v>118229</v>
      </c>
      <c r="C426" s="688" t="str">
        <f>IFERROR(VLOOKUP(Tabela13[[#This Row],[CÓD. EMPRESA]],Tabela3[[CÓDIGO
 EMPRESA ]:[EMPRESA]],2,FALSE),"")</f>
        <v>COOPERATIVA DE TRABALHO DAS CATADORAS E CATADORES DE MATERIAIS RECICLAVEIS LUTA E VIDA</v>
      </c>
      <c r="D426" s="112" t="s">
        <v>330</v>
      </c>
      <c r="E426" s="112" t="s">
        <v>498</v>
      </c>
      <c r="F426" s="491">
        <v>7035</v>
      </c>
      <c r="G426" s="411">
        <v>14</v>
      </c>
      <c r="H426" s="165" t="s">
        <v>52</v>
      </c>
      <c r="I426" s="607">
        <v>45839</v>
      </c>
      <c r="J426" s="606">
        <v>45869</v>
      </c>
      <c r="K426" s="608">
        <v>28842.59</v>
      </c>
      <c r="L426" s="398">
        <f>Tabela13[[#This Row],[VALOR
 BRUTO ]]-Tabela13[[#This Row],[VALOR 
LIQUIDO ]]</f>
        <v>1528.33</v>
      </c>
      <c r="M426" s="399">
        <f>Tabela13[[#This Row],[VALORES PAGOS 
(FORMA PAGTO)]]</f>
        <v>27314.26</v>
      </c>
      <c r="N426" s="606">
        <v>45944</v>
      </c>
      <c r="O426" s="609">
        <v>27314.26</v>
      </c>
      <c r="P426" s="607">
        <v>45978</v>
      </c>
      <c r="Q426" s="197" t="str" cm="1">
        <f t="array" aca="1" ref="Q426" ca="1">IF($P426&lt;&gt;"","PAGO",IF($N426&lt;TODAY(),"ATRASADO",IF($N426&gt;TODAY(),"NO PRAZO",IF($N426=TODAY(),"NO PRAZO",SE))))</f>
        <v>PAGO</v>
      </c>
      <c r="R426" s="150" t="str">
        <f t="shared" ca="1" si="6"/>
        <v/>
      </c>
      <c r="S426" s="732"/>
      <c r="T426" s="112"/>
      <c r="U426" s="610">
        <f ca="1">SUBTOTAL(3,Tabela13[[#This Row],[STATUS]])</f>
        <v>1</v>
      </c>
    </row>
    <row r="427" spans="1:21" ht="24" customHeight="1">
      <c r="A427" s="606">
        <v>45944</v>
      </c>
      <c r="B427" s="105">
        <v>118229</v>
      </c>
      <c r="C427" s="688" t="str">
        <f>IFERROR(VLOOKUP(Tabela13[[#This Row],[CÓD. EMPRESA]],Tabela3[[CÓDIGO
 EMPRESA ]:[EMPRESA]],2,FALSE),"")</f>
        <v>COOPERATIVA DE TRABALHO DAS CATADORAS E CATADORES DE MATERIAIS RECICLAVEIS LUTA E VIDA</v>
      </c>
      <c r="D427" s="112" t="s">
        <v>330</v>
      </c>
      <c r="E427" s="112" t="s">
        <v>498</v>
      </c>
      <c r="F427" s="491">
        <v>9408</v>
      </c>
      <c r="G427" s="411">
        <v>14</v>
      </c>
      <c r="H427" s="165" t="s">
        <v>52</v>
      </c>
      <c r="I427" s="607">
        <v>45839</v>
      </c>
      <c r="J427" s="606">
        <v>45869</v>
      </c>
      <c r="K427" s="608">
        <v>1724.01</v>
      </c>
      <c r="L427" s="398">
        <f>Tabela13[[#This Row],[VALOR
 BRUTO ]]-Tabela13[[#This Row],[VALOR 
LIQUIDO ]]</f>
        <v>0</v>
      </c>
      <c r="M427" s="399">
        <f>Tabela13[[#This Row],[VALORES PAGOS 
(FORMA PAGTO)]]</f>
        <v>1724.01</v>
      </c>
      <c r="N427" s="606">
        <v>45944</v>
      </c>
      <c r="O427" s="609">
        <v>1724.01</v>
      </c>
      <c r="P427" s="607">
        <v>45978</v>
      </c>
      <c r="Q427" s="197" t="str" cm="1">
        <f t="array" aca="1" ref="Q427" ca="1">IF($P427&lt;&gt;"","PAGO",IF($N427&lt;TODAY(),"ATRASADO",IF($N427&gt;TODAY(),"NO PRAZO",IF($N427=TODAY(),"NO PRAZO",SE))))</f>
        <v>PAGO</v>
      </c>
      <c r="R427" s="150" t="str">
        <f t="shared" ca="1" si="6"/>
        <v/>
      </c>
      <c r="S427" s="732"/>
      <c r="T427" s="112"/>
      <c r="U427" s="610">
        <f ca="1">SUBTOTAL(3,Tabela13[[#This Row],[STATUS]])</f>
        <v>1</v>
      </c>
    </row>
    <row r="428" spans="1:21" ht="24" customHeight="1">
      <c r="A428" s="606">
        <v>45944</v>
      </c>
      <c r="B428" s="105">
        <v>118229</v>
      </c>
      <c r="C428" s="688" t="str">
        <f>IFERROR(VLOOKUP(Tabela13[[#This Row],[CÓD. EMPRESA]],Tabela3[[CÓDIGO
 EMPRESA ]:[EMPRESA]],2,FALSE),"")</f>
        <v>COOPERATIVA DE TRABALHO DAS CATADORAS E CATADORES DE MATERIAIS RECICLAVEIS LUTA E VIDA</v>
      </c>
      <c r="D428" s="112" t="s">
        <v>330</v>
      </c>
      <c r="E428" s="112" t="s">
        <v>498</v>
      </c>
      <c r="F428" s="491">
        <v>4196</v>
      </c>
      <c r="G428" s="411">
        <v>12</v>
      </c>
      <c r="H428" s="165" t="s">
        <v>52</v>
      </c>
      <c r="I428" s="607">
        <v>45809</v>
      </c>
      <c r="J428" s="606">
        <v>45838</v>
      </c>
      <c r="K428" s="608">
        <v>17108.38</v>
      </c>
      <c r="L428" s="398">
        <f>Tabela13[[#This Row],[VALOR
 BRUTO ]]-Tabela13[[#This Row],[VALOR 
LIQUIDO ]]</f>
        <v>1351.98</v>
      </c>
      <c r="M428" s="399">
        <f>Tabela13[[#This Row],[VALORES PAGOS 
(FORMA PAGTO)]]</f>
        <v>15756.4</v>
      </c>
      <c r="N428" s="606">
        <v>45944</v>
      </c>
      <c r="O428" s="609">
        <v>15756.4</v>
      </c>
      <c r="P428" s="607">
        <v>45978</v>
      </c>
      <c r="Q428" s="197" t="str" cm="1">
        <f t="array" aca="1" ref="Q428" ca="1">IF($P428&lt;&gt;"","PAGO",IF($N428&lt;TODAY(),"ATRASADO",IF($N428&gt;TODAY(),"NO PRAZO",IF($N428=TODAY(),"NO PRAZO",SE))))</f>
        <v>PAGO</v>
      </c>
      <c r="R428" s="150" t="str">
        <f t="shared" ca="1" si="6"/>
        <v/>
      </c>
      <c r="S428" s="732"/>
      <c r="T428" s="112"/>
      <c r="U428" s="610">
        <f ca="1">SUBTOTAL(3,Tabela13[[#This Row],[STATUS]])</f>
        <v>1</v>
      </c>
    </row>
    <row r="429" spans="1:21" ht="30" customHeight="1">
      <c r="A429" s="606">
        <v>45944</v>
      </c>
      <c r="B429" s="105">
        <v>118229</v>
      </c>
      <c r="C429" s="688" t="str">
        <f>IFERROR(VLOOKUP(Tabela13[[#This Row],[CÓD. EMPRESA]],Tabela3[[CÓDIGO
 EMPRESA ]:[EMPRESA]],2,FALSE),"")</f>
        <v>COOPERATIVA DE TRABALHO DAS CATADORAS E CATADORES DE MATERIAIS RECICLAVEIS LUTA E VIDA</v>
      </c>
      <c r="D429" s="112" t="s">
        <v>330</v>
      </c>
      <c r="E429" s="112" t="s">
        <v>498</v>
      </c>
      <c r="F429" s="491">
        <v>7035</v>
      </c>
      <c r="G429" s="411">
        <v>12</v>
      </c>
      <c r="H429" s="165" t="s">
        <v>52</v>
      </c>
      <c r="I429" s="607">
        <v>45809</v>
      </c>
      <c r="J429" s="606">
        <v>45838</v>
      </c>
      <c r="K429" s="608">
        <v>9931.2099999999991</v>
      </c>
      <c r="L429" s="398">
        <f>Tabela13[[#This Row],[VALOR
 BRUTO ]]-Tabela13[[#This Row],[VALOR 
LIQUIDO ]]</f>
        <v>0</v>
      </c>
      <c r="M429" s="399">
        <f>Tabela13[[#This Row],[VALORES PAGOS 
(FORMA PAGTO)]]</f>
        <v>9931.2099999999991</v>
      </c>
      <c r="N429" s="606">
        <v>45944</v>
      </c>
      <c r="O429" s="609">
        <v>9931.2099999999991</v>
      </c>
      <c r="P429" s="607">
        <v>45978</v>
      </c>
      <c r="Q429" s="197" t="str" cm="1">
        <f t="array" aca="1" ref="Q429" ca="1">IF($P429&lt;&gt;"","PAGO",IF($N429&lt;TODAY(),"ATRASADO",IF($N429&gt;TODAY(),"NO PRAZO",IF($N429=TODAY(),"NO PRAZO",SE))))</f>
        <v>PAGO</v>
      </c>
      <c r="R429" s="150" t="str">
        <f t="shared" ca="1" si="6"/>
        <v/>
      </c>
      <c r="S429" s="732"/>
      <c r="T429" s="112"/>
      <c r="U429" s="610">
        <f ca="1">SUBTOTAL(3,Tabela13[[#This Row],[STATUS]])</f>
        <v>1</v>
      </c>
    </row>
    <row r="430" spans="1:21" ht="25.5" customHeight="1">
      <c r="A430" s="606">
        <v>45944</v>
      </c>
      <c r="B430" s="105">
        <v>119152</v>
      </c>
      <c r="C430" s="688" t="str">
        <f>IFERROR(VLOOKUP(Tabela13[[#This Row],[CÓD. EMPRESA]],Tabela3[[CÓDIGO
 EMPRESA ]:[EMPRESA]],2,FALSE),"")</f>
        <v>COOPERATIVA DE TRABALHO DE CATADORAS E CATADORES DE MATERIAIS RECICLAVEIS SINERGIA BRASIL</v>
      </c>
      <c r="D430" s="112" t="s">
        <v>346</v>
      </c>
      <c r="E430" s="112" t="s">
        <v>499</v>
      </c>
      <c r="F430" s="491">
        <v>19176</v>
      </c>
      <c r="G430" s="411">
        <v>12</v>
      </c>
      <c r="H430" s="165" t="s">
        <v>52</v>
      </c>
      <c r="I430" s="607">
        <v>45839</v>
      </c>
      <c r="J430" s="606">
        <v>45869</v>
      </c>
      <c r="K430" s="608">
        <v>17944.77</v>
      </c>
      <c r="L430" s="398">
        <f>Tabela13[[#This Row],[VALOR
 BRUTO ]]-Tabela13[[#This Row],[VALOR 
LIQUIDO ]]</f>
        <v>1221.57</v>
      </c>
      <c r="M430" s="399">
        <f>Tabela13[[#This Row],[VALORES PAGOS 
(FORMA PAGTO)]]</f>
        <v>16723.2</v>
      </c>
      <c r="N430" s="606">
        <v>45944</v>
      </c>
      <c r="O430" s="609">
        <v>16723.2</v>
      </c>
      <c r="P430" s="607">
        <v>45978</v>
      </c>
      <c r="Q430" s="197" t="str" cm="1">
        <f t="array" aca="1" ref="Q430" ca="1">IF($P430&lt;&gt;"","PAGO",IF($N430&lt;TODAY(),"ATRASADO",IF($N430&gt;TODAY(),"NO PRAZO",IF($N430=TODAY(),"NO PRAZO",SE))))</f>
        <v>PAGO</v>
      </c>
      <c r="R430" s="150" t="str">
        <f t="shared" ca="1" si="6"/>
        <v/>
      </c>
      <c r="S430" s="732"/>
      <c r="T430" s="112"/>
      <c r="U430" s="610">
        <f ca="1">SUBTOTAL(3,Tabela13[[#This Row],[STATUS]])</f>
        <v>1</v>
      </c>
    </row>
    <row r="431" spans="1:21" ht="24" customHeight="1">
      <c r="A431" s="606">
        <v>45944</v>
      </c>
      <c r="B431" s="105">
        <v>119152</v>
      </c>
      <c r="C431" s="688" t="str">
        <f>IFERROR(VLOOKUP(Tabela13[[#This Row],[CÓD. EMPRESA]],Tabela3[[CÓDIGO
 EMPRESA ]:[EMPRESA]],2,FALSE),"")</f>
        <v>COOPERATIVA DE TRABALHO DE CATADORAS E CATADORES DE MATERIAIS RECICLAVEIS SINERGIA BRASIL</v>
      </c>
      <c r="D431" s="112" t="s">
        <v>346</v>
      </c>
      <c r="E431" s="112" t="s">
        <v>499</v>
      </c>
      <c r="F431" s="491">
        <v>11488</v>
      </c>
      <c r="G431" s="411">
        <v>12</v>
      </c>
      <c r="H431" s="165" t="s">
        <v>52</v>
      </c>
      <c r="I431" s="607">
        <v>45839</v>
      </c>
      <c r="J431" s="606">
        <v>45869</v>
      </c>
      <c r="K431" s="608">
        <v>6486.67</v>
      </c>
      <c r="L431" s="398">
        <f>Tabela13[[#This Row],[VALOR
 BRUTO ]]-Tabela13[[#This Row],[VALOR 
LIQUIDO ]]</f>
        <v>0</v>
      </c>
      <c r="M431" s="399">
        <f>Tabela13[[#This Row],[VALORES PAGOS 
(FORMA PAGTO)]]</f>
        <v>6486.67</v>
      </c>
      <c r="N431" s="606">
        <v>45944</v>
      </c>
      <c r="O431" s="609">
        <v>6486.67</v>
      </c>
      <c r="P431" s="607">
        <v>45978</v>
      </c>
      <c r="Q431" s="197" t="str" cm="1">
        <f t="array" aca="1" ref="Q431" ca="1">IF($P431&lt;&gt;"","PAGO",IF($N431&lt;TODAY(),"ATRASADO",IF($N431&gt;TODAY(),"NO PRAZO",IF($N431=TODAY(),"NO PRAZO",SE))))</f>
        <v>PAGO</v>
      </c>
      <c r="R431" s="150" t="str">
        <f t="shared" ca="1" si="6"/>
        <v/>
      </c>
      <c r="S431" s="732"/>
      <c r="T431" s="112"/>
      <c r="U431" s="610">
        <f ca="1">SUBTOTAL(3,Tabela13[[#This Row],[STATUS]])</f>
        <v>1</v>
      </c>
    </row>
    <row r="432" spans="1:21" ht="24" customHeight="1">
      <c r="A432" s="606">
        <v>45944</v>
      </c>
      <c r="B432" s="105">
        <v>119152</v>
      </c>
      <c r="C432" s="688" t="str">
        <f>IFERROR(VLOOKUP(Tabela13[[#This Row],[CÓD. EMPRESA]],Tabela3[[CÓDIGO
 EMPRESA ]:[EMPRESA]],2,FALSE),"")</f>
        <v>COOPERATIVA DE TRABALHO DE CATADORAS E CATADORES DE MATERIAIS RECICLAVEIS SINERGIA BRASIL</v>
      </c>
      <c r="D432" s="112" t="s">
        <v>346</v>
      </c>
      <c r="E432" s="112" t="s">
        <v>499</v>
      </c>
      <c r="F432" s="491">
        <v>11488</v>
      </c>
      <c r="G432" s="411">
        <v>11</v>
      </c>
      <c r="H432" s="165" t="s">
        <v>52</v>
      </c>
      <c r="I432" s="607">
        <v>45809</v>
      </c>
      <c r="J432" s="606">
        <v>45838</v>
      </c>
      <c r="K432" s="608">
        <v>17116.63</v>
      </c>
      <c r="L432" s="398">
        <f>Tabela13[[#This Row],[VALOR
 BRUTO ]]-Tabela13[[#This Row],[VALOR 
LIQUIDO ]]</f>
        <v>1184.75</v>
      </c>
      <c r="M432" s="399">
        <f>Tabela13[[#This Row],[VALORES PAGOS 
(FORMA PAGTO)]]</f>
        <v>15931.88</v>
      </c>
      <c r="N432" s="606">
        <v>45944</v>
      </c>
      <c r="O432" s="609">
        <v>15931.88</v>
      </c>
      <c r="P432" s="607">
        <v>45978</v>
      </c>
      <c r="Q432" s="197" t="str" cm="1">
        <f t="array" aca="1" ref="Q432" ca="1">IF($P432&lt;&gt;"","PAGO",IF($N432&lt;TODAY(),"ATRASADO",IF($N432&gt;TODAY(),"NO PRAZO",IF($N432=TODAY(),"NO PRAZO",SE))))</f>
        <v>PAGO</v>
      </c>
      <c r="R432" s="150" t="str">
        <f t="shared" ca="1" si="6"/>
        <v/>
      </c>
      <c r="S432" s="732"/>
      <c r="T432" s="112"/>
      <c r="U432" s="610">
        <f ca="1">SUBTOTAL(3,Tabela13[[#This Row],[STATUS]])</f>
        <v>1</v>
      </c>
    </row>
    <row r="433" spans="1:21" ht="24" customHeight="1">
      <c r="A433" s="620">
        <v>45944</v>
      </c>
      <c r="B433" s="105">
        <v>119152</v>
      </c>
      <c r="C433" s="688" t="str">
        <f>IFERROR(VLOOKUP(Tabela13[[#This Row],[CÓD. EMPRESA]],Tabela3[[CÓDIGO
 EMPRESA ]:[EMPRESA]],2,FALSE),"")</f>
        <v>COOPERATIVA DE TRABALHO DE CATADORAS E CATADORES DE MATERIAIS RECICLAVEIS SINERGIA BRASIL</v>
      </c>
      <c r="D433" s="112" t="s">
        <v>346</v>
      </c>
      <c r="E433" s="112" t="s">
        <v>499</v>
      </c>
      <c r="F433" s="491">
        <v>9411</v>
      </c>
      <c r="G433" s="411">
        <v>11</v>
      </c>
      <c r="H433" s="621" t="s">
        <v>52</v>
      </c>
      <c r="I433" s="622">
        <v>45809</v>
      </c>
      <c r="J433" s="620">
        <v>45838</v>
      </c>
      <c r="K433" s="623">
        <v>6578.39</v>
      </c>
      <c r="L433" s="398">
        <f>Tabela13[[#This Row],[VALOR
 BRUTO ]]-Tabela13[[#This Row],[VALOR 
LIQUIDO ]]</f>
        <v>0</v>
      </c>
      <c r="M433" s="399">
        <f>Tabela13[[#This Row],[VALORES PAGOS 
(FORMA PAGTO)]]</f>
        <v>6578.39</v>
      </c>
      <c r="N433" s="620">
        <v>45944</v>
      </c>
      <c r="O433" s="624">
        <v>6578.39</v>
      </c>
      <c r="P433" s="622">
        <v>45978</v>
      </c>
      <c r="Q433" s="197" t="str" cm="1">
        <f t="array" aca="1" ref="Q433" ca="1">IF($P433&lt;&gt;"","PAGO",IF($N433&lt;TODAY(),"ATRASADO",IF($N433&gt;TODAY(),"NO PRAZO",IF($N433=TODAY(),"NO PRAZO",SE))))</f>
        <v>PAGO</v>
      </c>
      <c r="R433" s="150" t="str">
        <f t="shared" ca="1" si="6"/>
        <v/>
      </c>
      <c r="S433" s="735"/>
      <c r="T433" s="112"/>
      <c r="U433" s="625">
        <f ca="1">SUBTOTAL(3,Tabela13[[#This Row],[STATUS]])</f>
        <v>1</v>
      </c>
    </row>
    <row r="434" spans="1:21" ht="24" customHeight="1">
      <c r="A434" s="113">
        <v>45945</v>
      </c>
      <c r="B434" s="105">
        <v>76116</v>
      </c>
      <c r="C434" s="688" t="str">
        <f>IFERROR(VLOOKUP(Tabela13[[#This Row],[CÓD. EMPRESA]],Tabela3[[CÓDIGO
 EMPRESA ]:[EMPRESA]],2,FALSE),"")</f>
        <v>ALVORADA SISTEMA AMBIENTAL EIRELI</v>
      </c>
      <c r="D434" s="112" t="s">
        <v>342</v>
      </c>
      <c r="E434" s="112" t="s">
        <v>460</v>
      </c>
      <c r="F434" s="491">
        <v>6835</v>
      </c>
      <c r="G434" s="411">
        <v>14953</v>
      </c>
      <c r="H434" s="621" t="s">
        <v>53</v>
      </c>
      <c r="I434" s="622">
        <v>45901</v>
      </c>
      <c r="J434" s="620">
        <v>45930</v>
      </c>
      <c r="K434" s="623">
        <v>81093.8</v>
      </c>
      <c r="L434" s="398">
        <f>Tabela13[[#This Row],[VALOR
 BRUTO ]]-Tabela13[[#This Row],[VALOR 
LIQUIDO ]]</f>
        <v>7947.19</v>
      </c>
      <c r="M434" s="399">
        <f>Tabela13[[#This Row],[VALORES PAGOS 
(FORMA PAGTO)]]</f>
        <v>73146.61</v>
      </c>
      <c r="N434" s="620">
        <v>45966</v>
      </c>
      <c r="O434" s="624">
        <v>73146.61</v>
      </c>
      <c r="P434" s="622">
        <v>46007</v>
      </c>
      <c r="Q434" s="197" t="str" cm="1">
        <f t="array" aca="1" ref="Q434" ca="1">IF($P434&lt;&gt;"","PAGO",IF($N434&lt;TODAY(),"ATRASADO",IF($N434&gt;TODAY(),"NO PRAZO",IF($N434=TODAY(),"NO PRAZO",SE))))</f>
        <v>PAGO</v>
      </c>
      <c r="R434" s="150" t="str">
        <f t="shared" ca="1" si="6"/>
        <v/>
      </c>
      <c r="S434" s="735"/>
      <c r="T434" s="112"/>
      <c r="U434" s="625">
        <f ca="1">SUBTOTAL(3,Tabela13[[#This Row],[STATUS]])</f>
        <v>1</v>
      </c>
    </row>
    <row r="435" spans="1:21" ht="24" customHeight="1">
      <c r="A435" s="631">
        <v>45945</v>
      </c>
      <c r="B435" s="105">
        <v>103747</v>
      </c>
      <c r="C435" s="688" t="str">
        <f>IFERROR(VLOOKUP(Tabela13[[#This Row],[CÓD. EMPRESA]],Tabela3[[CÓDIGO
 EMPRESA ]:[EMPRESA]],2,FALSE),"")</f>
        <v>CDR PEDREIRA CENTRO DE DISPOSIÇÃO DE RESÍDUOS LTDA</v>
      </c>
      <c r="D435" s="112" t="s">
        <v>334</v>
      </c>
      <c r="E435" s="112" t="s">
        <v>431</v>
      </c>
      <c r="F435" s="491">
        <v>19569</v>
      </c>
      <c r="G435" s="411">
        <v>3944</v>
      </c>
      <c r="H435" s="632" t="s">
        <v>53</v>
      </c>
      <c r="I435" s="633">
        <v>45931</v>
      </c>
      <c r="J435" s="631">
        <v>45961</v>
      </c>
      <c r="K435" s="623">
        <v>414996.6</v>
      </c>
      <c r="L435" s="398">
        <f>Tabela13[[#This Row],[VALOR
 BRUTO ]]-Tabela13[[#This Row],[VALOR 
LIQUIDO ]]</f>
        <v>0</v>
      </c>
      <c r="M435" s="399">
        <f>Tabela13[[#This Row],[VALORES PAGOS 
(FORMA PAGTO)]]</f>
        <v>414996.6</v>
      </c>
      <c r="N435" s="631">
        <v>45966</v>
      </c>
      <c r="O435" s="623">
        <v>414996.6</v>
      </c>
      <c r="P435" s="633">
        <v>46003</v>
      </c>
      <c r="Q435" s="197" t="str" cm="1">
        <f t="array" aca="1" ref="Q435" ca="1">IF($P435&lt;&gt;"","PAGO",IF($N435&lt;TODAY(),"ATRASADO",IF($N435&gt;TODAY(),"NO PRAZO",IF($N435=TODAY(),"NO PRAZO",SE))))</f>
        <v>PAGO</v>
      </c>
      <c r="R435" s="150" t="str">
        <f t="shared" ca="1" si="6"/>
        <v/>
      </c>
      <c r="S435" s="736"/>
      <c r="T435" s="112"/>
      <c r="U435" s="636">
        <f ca="1">SUBTOTAL(3,Tabela13[[#This Row],[STATUS]])</f>
        <v>1</v>
      </c>
    </row>
    <row r="436" spans="1:21" ht="24" customHeight="1">
      <c r="A436" s="631">
        <v>45945</v>
      </c>
      <c r="B436" s="114" t="s">
        <v>126</v>
      </c>
      <c r="C436" s="688" t="str">
        <f>IFERROR(VLOOKUP(Tabela13[[#This Row],[CÓD. EMPRESA]],Tabela3[[CÓDIGO
 EMPRESA ]:[EMPRESA]],2,FALSE),"")</f>
        <v>LOOPINVEST BONSUCESSO</v>
      </c>
      <c r="D436" s="112" t="s">
        <v>106</v>
      </c>
      <c r="E436" s="112" t="s">
        <v>584</v>
      </c>
      <c r="F436" s="491">
        <v>21795</v>
      </c>
      <c r="G436" s="411">
        <v>293</v>
      </c>
      <c r="H436" s="621" t="s">
        <v>53</v>
      </c>
      <c r="I436" s="622">
        <v>45839</v>
      </c>
      <c r="J436" s="620">
        <v>45869</v>
      </c>
      <c r="K436" s="623">
        <v>256599.89</v>
      </c>
      <c r="L436" s="398">
        <f>Tabela13[[#This Row],[VALOR
 BRUTO ]]-Tabela13[[#This Row],[VALOR 
LIQUIDO ]]</f>
        <v>30022.17</v>
      </c>
      <c r="M436" s="399">
        <f>Tabela13[[#This Row],[VALORES PAGOS 
(FORMA PAGTO)]]</f>
        <v>226577.72</v>
      </c>
      <c r="N436" s="620">
        <v>45945</v>
      </c>
      <c r="O436" s="623">
        <v>226577.72</v>
      </c>
      <c r="P436" s="622">
        <v>45953</v>
      </c>
      <c r="Q436" s="197" t="str" cm="1">
        <f t="array" aca="1" ref="Q436" ca="1">IF($P436&lt;&gt;"","PAGO",IF($N436&lt;TODAY(),"ATRASADO",IF($N436&gt;TODAY(),"NO PRAZO",IF($N436=TODAY(),"NO PRAZO",SE))))</f>
        <v>PAGO</v>
      </c>
      <c r="R436" s="150" t="str">
        <f t="shared" ca="1" si="6"/>
        <v/>
      </c>
      <c r="S436" s="735"/>
      <c r="T436" s="112"/>
      <c r="U436" s="625">
        <f ca="1">SUBTOTAL(3,Tabela13[[#This Row],[STATUS]])</f>
        <v>1</v>
      </c>
    </row>
    <row r="437" spans="1:21" ht="24" customHeight="1">
      <c r="A437" s="631">
        <v>45945</v>
      </c>
      <c r="B437" s="105">
        <v>46901</v>
      </c>
      <c r="C437" s="688" t="str">
        <f>IFERROR(VLOOKUP(Tabela13[[#This Row],[CÓD. EMPRESA]],Tabela3[[CÓDIGO
 EMPRESA ]:[EMPRESA]],2,FALSE),"")</f>
        <v>LAVANDERIA PAULISTA LTDA</v>
      </c>
      <c r="D437" s="112" t="s">
        <v>588</v>
      </c>
      <c r="E437" s="112" t="s">
        <v>453</v>
      </c>
      <c r="F437" s="491">
        <v>21722</v>
      </c>
      <c r="G437" s="411">
        <v>28827</v>
      </c>
      <c r="H437" s="632" t="s">
        <v>53</v>
      </c>
      <c r="I437" s="633">
        <v>45870</v>
      </c>
      <c r="J437" s="631">
        <v>45900</v>
      </c>
      <c r="K437" s="623">
        <v>25594.799999999999</v>
      </c>
      <c r="L437" s="398">
        <f>Tabela13[[#This Row],[VALOR
 BRUTO ]]-Tabela13[[#This Row],[VALOR 
LIQUIDO ]]</f>
        <v>1164.56</v>
      </c>
      <c r="M437" s="399">
        <f>Tabela13[[#This Row],[VALORES PAGOS 
(FORMA PAGTO)]]</f>
        <v>24430.240000000002</v>
      </c>
      <c r="N437" s="631">
        <v>45945</v>
      </c>
      <c r="O437" s="623">
        <v>24430.240000000002</v>
      </c>
      <c r="P437" s="633">
        <v>45953</v>
      </c>
      <c r="Q437" s="197" t="str" cm="1">
        <f t="array" aca="1" ref="Q437" ca="1">IF($P437&lt;&gt;"","PAGO",IF($N437&lt;TODAY(),"ATRASADO",IF($N437&gt;TODAY(),"NO PRAZO",IF($N437=TODAY(),"NO PRAZO",SE))))</f>
        <v>PAGO</v>
      </c>
      <c r="R437" s="150" t="str">
        <f t="shared" ca="1" si="6"/>
        <v/>
      </c>
      <c r="S437" s="720"/>
      <c r="T437" s="112"/>
      <c r="U437" s="636">
        <f ca="1">SUBTOTAL(3,Tabela13[[#This Row],[STATUS]])</f>
        <v>1</v>
      </c>
    </row>
    <row r="438" spans="1:21" ht="24" customHeight="1">
      <c r="A438" s="631">
        <v>45945</v>
      </c>
      <c r="B438" s="105">
        <v>103747</v>
      </c>
      <c r="C438" s="688" t="str">
        <f>IFERROR(VLOOKUP(Tabela13[[#This Row],[CÓD. EMPRESA]],Tabela3[[CÓDIGO
 EMPRESA ]:[EMPRESA]],2,FALSE),"")</f>
        <v>CDR PEDREIRA CENTRO DE DISPOSIÇÃO DE RESÍDUOS LTDA</v>
      </c>
      <c r="D438" s="112" t="s">
        <v>334</v>
      </c>
      <c r="E438" s="112" t="s">
        <v>431</v>
      </c>
      <c r="F438" s="491">
        <v>21702</v>
      </c>
      <c r="G438" s="411">
        <v>3944</v>
      </c>
      <c r="H438" s="632" t="s">
        <v>53</v>
      </c>
      <c r="I438" s="633">
        <v>45931</v>
      </c>
      <c r="J438" s="631">
        <v>45961</v>
      </c>
      <c r="K438" s="623">
        <v>3298124.9</v>
      </c>
      <c r="L438" s="398">
        <f>Tabela13[[#This Row],[VALOR
 BRUTO ]]-Tabela13[[#This Row],[VALORES PAGOS 
(FORMA PAGTO)]]-O439</f>
        <v>363885.91</v>
      </c>
      <c r="M438" s="399">
        <f>Tabela13[[#This Row],[VALORES PAGOS 
(FORMA PAGTO)]]</f>
        <v>2000000</v>
      </c>
      <c r="N438" s="631">
        <v>45966</v>
      </c>
      <c r="O438" s="623">
        <v>2000000</v>
      </c>
      <c r="P438" s="633">
        <v>45989</v>
      </c>
      <c r="Q438" s="197" t="str" cm="1">
        <f t="array" aca="1" ref="Q438" ca="1">IF($P438&lt;&gt;"","PAGO",IF($N438&lt;TODAY(),"ATRASADO",IF($N438&gt;TODAY(),"NO PRAZO",IF($N438=TODAY(),"NO PRAZO",SE))))</f>
        <v>PAGO</v>
      </c>
      <c r="R438" s="150" t="str">
        <f t="shared" ca="1" si="6"/>
        <v/>
      </c>
      <c r="S438" s="720"/>
      <c r="T438" s="112"/>
      <c r="U438" s="636">
        <f ca="1">SUBTOTAL(3,Tabela13[[#This Row],[STATUS]])</f>
        <v>1</v>
      </c>
    </row>
    <row r="439" spans="1:21" ht="24" customHeight="1">
      <c r="A439" s="631">
        <v>45945</v>
      </c>
      <c r="B439" s="105">
        <v>103747</v>
      </c>
      <c r="C439" s="928" t="str">
        <f>IFERROR(VLOOKUP(Tabela13[[#This Row],[CÓD. EMPRESA]],Tabela3[[CÓDIGO
 EMPRESA ]:[EMPRESA]],2,FALSE),"")</f>
        <v>CDR PEDREIRA CENTRO DE DISPOSIÇÃO DE RESÍDUOS LTDA</v>
      </c>
      <c r="D439" s="112" t="s">
        <v>334</v>
      </c>
      <c r="E439" s="112" t="s">
        <v>431</v>
      </c>
      <c r="F439" s="491">
        <v>21702</v>
      </c>
      <c r="G439" s="411">
        <v>3944</v>
      </c>
      <c r="H439" s="632" t="s">
        <v>53</v>
      </c>
      <c r="I439" s="633">
        <v>45931</v>
      </c>
      <c r="J439" s="631">
        <v>45961</v>
      </c>
      <c r="K439" s="933"/>
      <c r="L439" s="934"/>
      <c r="M439" s="935">
        <f>Tabela13[[#This Row],[VALORES PAGOS 
(FORMA PAGTO)]]</f>
        <v>934238.99</v>
      </c>
      <c r="N439" s="926">
        <v>45966</v>
      </c>
      <c r="O439" s="936">
        <v>934238.99</v>
      </c>
      <c r="P439" s="932">
        <v>46003</v>
      </c>
      <c r="Q439" s="937" t="str" cm="1">
        <f t="array" aca="1" ref="Q439" ca="1">IF($P439&lt;&gt;"","PAGO",IF($N439&lt;TODAY(),"ATRASADO",IF($N439&gt;TODAY(),"NO PRAZO",IF($N439=TODAY(),"NO PRAZO",SE))))</f>
        <v>PAGO</v>
      </c>
      <c r="R439" s="259" t="str">
        <f t="shared" ca="1" si="6"/>
        <v/>
      </c>
      <c r="S439" s="929"/>
      <c r="T439" s="929"/>
      <c r="U439" s="938">
        <f ca="1">SUBTOTAL(3,Tabela13[[#This Row],[STATUS]])</f>
        <v>1</v>
      </c>
    </row>
    <row r="440" spans="1:21" ht="24" customHeight="1">
      <c r="A440" s="631">
        <v>45946</v>
      </c>
      <c r="B440" s="105">
        <v>46674</v>
      </c>
      <c r="C440" s="688" t="str">
        <f>IFERROR(VLOOKUP(Tabela13[[#This Row],[CÓD. EMPRESA]],Tabela3[[CÓDIGO
 EMPRESA ]:[EMPRESA]],2,FALSE),"")</f>
        <v>NOA SERVICOS E LOCACAO LTDA</v>
      </c>
      <c r="D440" s="112" t="s">
        <v>324</v>
      </c>
      <c r="E440" s="112" t="s">
        <v>437</v>
      </c>
      <c r="F440" s="491">
        <v>19571</v>
      </c>
      <c r="G440" s="411">
        <v>1777</v>
      </c>
      <c r="H440" s="632" t="s">
        <v>53</v>
      </c>
      <c r="I440" s="633">
        <v>45901</v>
      </c>
      <c r="J440" s="631">
        <v>45930</v>
      </c>
      <c r="K440" s="634">
        <v>144485.28</v>
      </c>
      <c r="L440" s="398">
        <f>Tabela13[[#This Row],[VALOR
 BRUTO ]]-Tabela13[[#This Row],[VALORES PAGOS 
(FORMA PAGTO)]]-O441</f>
        <v>7513.23</v>
      </c>
      <c r="M440" s="399">
        <f>Tabela13[[#This Row],[VALORES PAGOS 
(FORMA PAGTO)]]</f>
        <v>131915.07</v>
      </c>
      <c r="N440" s="631">
        <v>45976</v>
      </c>
      <c r="O440" s="635">
        <v>131915.07</v>
      </c>
      <c r="P440" s="633">
        <v>46021</v>
      </c>
      <c r="Q440" s="197" t="str" cm="1">
        <f t="array" aca="1" ref="Q440" ca="1">IF($P440&lt;&gt;"","PAGO",IF($N440&lt;TODAY(),"ATRASADO",IF($N440&gt;TODAY(),"NO PRAZO",IF($N440=TODAY(),"NO PRAZO",SE))))</f>
        <v>PAGO</v>
      </c>
      <c r="R440" s="150" t="str">
        <f t="shared" ca="1" si="6"/>
        <v/>
      </c>
      <c r="S440" s="720"/>
      <c r="T440" s="112"/>
      <c r="U440" s="636">
        <f ca="1">SUBTOTAL(3,Tabela13[[#This Row],[STATUS]])</f>
        <v>1</v>
      </c>
    </row>
    <row r="441" spans="1:21" ht="24" customHeight="1">
      <c r="A441" s="631">
        <v>45946</v>
      </c>
      <c r="B441" s="105">
        <v>46674</v>
      </c>
      <c r="C441" s="688" t="str">
        <f>IFERROR(VLOOKUP(Tabela13[[#This Row],[CÓD. EMPRESA]],Tabela3[[CÓDIGO
 EMPRESA ]:[EMPRESA]],2,FALSE),"")</f>
        <v>NOA SERVICOS E LOCACAO LTDA</v>
      </c>
      <c r="D441" s="112" t="s">
        <v>324</v>
      </c>
      <c r="E441" s="112" t="s">
        <v>437</v>
      </c>
      <c r="F441" s="491">
        <v>19571</v>
      </c>
      <c r="G441" s="411">
        <v>1777</v>
      </c>
      <c r="H441" s="632" t="s">
        <v>53</v>
      </c>
      <c r="I441" s="633">
        <v>45901</v>
      </c>
      <c r="J441" s="631">
        <v>45930</v>
      </c>
      <c r="K441" s="983"/>
      <c r="L441" s="984"/>
      <c r="M441" s="985">
        <f>Tabela13[[#This Row],[VALORES PAGOS 
(FORMA PAGTO)]]</f>
        <v>5056.9799999999996</v>
      </c>
      <c r="N441" s="980">
        <v>45976</v>
      </c>
      <c r="O441" s="986">
        <v>5056.9799999999996</v>
      </c>
      <c r="P441" s="982">
        <v>46002</v>
      </c>
      <c r="Q441" s="987" t="str" cm="1">
        <f t="array" aca="1" ref="Q441" ca="1">IF($P441&lt;&gt;"","PAGO",IF($N441&lt;TODAY(),"ATRASADO",IF($N441&gt;TODAY(),"NO PRAZO",IF($N441=TODAY(),"NO PRAZO",SE))))</f>
        <v>PAGO</v>
      </c>
      <c r="R441" s="259" t="str">
        <f t="shared" ca="1" si="6"/>
        <v/>
      </c>
      <c r="S441" s="981"/>
      <c r="T441" s="981"/>
      <c r="U441" s="988">
        <f ca="1">SUBTOTAL(3,Tabela13[[#This Row],[STATUS]])</f>
        <v>1</v>
      </c>
    </row>
    <row r="442" spans="1:21" ht="24" customHeight="1">
      <c r="A442" s="631">
        <v>45947</v>
      </c>
      <c r="B442" s="105">
        <v>51481</v>
      </c>
      <c r="C442" s="688" t="str">
        <f>IFERROR(VLOOKUP(Tabela13[[#This Row],[CÓD. EMPRESA]],Tabela3[[CÓDIGO
 EMPRESA ]:[EMPRESA]],2,FALSE),"")</f>
        <v>LIGA INDUSTRIA E COMÉRCIO DE MATERIAL PARA CONSTRUÇÃO LTDA .</v>
      </c>
      <c r="D442" s="112" t="s">
        <v>688</v>
      </c>
      <c r="E442" s="112" t="s">
        <v>637</v>
      </c>
      <c r="F442" s="491">
        <v>22203</v>
      </c>
      <c r="G442" s="411">
        <v>19371</v>
      </c>
      <c r="H442" s="165" t="s">
        <v>53</v>
      </c>
      <c r="I442" s="633"/>
      <c r="J442" s="631"/>
      <c r="K442" s="634">
        <v>4455</v>
      </c>
      <c r="L442" s="398">
        <f>Tabela13[[#This Row],[VALOR
 BRUTO ]]-Tabela13[[#This Row],[VALOR 
LIQUIDO ]]</f>
        <v>53.46</v>
      </c>
      <c r="M442" s="399">
        <f>Tabela13[[#This Row],[VALORES PAGOS 
(FORMA PAGTO)]]</f>
        <v>4401.54</v>
      </c>
      <c r="N442" s="631">
        <v>45968</v>
      </c>
      <c r="O442" s="635">
        <v>4401.54</v>
      </c>
      <c r="P442" s="633">
        <v>46007</v>
      </c>
      <c r="Q442" s="197" t="str" cm="1">
        <f t="array" aca="1" ref="Q442" ca="1">IF($P442&lt;&gt;"","PAGO",IF($N442&lt;TODAY(),"ATRASADO",IF($N442&gt;TODAY(),"NO PRAZO",IF($N442=TODAY(),"NO PRAZO",SE))))</f>
        <v>PAGO</v>
      </c>
      <c r="R442" s="150" t="str">
        <f t="shared" ca="1" si="6"/>
        <v/>
      </c>
      <c r="S442" s="720"/>
      <c r="T442" s="112"/>
      <c r="U442" s="636">
        <f ca="1">SUBTOTAL(3,Tabela13[[#This Row],[STATUS]])</f>
        <v>1</v>
      </c>
    </row>
    <row r="443" spans="1:21" ht="24" customHeight="1">
      <c r="A443" s="631">
        <v>45953</v>
      </c>
      <c r="B443" s="105">
        <v>121426</v>
      </c>
      <c r="C443" s="688" t="str">
        <f>IFERROR(VLOOKUP(Tabela13[[#This Row],[CÓD. EMPRESA]],Tabela3[[CÓDIGO
 EMPRESA ]:[EMPRESA]],2,FALSE),"")</f>
        <v>ALFA-X COMERCIO E SERVIÇOS LTDA</v>
      </c>
      <c r="D443" s="112" t="s">
        <v>333</v>
      </c>
      <c r="E443" s="112">
        <v>36801</v>
      </c>
      <c r="F443" s="491">
        <v>20419</v>
      </c>
      <c r="G443" s="411">
        <v>20250000008</v>
      </c>
      <c r="H443" s="632" t="s">
        <v>53</v>
      </c>
      <c r="I443" s="633">
        <v>45870</v>
      </c>
      <c r="J443" s="631">
        <v>45930</v>
      </c>
      <c r="K443" s="634">
        <v>64157.440000000002</v>
      </c>
      <c r="L443" s="398">
        <f>Tabela13[[#This Row],[VALOR
 BRUTO ]]-Tabela13[[#This Row],[VALOR 
LIQUIDO ]]</f>
        <v>1442.99</v>
      </c>
      <c r="M443" s="399">
        <f>Tabela13[[#This Row],[VALORES PAGOS 
(FORMA PAGTO)]]</f>
        <v>62714.45</v>
      </c>
      <c r="N443" s="631">
        <v>45975</v>
      </c>
      <c r="O443" s="635">
        <v>62714.45</v>
      </c>
      <c r="P443" s="633">
        <v>46007</v>
      </c>
      <c r="Q443" s="197" t="str" cm="1">
        <f t="array" aca="1" ref="Q443" ca="1">IF($P443&lt;&gt;"","PAGO",IF($N443&lt;TODAY(),"ATRASADO",IF($N443&gt;TODAY(),"NO PRAZO",IF($N443=TODAY(),"NO PRAZO",SE))))</f>
        <v>PAGO</v>
      </c>
      <c r="R443" s="150" t="str">
        <f t="shared" ca="1" si="6"/>
        <v/>
      </c>
      <c r="S443" s="720"/>
      <c r="T443" s="112"/>
      <c r="U443" s="636">
        <f ca="1">SUBTOTAL(3,Tabela13[[#This Row],[STATUS]])</f>
        <v>1</v>
      </c>
    </row>
    <row r="444" spans="1:21" ht="24" customHeight="1">
      <c r="A444" s="631">
        <v>45953</v>
      </c>
      <c r="B444" s="105">
        <v>121426</v>
      </c>
      <c r="C444" s="688" t="str">
        <f>IFERROR(VLOOKUP(Tabela13[[#This Row],[CÓD. EMPRESA]],Tabela3[[CÓDIGO
 EMPRESA ]:[EMPRESA]],2,FALSE),"")</f>
        <v>ALFA-X COMERCIO E SERVIÇOS LTDA</v>
      </c>
      <c r="D444" s="112" t="s">
        <v>333</v>
      </c>
      <c r="E444" s="112">
        <v>36801</v>
      </c>
      <c r="F444" s="491">
        <v>3677</v>
      </c>
      <c r="G444" s="411">
        <v>20250000008</v>
      </c>
      <c r="H444" s="632" t="s">
        <v>53</v>
      </c>
      <c r="I444" s="633">
        <v>45870</v>
      </c>
      <c r="J444" s="631">
        <v>45930</v>
      </c>
      <c r="K444" s="634">
        <v>7992.19</v>
      </c>
      <c r="L444" s="398">
        <f>Tabela13[[#This Row],[VALOR
 BRUTO ]]-Tabela13[[#This Row],[VALOR 
LIQUIDO ]]</f>
        <v>0</v>
      </c>
      <c r="M444" s="399">
        <f>Tabela13[[#This Row],[VALORES PAGOS 
(FORMA PAGTO)]]</f>
        <v>7992.19</v>
      </c>
      <c r="N444" s="631">
        <v>45975</v>
      </c>
      <c r="O444" s="635">
        <v>7992.19</v>
      </c>
      <c r="P444" s="633">
        <v>46007</v>
      </c>
      <c r="Q444" s="197" t="str" cm="1">
        <f t="array" aca="1" ref="Q444" ca="1">IF($P444&lt;&gt;"","PAGO",IF($N444&lt;TODAY(),"ATRASADO",IF($N444&gt;TODAY(),"NO PRAZO",IF($N444=TODAY(),"NO PRAZO",SE))))</f>
        <v>PAGO</v>
      </c>
      <c r="R444" s="150" t="str">
        <f t="shared" ca="1" si="6"/>
        <v/>
      </c>
      <c r="S444" s="720"/>
      <c r="T444" s="112"/>
      <c r="U444" s="636">
        <f ca="1">SUBTOTAL(3,Tabela13[[#This Row],[STATUS]])</f>
        <v>1</v>
      </c>
    </row>
    <row r="445" spans="1:21" ht="24" customHeight="1">
      <c r="A445" s="631">
        <v>45953</v>
      </c>
      <c r="B445" s="105">
        <v>120932</v>
      </c>
      <c r="C445" s="688" t="str">
        <f>IFERROR(VLOOKUP(Tabela13[[#This Row],[CÓD. EMPRESA]],Tabela3[[CÓDIGO
 EMPRESA ]:[EMPRESA]],2,FALSE),"")</f>
        <v>ROBEVAL BISPO SOARES - MATERIAL DE CONSTRUCAO</v>
      </c>
      <c r="D445" s="112" t="s">
        <v>697</v>
      </c>
      <c r="E445" s="112" t="s">
        <v>642</v>
      </c>
      <c r="F445" s="491">
        <v>22208</v>
      </c>
      <c r="G445" s="411">
        <v>285</v>
      </c>
      <c r="H445" s="632" t="s">
        <v>53</v>
      </c>
      <c r="I445" s="633"/>
      <c r="J445" s="631"/>
      <c r="K445" s="634">
        <v>12232</v>
      </c>
      <c r="L445" s="398">
        <f>Tabela13[[#This Row],[VALOR
 BRUTO ]]-Tabela13[[#This Row],[VALOR 
LIQUIDO ]]</f>
        <v>0</v>
      </c>
      <c r="M445" s="399">
        <f>Tabela13[[#This Row],[VALORES PAGOS 
(FORMA PAGTO)]]</f>
        <v>12232</v>
      </c>
      <c r="N445" s="631">
        <v>45981</v>
      </c>
      <c r="O445" s="635">
        <v>12232</v>
      </c>
      <c r="P445" s="633">
        <v>46007</v>
      </c>
      <c r="Q445" s="197" t="str" cm="1">
        <f t="array" aca="1" ref="Q445" ca="1">IF($P445&lt;&gt;"","PAGO",IF($N445&lt;TODAY(),"ATRASADO",IF($N445&gt;TODAY(),"NO PRAZO",IF($N445=TODAY(),"NO PRAZO",SE))))</f>
        <v>PAGO</v>
      </c>
      <c r="R445" s="150" t="str">
        <f t="shared" ca="1" si="6"/>
        <v/>
      </c>
      <c r="S445" s="720"/>
      <c r="T445" s="112"/>
      <c r="U445" s="636">
        <f ca="1">SUBTOTAL(3,Tabela13[[#This Row],[STATUS]])</f>
        <v>1</v>
      </c>
    </row>
    <row r="446" spans="1:21" ht="24" customHeight="1">
      <c r="A446" s="631">
        <v>45953</v>
      </c>
      <c r="B446" s="105">
        <v>118253</v>
      </c>
      <c r="C446" s="688" t="str">
        <f>IFERROR(VLOOKUP(Tabela13[[#This Row],[CÓD. EMPRESA]],Tabela3[[CÓDIGO
 EMPRESA ]:[EMPRESA]],2,FALSE),"")</f>
        <v>COOPERATIVA DE TRABALHO DOS CATADORES DA AREA DE MATERIAIS RECICLAVEIS DE GUARULHOS</v>
      </c>
      <c r="D446" s="112" t="s">
        <v>440</v>
      </c>
      <c r="E446" s="112" t="s">
        <v>441</v>
      </c>
      <c r="F446" s="491">
        <v>9419</v>
      </c>
      <c r="G446" s="411">
        <v>9</v>
      </c>
      <c r="H446" s="632" t="s">
        <v>52</v>
      </c>
      <c r="I446" s="633">
        <v>45809</v>
      </c>
      <c r="J446" s="631">
        <v>45838</v>
      </c>
      <c r="K446" s="634">
        <v>21084.09</v>
      </c>
      <c r="L446" s="398">
        <f>Tabela13[[#This Row],[VALOR
 BRUTO ]]-Tabela13[[#This Row],[VALOR 
LIQUIDO ]]</f>
        <v>1077.3399999999999</v>
      </c>
      <c r="M446" s="399">
        <f>Tabela13[[#This Row],[VALORES PAGOS 
(FORMA PAGTO)]]</f>
        <v>20006.75</v>
      </c>
      <c r="N446" s="631">
        <v>45952</v>
      </c>
      <c r="O446" s="635">
        <v>20006.75</v>
      </c>
      <c r="P446" s="633">
        <v>45978</v>
      </c>
      <c r="Q446" s="197" t="str" cm="1">
        <f t="array" aca="1" ref="Q446" ca="1">IF($P446&lt;&gt;"","PAGO",IF($N446&lt;TODAY(),"ATRASADO",IF($N446&gt;TODAY(),"NO PRAZO",IF($N446=TODAY(),"NO PRAZO",SE))))</f>
        <v>PAGO</v>
      </c>
      <c r="R446" s="150" t="str">
        <f t="shared" ca="1" si="6"/>
        <v/>
      </c>
      <c r="S446" s="720"/>
      <c r="T446" s="112"/>
      <c r="U446" s="636">
        <f ca="1">SUBTOTAL(3,Tabela13[[#This Row],[STATUS]])</f>
        <v>1</v>
      </c>
    </row>
    <row r="447" spans="1:21" ht="24" customHeight="1">
      <c r="A447" s="631">
        <v>45953</v>
      </c>
      <c r="B447" s="105">
        <v>118253</v>
      </c>
      <c r="C447" s="688" t="str">
        <f>IFERROR(VLOOKUP(Tabela13[[#This Row],[CÓD. EMPRESA]],Tabela3[[CÓDIGO
 EMPRESA ]:[EMPRESA]],2,FALSE),"")</f>
        <v>COOPERATIVA DE TRABALHO DOS CATADORES DA AREA DE MATERIAIS RECICLAVEIS DE GUARULHOS</v>
      </c>
      <c r="D447" s="112" t="s">
        <v>440</v>
      </c>
      <c r="E447" s="112" t="s">
        <v>441</v>
      </c>
      <c r="F447" s="491">
        <v>7076</v>
      </c>
      <c r="G447" s="411">
        <v>9</v>
      </c>
      <c r="H447" s="632" t="s">
        <v>52</v>
      </c>
      <c r="I447" s="633">
        <v>45809</v>
      </c>
      <c r="J447" s="631">
        <v>45838</v>
      </c>
      <c r="K447" s="634">
        <v>462.75</v>
      </c>
      <c r="L447" s="398">
        <f>Tabela13[[#This Row],[VALOR
 BRUTO ]]-Tabela13[[#This Row],[VALOR 
LIQUIDO ]]</f>
        <v>0</v>
      </c>
      <c r="M447" s="399">
        <f>Tabela13[[#This Row],[VALORES PAGOS 
(FORMA PAGTO)]]</f>
        <v>462.75</v>
      </c>
      <c r="N447" s="631">
        <v>45952</v>
      </c>
      <c r="O447" s="635">
        <v>462.75</v>
      </c>
      <c r="P447" s="633">
        <v>45978</v>
      </c>
      <c r="Q447" s="197" t="str" cm="1">
        <f t="array" aca="1" ref="Q447" ca="1">IF($P447&lt;&gt;"","PAGO",IF($N447&lt;TODAY(),"ATRASADO",IF($N447&gt;TODAY(),"NO PRAZO",IF($N447=TODAY(),"NO PRAZO",SE))))</f>
        <v>PAGO</v>
      </c>
      <c r="R447" s="150" t="str">
        <f t="shared" ca="1" si="6"/>
        <v/>
      </c>
      <c r="S447" s="720"/>
      <c r="T447" s="112"/>
      <c r="U447" s="636">
        <f ca="1">SUBTOTAL(3,Tabela13[[#This Row],[STATUS]])</f>
        <v>1</v>
      </c>
    </row>
    <row r="448" spans="1:21" ht="24" customHeight="1">
      <c r="A448" s="631">
        <v>45954</v>
      </c>
      <c r="B448" s="105">
        <v>119162</v>
      </c>
      <c r="C448" s="688" t="str">
        <f>IFERROR(VLOOKUP(Tabela13[[#This Row],[CÓD. EMPRESA]],Tabela3[[CÓDIGO
 EMPRESA ]:[EMPRESA]],2,FALSE),"")</f>
        <v>COOPERATIVA DE TRABALHO COLETA TRIAGEM BENEFICIAMENTO E COMERCIO DE MATERIAIS RECICLAVEIS NOVO CICLO</v>
      </c>
      <c r="D448" s="112" t="s">
        <v>343</v>
      </c>
      <c r="E448" s="112" t="s">
        <v>499</v>
      </c>
      <c r="F448" s="491">
        <v>4276</v>
      </c>
      <c r="G448" s="411">
        <v>12</v>
      </c>
      <c r="H448" s="165" t="s">
        <v>52</v>
      </c>
      <c r="I448" s="633">
        <v>45809</v>
      </c>
      <c r="J448" s="631">
        <v>45838</v>
      </c>
      <c r="K448" s="634">
        <v>2595.63</v>
      </c>
      <c r="L448" s="398">
        <f>Tabela13[[#This Row],[VALOR
 BRUTO ]]-Tabela13[[#This Row],[VALOR 
LIQUIDO ]]</f>
        <v>0</v>
      </c>
      <c r="M448" s="399">
        <f>Tabela13[[#This Row],[VALORES PAGOS 
(FORMA PAGTO)]]</f>
        <v>2595.63</v>
      </c>
      <c r="N448" s="631">
        <v>45954</v>
      </c>
      <c r="O448" s="635">
        <v>2595.63</v>
      </c>
      <c r="P448" s="633">
        <v>45978</v>
      </c>
      <c r="Q448" s="197" t="str" cm="1">
        <f t="array" aca="1" ref="Q448" ca="1">IF($P448&lt;&gt;"","PAGO",IF($N448&lt;TODAY(),"ATRASADO",IF($N448&gt;TODAY(),"NO PRAZO",IF($N448=TODAY(),"NO PRAZO",SE))))</f>
        <v>PAGO</v>
      </c>
      <c r="R448" s="150" t="str">
        <f t="shared" ca="1" si="6"/>
        <v/>
      </c>
      <c r="S448" s="720"/>
      <c r="T448" s="112"/>
      <c r="U448" s="636">
        <f ca="1">SUBTOTAL(3,Tabela13[[#This Row],[STATUS]])</f>
        <v>1</v>
      </c>
    </row>
    <row r="449" spans="1:21" ht="24" customHeight="1">
      <c r="A449" s="631">
        <v>45954</v>
      </c>
      <c r="B449" s="105">
        <v>119162</v>
      </c>
      <c r="C449" s="688" t="str">
        <f>IFERROR(VLOOKUP(Tabela13[[#This Row],[CÓD. EMPRESA]],Tabela3[[CÓDIGO
 EMPRESA ]:[EMPRESA]],2,FALSE),"")</f>
        <v>COOPERATIVA DE TRABALHO COLETA TRIAGEM BENEFICIAMENTO E COMERCIO DE MATERIAIS RECICLAVEIS NOVO CICLO</v>
      </c>
      <c r="D449" s="112" t="s">
        <v>343</v>
      </c>
      <c r="E449" s="112" t="s">
        <v>499</v>
      </c>
      <c r="F449" s="491">
        <v>7081</v>
      </c>
      <c r="G449" s="411">
        <v>12</v>
      </c>
      <c r="H449" s="165" t="s">
        <v>52</v>
      </c>
      <c r="I449" s="633">
        <v>45809</v>
      </c>
      <c r="J449" s="631">
        <v>45838</v>
      </c>
      <c r="K449" s="634">
        <v>9103.11</v>
      </c>
      <c r="L449" s="398">
        <f>Tabela13[[#This Row],[VALOR
 BRUTO ]]-Tabela13[[#This Row],[VALOR 
LIQUIDO ]]</f>
        <v>584.94000000000005</v>
      </c>
      <c r="M449" s="399">
        <f>Tabela13[[#This Row],[VALORES PAGOS 
(FORMA PAGTO)]]</f>
        <v>8518.17</v>
      </c>
      <c r="N449" s="631">
        <v>45954</v>
      </c>
      <c r="O449" s="635">
        <v>8518.17</v>
      </c>
      <c r="P449" s="633">
        <v>45978</v>
      </c>
      <c r="Q449" s="197" t="str" cm="1">
        <f t="array" aca="1" ref="Q449" ca="1">IF($P449&lt;&gt;"","PAGO",IF($N449&lt;TODAY(),"ATRASADO",IF($N449&gt;TODAY(),"NO PRAZO",IF($N449=TODAY(),"NO PRAZO",SE))))</f>
        <v>PAGO</v>
      </c>
      <c r="R449" s="150" t="str">
        <f t="shared" ca="1" si="6"/>
        <v/>
      </c>
      <c r="S449" s="241"/>
      <c r="T449" s="112"/>
      <c r="U449" s="636">
        <f ca="1">SUBTOTAL(3,Tabela13[[#This Row],[STATUS]])</f>
        <v>1</v>
      </c>
    </row>
    <row r="450" spans="1:21" ht="24" customHeight="1">
      <c r="A450" s="631">
        <v>45954</v>
      </c>
      <c r="B450" s="105">
        <v>119162</v>
      </c>
      <c r="C450" s="688" t="s">
        <v>373</v>
      </c>
      <c r="D450" s="112" t="s">
        <v>343</v>
      </c>
      <c r="E450" s="112" t="s">
        <v>499</v>
      </c>
      <c r="F450" s="491">
        <v>7081</v>
      </c>
      <c r="G450" s="411">
        <v>13</v>
      </c>
      <c r="H450" s="165" t="s">
        <v>52</v>
      </c>
      <c r="I450" s="633">
        <v>45839</v>
      </c>
      <c r="J450" s="631">
        <v>45868</v>
      </c>
      <c r="K450" s="634">
        <v>14140.87</v>
      </c>
      <c r="L450" s="398">
        <f>Tabela13[[#This Row],[VALOR
 BRUTO ]]-Tabela13[[#This Row],[VALOR 
LIQUIDO ]]</f>
        <v>707.04</v>
      </c>
      <c r="M450" s="399">
        <f>Tabela13[[#This Row],[VALORES PAGOS 
(FORMA PAGTO)]]</f>
        <v>13433.83</v>
      </c>
      <c r="N450" s="631">
        <v>45954</v>
      </c>
      <c r="O450" s="635">
        <v>13433.83</v>
      </c>
      <c r="P450" s="633">
        <v>45978</v>
      </c>
      <c r="Q450" s="197" t="str" cm="1">
        <f t="array" aca="1" ref="Q450" ca="1">IF($P450&lt;&gt;"","PAGO",IF($N450&lt;TODAY(),"ATRASADO",IF($N450&gt;TODAY(),"NO PRAZO",IF($N450=TODAY(),"NO PRAZO",SE))))</f>
        <v>PAGO</v>
      </c>
      <c r="R450" s="150" t="str">
        <f t="shared" ca="1" si="6"/>
        <v/>
      </c>
      <c r="S450" s="720"/>
      <c r="T450" s="112"/>
      <c r="U450" s="636">
        <f ca="1">SUBTOTAL(3,Tabela13[[#This Row],[STATUS]])</f>
        <v>1</v>
      </c>
    </row>
    <row r="451" spans="1:21" ht="24" customHeight="1">
      <c r="A451" s="631">
        <v>45954</v>
      </c>
      <c r="B451" s="105">
        <v>69169</v>
      </c>
      <c r="C451" s="688" t="str">
        <f>IFERROR(VLOOKUP(Tabela13[[#This Row],[CÓD. EMPRESA]],Tabela3[[CÓDIGO
 EMPRESA ]:[EMPRESA]],2,FALSE),"")</f>
        <v>CECM PÂES LTDA</v>
      </c>
      <c r="D451" s="112" t="s">
        <v>429</v>
      </c>
      <c r="E451" s="112" t="s">
        <v>450</v>
      </c>
      <c r="F451" s="491">
        <v>3881</v>
      </c>
      <c r="G451" s="411">
        <v>19766</v>
      </c>
      <c r="H451" s="165" t="s">
        <v>53</v>
      </c>
      <c r="I451" s="633"/>
      <c r="J451" s="631"/>
      <c r="K451" s="634">
        <v>8024.4</v>
      </c>
      <c r="L451" s="398">
        <f>Tabela13[[#This Row],[VALOR
 BRUTO ]]-Tabela13[[#This Row],[VALOR 
LIQUIDO ]]</f>
        <v>0</v>
      </c>
      <c r="M451" s="399">
        <f>Tabela13[[#This Row],[VALORES PAGOS 
(FORMA PAGTO)]]</f>
        <v>8024.4</v>
      </c>
      <c r="N451" s="631">
        <v>45981</v>
      </c>
      <c r="O451" s="635">
        <v>8024.4</v>
      </c>
      <c r="P451" s="633">
        <v>46007</v>
      </c>
      <c r="Q451" s="197" t="str" cm="1">
        <f t="array" aca="1" ref="Q451" ca="1">IF($P451&lt;&gt;"","PAGO",IF($N451&lt;TODAY(),"ATRASADO",IF($N451&gt;TODAY(),"NO PRAZO",IF($N451=TODAY(),"NO PRAZO",SE))))</f>
        <v>PAGO</v>
      </c>
      <c r="R451" s="150" t="str">
        <f t="shared" ca="1" si="6"/>
        <v/>
      </c>
      <c r="S451" s="720"/>
      <c r="T451" s="112"/>
      <c r="U451" s="636">
        <f ca="1">SUBTOTAL(3,Tabela13[[#This Row],[STATUS]])</f>
        <v>1</v>
      </c>
    </row>
    <row r="452" spans="1:21" ht="24" customHeight="1">
      <c r="A452" s="113">
        <v>45959</v>
      </c>
      <c r="B452" s="105">
        <v>42326</v>
      </c>
      <c r="C452" s="688" t="str">
        <f>IFERROR(VLOOKUP(Tabela13[[#This Row],[CÓD. EMPRESA]],Tabela3[[CÓDIGO
 EMPRESA ]:[EMPRESA]],2,FALSE),"")</f>
        <v>CASAMAX COMERCIAL E SERVICOS LTDA</v>
      </c>
      <c r="D452" s="112" t="s">
        <v>703</v>
      </c>
      <c r="E452" s="112" t="s">
        <v>615</v>
      </c>
      <c r="F452" s="491">
        <v>5709</v>
      </c>
      <c r="G452" s="411">
        <v>11563</v>
      </c>
      <c r="H452" s="632" t="s">
        <v>53</v>
      </c>
      <c r="I452" s="633">
        <v>45870</v>
      </c>
      <c r="J452" s="631">
        <v>45900</v>
      </c>
      <c r="K452" s="634">
        <v>360538.95</v>
      </c>
      <c r="L452" s="398">
        <f>Tabela13[[#This Row],[VALOR
 BRUTO ]]-Tabela13[[#This Row],[VALOR 
LIQUIDO ]]</f>
        <v>0</v>
      </c>
      <c r="M452" s="399">
        <f>Tabela13[[#This Row],[VALORES PAGOS 
(FORMA PAGTO)]]</f>
        <v>360538.95</v>
      </c>
      <c r="N452" s="631">
        <v>45983</v>
      </c>
      <c r="O452" s="635">
        <v>360538.95</v>
      </c>
      <c r="P452" s="633"/>
      <c r="Q452" s="197" t="str" cm="1">
        <f t="array" aca="1" ref="Q452" ca="1">IF($P452&lt;&gt;"","PAGO",IF($N452&lt;TODAY(),"ATRASADO",IF($N452&gt;TODAY(),"NO PRAZO",IF($N452=TODAY(),"NO PRAZO",SE))))</f>
        <v>ATRASADO</v>
      </c>
      <c r="R452" s="150">
        <f t="shared" ca="1" si="6"/>
        <v>-80</v>
      </c>
      <c r="S452" s="736"/>
      <c r="T452" s="112"/>
      <c r="U452" s="636">
        <f ca="1">SUBTOTAL(3,Tabela13[[#This Row],[STATUS]])</f>
        <v>1</v>
      </c>
    </row>
    <row r="453" spans="1:21" ht="24" customHeight="1">
      <c r="A453" s="631">
        <v>45959</v>
      </c>
      <c r="B453" s="105">
        <v>68004</v>
      </c>
      <c r="C453" s="688" t="str">
        <f>IFERROR(VLOOKUP(Tabela13[[#This Row],[CÓD. EMPRESA]],Tabela3[[CÓDIGO
 EMPRESA ]:[EMPRESA]],2,FALSE),"")</f>
        <v>VB AMBIENTAL CONSULTORIA E PROJETOS LTDA-ME</v>
      </c>
      <c r="D453" s="112" t="s">
        <v>349</v>
      </c>
      <c r="E453" s="112" t="s">
        <v>489</v>
      </c>
      <c r="F453" s="491">
        <v>19153</v>
      </c>
      <c r="G453" s="411">
        <v>2127</v>
      </c>
      <c r="H453" s="165" t="s">
        <v>53</v>
      </c>
      <c r="I453" s="633">
        <v>45901</v>
      </c>
      <c r="J453" s="631">
        <v>45930</v>
      </c>
      <c r="K453" s="634">
        <v>5430.18</v>
      </c>
      <c r="L453" s="398">
        <f>Tabela13[[#This Row],[VALOR
 BRUTO ]]-Tabela13[[#This Row],[VALOR 
LIQUIDO ]]</f>
        <v>260.64999999999998</v>
      </c>
      <c r="M453" s="399">
        <f>Tabela13[[#This Row],[VALORES PAGOS 
(FORMA PAGTO)]]</f>
        <v>5169.53</v>
      </c>
      <c r="N453" s="631">
        <v>45969</v>
      </c>
      <c r="O453" s="635">
        <v>5169.53</v>
      </c>
      <c r="P453" s="633">
        <v>46007</v>
      </c>
      <c r="Q453" s="197" t="str" cm="1">
        <f t="array" aca="1" ref="Q453" ca="1">IF($P453&lt;&gt;"","PAGO",IF($N453&lt;TODAY(),"ATRASADO",IF($N453&gt;TODAY(),"NO PRAZO",IF($N453=TODAY(),"NO PRAZO",SE))))</f>
        <v>PAGO</v>
      </c>
      <c r="R453" s="150" t="str">
        <f t="shared" ca="1" si="6"/>
        <v/>
      </c>
      <c r="S453" s="720"/>
      <c r="T453" s="112"/>
      <c r="U453" s="636">
        <f ca="1">SUBTOTAL(3,Tabela13[[#This Row],[STATUS]])</f>
        <v>1</v>
      </c>
    </row>
    <row r="454" spans="1:21" ht="24" customHeight="1">
      <c r="A454" s="631">
        <v>45959</v>
      </c>
      <c r="B454" s="105">
        <v>117936</v>
      </c>
      <c r="C454" s="688" t="str">
        <f>IFERROR(VLOOKUP(Tabela13[[#This Row],[CÓD. EMPRESA]],Tabela3[[CÓDIGO
 EMPRESA ]:[EMPRESA]],2,FALSE),"")</f>
        <v>LOPES SAAB ENGENHARIA LTDA</v>
      </c>
      <c r="D454" s="112" t="s">
        <v>449</v>
      </c>
      <c r="E454" s="112" t="s">
        <v>452</v>
      </c>
      <c r="F454" s="491">
        <v>16586</v>
      </c>
      <c r="G454" s="411">
        <v>168</v>
      </c>
      <c r="H454" s="165" t="s">
        <v>53</v>
      </c>
      <c r="I454" s="633">
        <v>45839</v>
      </c>
      <c r="J454" s="631">
        <v>45869</v>
      </c>
      <c r="K454" s="634">
        <v>18500</v>
      </c>
      <c r="L454" s="398">
        <f>Tabela13[[#This Row],[VALOR
 BRUTO ]]-Tabela13[[#This Row],[VALOR 
LIQUIDO ]]</f>
        <v>0</v>
      </c>
      <c r="M454" s="399">
        <f>Tabela13[[#This Row],[VALORES PAGOS 
(FORMA PAGTO)]]</f>
        <v>18500</v>
      </c>
      <c r="N454" s="631">
        <v>45980</v>
      </c>
      <c r="O454" s="635">
        <v>18500</v>
      </c>
      <c r="P454" s="633">
        <v>46007</v>
      </c>
      <c r="Q454" s="197" t="str" cm="1">
        <f t="array" aca="1" ref="Q454" ca="1">IF($P454&lt;&gt;"","PAGO",IF($N454&lt;TODAY(),"ATRASADO",IF($N454&gt;TODAY(),"NO PRAZO",IF($N454=TODAY(),"NO PRAZO",SE))))</f>
        <v>PAGO</v>
      </c>
      <c r="R454" s="150" t="str">
        <f t="shared" ref="R454:R517" ca="1" si="7">IF(Q454="ATRASADO",N454-TODAY(),IF(Q454="NO PRAZO",N454-TODAY(),IF(Q454="PAGO","")))</f>
        <v/>
      </c>
      <c r="S454" s="720"/>
      <c r="T454" s="112"/>
      <c r="U454" s="636">
        <f ca="1">SUBTOTAL(3,Tabela13[[#This Row],[STATUS]])</f>
        <v>1</v>
      </c>
    </row>
    <row r="455" spans="1:21" ht="24" customHeight="1">
      <c r="A455" s="631">
        <v>45959</v>
      </c>
      <c r="B455" s="105">
        <v>117936</v>
      </c>
      <c r="C455" s="688" t="str">
        <f>IFERROR(VLOOKUP(Tabela13[[#This Row],[CÓD. EMPRESA]],Tabela3[[CÓDIGO
 EMPRESA ]:[EMPRESA]],2,FALSE),"")</f>
        <v>LOPES SAAB ENGENHARIA LTDA</v>
      </c>
      <c r="D455" s="112" t="s">
        <v>449</v>
      </c>
      <c r="E455" s="112" t="s">
        <v>452</v>
      </c>
      <c r="F455" s="491">
        <v>19149</v>
      </c>
      <c r="G455" s="411">
        <v>169</v>
      </c>
      <c r="H455" s="165" t="s">
        <v>53</v>
      </c>
      <c r="I455" s="633">
        <v>45870</v>
      </c>
      <c r="J455" s="631">
        <v>45900</v>
      </c>
      <c r="K455" s="634">
        <v>18500</v>
      </c>
      <c r="L455" s="398">
        <f>Tabela13[[#This Row],[VALOR
 BRUTO ]]-Tabela13[[#This Row],[VALOR 
LIQUIDO ]]</f>
        <v>0</v>
      </c>
      <c r="M455" s="399">
        <f>Tabela13[[#This Row],[VALORES PAGOS 
(FORMA PAGTO)]]</f>
        <v>18500</v>
      </c>
      <c r="N455" s="631">
        <v>45980</v>
      </c>
      <c r="O455" s="635">
        <v>18500</v>
      </c>
      <c r="P455" s="633">
        <v>46007</v>
      </c>
      <c r="Q455" s="197" t="str" cm="1">
        <f t="array" aca="1" ref="Q455" ca="1">IF($P455&lt;&gt;"","PAGO",IF($N455&lt;TODAY(),"ATRASADO",IF($N455&gt;TODAY(),"NO PRAZO",IF($N455=TODAY(),"NO PRAZO",SE))))</f>
        <v>PAGO</v>
      </c>
      <c r="R455" s="150" t="str">
        <f t="shared" ca="1" si="7"/>
        <v/>
      </c>
      <c r="S455" s="720"/>
      <c r="T455" s="112"/>
      <c r="U455" s="636">
        <f ca="1">SUBTOTAL(3,Tabela13[[#This Row],[STATUS]])</f>
        <v>1</v>
      </c>
    </row>
    <row r="456" spans="1:21" ht="24.75" customHeight="1">
      <c r="A456" s="631">
        <v>45959</v>
      </c>
      <c r="B456" s="105">
        <v>73112</v>
      </c>
      <c r="C456" s="688" t="str">
        <f>IFERROR(VLOOKUP(Tabela13[[#This Row],[CÓD. EMPRESA]],Tabela3[[CÓDIGO
 EMPRESA ]:[EMPRESA]],2,FALSE),"")</f>
        <v>M CONSTRUÇÕES &amp; SERVIÇOS LTDA</v>
      </c>
      <c r="D456" s="112" t="s">
        <v>350</v>
      </c>
      <c r="E456" s="112" t="s">
        <v>494</v>
      </c>
      <c r="F456" s="491">
        <v>20079</v>
      </c>
      <c r="G456" s="411">
        <v>2452</v>
      </c>
      <c r="H456" s="165" t="s">
        <v>52</v>
      </c>
      <c r="I456" s="633">
        <v>45901</v>
      </c>
      <c r="J456" s="631">
        <v>45930</v>
      </c>
      <c r="K456" s="634">
        <v>528876.78</v>
      </c>
      <c r="L456" s="398">
        <f>Tabela13[[#This Row],[VALOR
 BRUTO ]]-Tabela13[[#This Row],[VALOR 
LIQUIDO ]]</f>
        <v>0</v>
      </c>
      <c r="M456" s="399">
        <f>Tabela13[[#This Row],[VALORES PAGOS 
(FORMA PAGTO)]]</f>
        <v>528876.78</v>
      </c>
      <c r="N456" s="631">
        <v>45959</v>
      </c>
      <c r="O456" s="635">
        <v>528876.78</v>
      </c>
      <c r="P456" s="633">
        <v>45978</v>
      </c>
      <c r="Q456" s="197" t="str" cm="1">
        <f t="array" aca="1" ref="Q456" ca="1">IF($P456&lt;&gt;"","PAGO",IF($N456&lt;TODAY(),"ATRASADO",IF($N456&gt;TODAY(),"NO PRAZO",IF($N456=TODAY(),"NO PRAZO",SE))))</f>
        <v>PAGO</v>
      </c>
      <c r="R456" s="150" t="str">
        <f t="shared" ca="1" si="7"/>
        <v/>
      </c>
      <c r="S456" s="736"/>
      <c r="T456" s="112"/>
      <c r="U456" s="636">
        <f ca="1">SUBTOTAL(3,Tabela13[[#This Row],[STATUS]])</f>
        <v>1</v>
      </c>
    </row>
    <row r="457" spans="1:21" ht="24" customHeight="1">
      <c r="A457" s="641">
        <v>45959</v>
      </c>
      <c r="B457" s="105">
        <v>73112</v>
      </c>
      <c r="C457" s="688" t="str">
        <f>IFERROR(VLOOKUP(Tabela13[[#This Row],[CÓD. EMPRESA]],Tabela3[[CÓDIGO
 EMPRESA ]:[EMPRESA]],2,FALSE),"")</f>
        <v>M CONSTRUÇÕES &amp; SERVIÇOS LTDA</v>
      </c>
      <c r="D457" s="112" t="s">
        <v>350</v>
      </c>
      <c r="E457" s="112" t="s">
        <v>494</v>
      </c>
      <c r="F457" s="491">
        <v>21819</v>
      </c>
      <c r="G457" s="411">
        <v>2452</v>
      </c>
      <c r="H457" s="165" t="s">
        <v>52</v>
      </c>
      <c r="I457" s="642">
        <v>45901</v>
      </c>
      <c r="J457" s="641">
        <v>45930</v>
      </c>
      <c r="K457" s="643">
        <v>7770563.9100000001</v>
      </c>
      <c r="L457" s="398">
        <f>Tabela13[[#This Row],[VALOR
 BRUTO ]]-Tabela13[[#This Row],[VALORES PAGOS 
(FORMA PAGTO)]]-O458</f>
        <v>1427503.8</v>
      </c>
      <c r="M457" s="399">
        <f>Tabela13[[#This Row],[VALORES PAGOS 
(FORMA PAGTO)]]</f>
        <v>2722496.2</v>
      </c>
      <c r="N457" s="641">
        <v>45959</v>
      </c>
      <c r="O457" s="644">
        <v>2722496.2</v>
      </c>
      <c r="P457" s="642">
        <v>45975</v>
      </c>
      <c r="Q457" s="197" t="str" cm="1">
        <f t="array" aca="1" ref="Q457" ca="1">IF($P457&lt;&gt;"","PAGO",IF($N457&lt;TODAY(),"ATRASADO",IF($N457&gt;TODAY(),"NO PRAZO",IF($N457=TODAY(),"NO PRAZO",SE))))</f>
        <v>PAGO</v>
      </c>
      <c r="R457" s="150" t="str">
        <f t="shared" ca="1" si="7"/>
        <v/>
      </c>
      <c r="S457" s="737"/>
      <c r="T457" s="112"/>
      <c r="U457" s="645">
        <f ca="1">SUBTOTAL(3,Tabela13[[#This Row],[STATUS]])</f>
        <v>1</v>
      </c>
    </row>
    <row r="458" spans="1:21" ht="24" customHeight="1">
      <c r="A458" s="885">
        <v>45959</v>
      </c>
      <c r="B458" s="920">
        <v>73112</v>
      </c>
      <c r="C458" s="688" t="str">
        <f>IFERROR(VLOOKUP(Tabela13[[#This Row],[CÓD. EMPRESA]],Tabela3[[CÓDIGO
 EMPRESA ]:[EMPRESA]],2,FALSE),"")</f>
        <v>M CONSTRUÇÕES &amp; SERVIÇOS LTDA</v>
      </c>
      <c r="D458" s="886" t="s">
        <v>350</v>
      </c>
      <c r="E458" s="886" t="s">
        <v>494</v>
      </c>
      <c r="F458" s="922">
        <v>21819</v>
      </c>
      <c r="G458" s="923">
        <v>2452</v>
      </c>
      <c r="H458" s="925" t="s">
        <v>52</v>
      </c>
      <c r="I458" s="887">
        <v>45901</v>
      </c>
      <c r="J458" s="885">
        <v>45930</v>
      </c>
      <c r="K458" s="888"/>
      <c r="L458" s="889"/>
      <c r="M458" s="890">
        <f>Tabela13[[#This Row],[VALORES PAGOS 
(FORMA PAGTO)]]</f>
        <v>3620563.91</v>
      </c>
      <c r="N458" s="885">
        <v>45959</v>
      </c>
      <c r="O458" s="891">
        <v>3620563.91</v>
      </c>
      <c r="P458" s="887">
        <v>45989</v>
      </c>
      <c r="Q458" s="892" t="str" cm="1">
        <f t="array" aca="1" ref="Q458" ca="1">IF($P458&lt;&gt;"","PAGO",IF($N458&lt;TODAY(),"ATRASADO",IF($N458&gt;TODAY(),"NO PRAZO",IF($N458=TODAY(),"NO PRAZO",SE))))</f>
        <v>PAGO</v>
      </c>
      <c r="R458" s="259" t="str">
        <f t="shared" ca="1" si="7"/>
        <v/>
      </c>
      <c r="S458" s="887"/>
      <c r="T458" s="886"/>
      <c r="U458" s="893">
        <f ca="1">SUBTOTAL(3,Tabela13[[#This Row],[STATUS]])</f>
        <v>1</v>
      </c>
    </row>
    <row r="459" spans="1:21" ht="28.5" customHeight="1">
      <c r="A459" s="113">
        <v>45960</v>
      </c>
      <c r="B459" s="114">
        <v>75036</v>
      </c>
      <c r="C459" s="688" t="str">
        <f>IFERROR(VLOOKUP(Tabela13[[#This Row],[CÓD. EMPRESA]],Tabela3[[CÓDIGO
 EMPRESA ]:[EMPRESA]],2,FALSE),"")</f>
        <v xml:space="preserve">SUPREME COMERCIAL LTDA </v>
      </c>
      <c r="D459" s="112" t="s">
        <v>639</v>
      </c>
      <c r="E459" s="112" t="s">
        <v>640</v>
      </c>
      <c r="F459" s="196">
        <v>22514</v>
      </c>
      <c r="G459" s="109">
        <v>5964</v>
      </c>
      <c r="H459" s="165" t="s">
        <v>53</v>
      </c>
      <c r="I459" s="147"/>
      <c r="J459" s="113"/>
      <c r="K459" s="401">
        <v>4650</v>
      </c>
      <c r="L459" s="398">
        <f>Tabela13[[#This Row],[VALOR
 BRUTO ]]-Tabela13[[#This Row],[VALOR 
LIQUIDO ]]</f>
        <v>55.8</v>
      </c>
      <c r="M459" s="703">
        <f>Tabela13[[#This Row],[VALORES PAGOS 
(FORMA PAGTO)]]</f>
        <v>4594.2</v>
      </c>
      <c r="N459" s="113">
        <v>45990</v>
      </c>
      <c r="O459" s="385">
        <v>4594.2</v>
      </c>
      <c r="P459" s="147">
        <v>46007</v>
      </c>
      <c r="Q459" s="197" t="str" cm="1">
        <f t="array" aca="1" ref="Q459" ca="1">IF($P459&lt;&gt;"","PAGO",IF($N459&lt;TODAY(),"ATRASADO",IF($N459&gt;TODAY(),"NO PRAZO",IF($N459=TODAY(),"NO PRAZO",SE))))</f>
        <v>PAGO</v>
      </c>
      <c r="R459" s="259" t="str">
        <f t="shared" ca="1" si="7"/>
        <v/>
      </c>
      <c r="S459" s="147"/>
      <c r="T459" s="112"/>
      <c r="U459" s="259">
        <f ca="1">SUBTOTAL(3,Tabela13[[#This Row],[STATUS]])</f>
        <v>1</v>
      </c>
    </row>
    <row r="460" spans="1:21" ht="27.75" customHeight="1">
      <c r="A460" s="926">
        <v>45961</v>
      </c>
      <c r="B460" s="927">
        <v>51481</v>
      </c>
      <c r="C460" s="928" t="str">
        <f>IFERROR(VLOOKUP(Tabela13[[#This Row],[CÓD. EMPRESA]],Tabela3[[CÓDIGO
 EMPRESA ]:[EMPRESA]],2,FALSE),"")</f>
        <v>LIGA INDUSTRIA E COMÉRCIO DE MATERIAL PARA CONSTRUÇÃO LTDA .</v>
      </c>
      <c r="D460" s="112" t="s">
        <v>560</v>
      </c>
      <c r="E460" s="112" t="s">
        <v>637</v>
      </c>
      <c r="F460" s="930">
        <v>20078</v>
      </c>
      <c r="G460" s="931">
        <v>107</v>
      </c>
      <c r="H460" s="165" t="s">
        <v>53</v>
      </c>
      <c r="I460" s="932"/>
      <c r="J460" s="926"/>
      <c r="K460" s="933">
        <v>4480</v>
      </c>
      <c r="L460" s="934">
        <f>Tabela13[[#This Row],[VALOR
 BRUTO ]]-Tabela13[[#This Row],[VALOR 
LIQUIDO ]]</f>
        <v>143.36000000000001</v>
      </c>
      <c r="M460" s="935">
        <f>Tabela13[[#This Row],[VALORES PAGOS 
(FORMA PAGTO)]]</f>
        <v>4336.6400000000003</v>
      </c>
      <c r="N460" s="926">
        <v>45987</v>
      </c>
      <c r="O460" s="936">
        <v>4336.6400000000003</v>
      </c>
      <c r="P460" s="932">
        <v>46007</v>
      </c>
      <c r="Q460" s="937" t="str" cm="1">
        <f t="array" aca="1" ref="Q460" ca="1">IF($P460&lt;&gt;"","PAGO",IF($N460&lt;TODAY(),"ATRASADO",IF($N460&gt;TODAY(),"NO PRAZO",IF($N460=TODAY(),"NO PRAZO",SE))))</f>
        <v>PAGO</v>
      </c>
      <c r="R460" s="259" t="str">
        <f t="shared" ca="1" si="7"/>
        <v/>
      </c>
      <c r="S460" s="932"/>
      <c r="T460" s="929"/>
      <c r="U460" s="938">
        <f ca="1">SUBTOTAL(3,Tabela13[[#This Row],[STATUS]])</f>
        <v>1</v>
      </c>
    </row>
    <row r="461" spans="1:21" ht="27.75" customHeight="1">
      <c r="A461" s="652">
        <v>45961</v>
      </c>
      <c r="B461" s="105">
        <v>60979</v>
      </c>
      <c r="C461" s="688" t="str">
        <f>IFERROR(VLOOKUP(Tabela13[[#This Row],[CÓD. EMPRESA]],Tabela3[[CÓDIGO
 EMPRESA ]:[EMPRESA]],2,FALSE),"")</f>
        <v>SILCON AMBIENTAL S/A</v>
      </c>
      <c r="D461" s="112" t="s">
        <v>355</v>
      </c>
      <c r="E461" s="112" t="s">
        <v>463</v>
      </c>
      <c r="F461" s="491">
        <v>21700</v>
      </c>
      <c r="G461" s="411">
        <v>40617</v>
      </c>
      <c r="H461" s="165" t="s">
        <v>53</v>
      </c>
      <c r="I461" s="653">
        <v>45901</v>
      </c>
      <c r="J461" s="652">
        <v>45930</v>
      </c>
      <c r="K461" s="654">
        <v>370679.4</v>
      </c>
      <c r="L461" s="398">
        <f>Tabela13[[#This Row],[VALOR
 BRUTO ]]-Tabela13[[#This Row],[VALOR 
LIQUIDO ]]</f>
        <v>17792.61</v>
      </c>
      <c r="M461" s="399">
        <f>Tabela13[[#This Row],[VALORES PAGOS 
(FORMA PAGTO)]]</f>
        <v>352886.79</v>
      </c>
      <c r="N461" s="652">
        <v>45990</v>
      </c>
      <c r="O461" s="385">
        <v>352886.79</v>
      </c>
      <c r="P461" s="653">
        <v>46013</v>
      </c>
      <c r="Q461" s="197" t="str" cm="1">
        <f t="array" aca="1" ref="Q461" ca="1">IF($P461&lt;&gt;"","PAGO",IF($N461&lt;TODAY(),"ATRASADO",IF($N461&gt;TODAY(),"NO PRAZO",IF($N461=TODAY(),"NO PRAZO",SE))))</f>
        <v>PAGO</v>
      </c>
      <c r="R461" s="150" t="str">
        <f t="shared" ca="1" si="7"/>
        <v/>
      </c>
      <c r="S461" s="730"/>
      <c r="T461" s="112"/>
      <c r="U461" s="656">
        <f ca="1">SUBTOTAL(3,Tabela13[[#This Row],[STATUS]])</f>
        <v>1</v>
      </c>
    </row>
    <row r="462" spans="1:21" ht="27.75" customHeight="1">
      <c r="A462" s="652">
        <v>45961</v>
      </c>
      <c r="B462" s="105">
        <v>60979</v>
      </c>
      <c r="C462" s="688" t="str">
        <f>IFERROR(VLOOKUP(Tabela13[[#This Row],[CÓD. EMPRESA]],Tabela3[[CÓDIGO
 EMPRESA ]:[EMPRESA]],2,FALSE),"")</f>
        <v>SILCON AMBIENTAL S/A</v>
      </c>
      <c r="D462" s="112" t="s">
        <v>355</v>
      </c>
      <c r="E462" s="112" t="s">
        <v>463</v>
      </c>
      <c r="F462" s="491">
        <v>21700</v>
      </c>
      <c r="G462" s="411">
        <v>40614</v>
      </c>
      <c r="H462" s="165" t="s">
        <v>53</v>
      </c>
      <c r="I462" s="653">
        <v>45901</v>
      </c>
      <c r="J462" s="652">
        <v>45930</v>
      </c>
      <c r="K462" s="654">
        <v>8124.48</v>
      </c>
      <c r="L462" s="398">
        <f>Tabela13[[#This Row],[VALOR
 BRUTO ]]-Tabela13[[#This Row],[VALOR 
LIQUIDO ]]</f>
        <v>389.98</v>
      </c>
      <c r="M462" s="399">
        <f>Tabela13[[#This Row],[VALORES PAGOS 
(FORMA PAGTO)]]</f>
        <v>7734.5</v>
      </c>
      <c r="N462" s="652">
        <v>45990</v>
      </c>
      <c r="O462" s="655">
        <v>7734.5</v>
      </c>
      <c r="P462" s="653">
        <v>45994</v>
      </c>
      <c r="Q462" s="197" t="str" cm="1">
        <f t="array" aca="1" ref="Q462" ca="1">IF($P462&lt;&gt;"","PAGO",IF($N462&lt;TODAY(),"ATRASADO",IF($N462&gt;TODAY(),"NO PRAZO",IF($N462=TODAY(),"NO PRAZO",SE))))</f>
        <v>PAGO</v>
      </c>
      <c r="R462" s="150" t="str">
        <f t="shared" ca="1" si="7"/>
        <v/>
      </c>
      <c r="S462" s="730"/>
      <c r="T462" s="112"/>
      <c r="U462" s="656">
        <f ca="1">SUBTOTAL(3,Tabela13[[#This Row],[STATUS]])</f>
        <v>1</v>
      </c>
    </row>
    <row r="463" spans="1:21" ht="24" customHeight="1">
      <c r="A463" s="652">
        <v>45961</v>
      </c>
      <c r="B463" s="105">
        <v>60979</v>
      </c>
      <c r="C463" s="688" t="str">
        <f>IFERROR(VLOOKUP(Tabela13[[#This Row],[CÓD. EMPRESA]],Tabela3[[CÓDIGO
 EMPRESA ]:[EMPRESA]],2,FALSE),"")</f>
        <v>SILCON AMBIENTAL S/A</v>
      </c>
      <c r="D463" s="112" t="s">
        <v>355</v>
      </c>
      <c r="E463" s="112" t="s">
        <v>463</v>
      </c>
      <c r="F463" s="491">
        <v>21700</v>
      </c>
      <c r="G463" s="411">
        <v>40616</v>
      </c>
      <c r="H463" s="165" t="s">
        <v>53</v>
      </c>
      <c r="I463" s="653">
        <v>45901</v>
      </c>
      <c r="J463" s="652">
        <v>45930</v>
      </c>
      <c r="K463" s="654">
        <v>81829.47</v>
      </c>
      <c r="L463" s="398">
        <f>Tabela13[[#This Row],[VALOR
 BRUTO ]]-Tabela13[[#This Row],[VALOR 
LIQUIDO ]]</f>
        <v>0</v>
      </c>
      <c r="M463" s="399">
        <f>Tabela13[[#This Row],[VALORES PAGOS 
(FORMA PAGTO)]]</f>
        <v>81829.47</v>
      </c>
      <c r="N463" s="652">
        <v>45990</v>
      </c>
      <c r="O463" s="654">
        <v>81829.47</v>
      </c>
      <c r="P463" s="653">
        <v>45994</v>
      </c>
      <c r="Q463" s="197" t="str" cm="1">
        <f t="array" aca="1" ref="Q463" ca="1">IF($P463&lt;&gt;"","PAGO",IF($N463&lt;TODAY(),"ATRASADO",IF($N463&gt;TODAY(),"NO PRAZO",IF($N463=TODAY(),"NO PRAZO",SE))))</f>
        <v>PAGO</v>
      </c>
      <c r="R463" s="150" t="str">
        <f t="shared" ca="1" si="7"/>
        <v/>
      </c>
      <c r="S463" s="730"/>
      <c r="T463" s="112"/>
      <c r="U463" s="656">
        <f ca="1">SUBTOTAL(3,Tabela13[[#This Row],[STATUS]])</f>
        <v>1</v>
      </c>
    </row>
    <row r="464" spans="1:21" ht="24" customHeight="1">
      <c r="A464" s="652">
        <v>45961</v>
      </c>
      <c r="B464" s="105">
        <v>60979</v>
      </c>
      <c r="C464" s="688" t="str">
        <f>IFERROR(VLOOKUP(Tabela13[[#This Row],[CÓD. EMPRESA]],Tabela3[[CÓDIGO
 EMPRESA ]:[EMPRESA]],2,FALSE),"")</f>
        <v>SILCON AMBIENTAL S/A</v>
      </c>
      <c r="D464" s="112" t="s">
        <v>355</v>
      </c>
      <c r="E464" s="112" t="s">
        <v>463</v>
      </c>
      <c r="F464" s="491">
        <v>19658</v>
      </c>
      <c r="G464" s="411">
        <v>40616</v>
      </c>
      <c r="H464" s="165" t="s">
        <v>53</v>
      </c>
      <c r="I464" s="653">
        <v>45901</v>
      </c>
      <c r="J464" s="652">
        <v>45930</v>
      </c>
      <c r="K464" s="654">
        <v>112081.9</v>
      </c>
      <c r="L464" s="398">
        <f>Tabela13[[#This Row],[VALOR
 BRUTO ]]-Tabela13[[#This Row],[VALOR 
LIQUIDO ]]</f>
        <v>51400.88</v>
      </c>
      <c r="M464" s="399">
        <f>Tabela13[[#This Row],[VALORES PAGOS 
(FORMA PAGTO)]]</f>
        <v>60681.02</v>
      </c>
      <c r="N464" s="652">
        <v>45990</v>
      </c>
      <c r="O464" s="654">
        <v>60681.02</v>
      </c>
      <c r="P464" s="653">
        <v>45994</v>
      </c>
      <c r="Q464" s="197" t="str" cm="1">
        <f t="array" aca="1" ref="Q464" ca="1">IF($P464&lt;&gt;"","PAGO",IF($N464&lt;TODAY(),"ATRASADO",IF($N464&gt;TODAY(),"NO PRAZO",IF($N464=TODAY(),"NO PRAZO",SE))))</f>
        <v>PAGO</v>
      </c>
      <c r="R464" s="150" t="str">
        <f t="shared" ca="1" si="7"/>
        <v/>
      </c>
      <c r="S464" s="730"/>
      <c r="T464" s="112"/>
      <c r="U464" s="656">
        <f ca="1">SUBTOTAL(3,Tabela13[[#This Row],[STATUS]])</f>
        <v>1</v>
      </c>
    </row>
    <row r="465" spans="1:23" ht="24.75" customHeight="1">
      <c r="A465" s="652">
        <v>45961</v>
      </c>
      <c r="B465" s="105">
        <v>60979</v>
      </c>
      <c r="C465" s="688" t="str">
        <f>IFERROR(VLOOKUP(Tabela13[[#This Row],[CÓD. EMPRESA]],Tabela3[[CÓDIGO
 EMPRESA ]:[EMPRESA]],2,FALSE),"")</f>
        <v>SILCON AMBIENTAL S/A</v>
      </c>
      <c r="D465" s="112" t="s">
        <v>355</v>
      </c>
      <c r="E465" s="112" t="s">
        <v>463</v>
      </c>
      <c r="F465" s="491">
        <v>17162</v>
      </c>
      <c r="G465" s="411">
        <v>40616</v>
      </c>
      <c r="H465" s="165" t="s">
        <v>53</v>
      </c>
      <c r="I465" s="653">
        <v>45901</v>
      </c>
      <c r="J465" s="652">
        <v>45930</v>
      </c>
      <c r="K465" s="654">
        <v>53208.23</v>
      </c>
      <c r="L465" s="398">
        <f>Tabela13[[#This Row],[VALOR
 BRUTO ]]-Tabela13[[#This Row],[VALOR 
LIQUIDO ]]</f>
        <v>0</v>
      </c>
      <c r="M465" s="399">
        <f>Tabela13[[#This Row],[VALORES PAGOS 
(FORMA PAGTO)]]</f>
        <v>53208.23</v>
      </c>
      <c r="N465" s="652">
        <v>45990</v>
      </c>
      <c r="O465" s="654">
        <v>53208.23</v>
      </c>
      <c r="P465" s="653">
        <v>45994</v>
      </c>
      <c r="Q465" s="197" t="str" cm="1">
        <f t="array" aca="1" ref="Q465" ca="1">IF($P465&lt;&gt;"","PAGO",IF($N465&lt;TODAY(),"ATRASADO",IF($N465&gt;TODAY(),"NO PRAZO",IF($N465=TODAY(),"NO PRAZO",SE))))</f>
        <v>PAGO</v>
      </c>
      <c r="R465" s="150" t="str">
        <f t="shared" ca="1" si="7"/>
        <v/>
      </c>
      <c r="S465" s="730"/>
      <c r="T465" s="112"/>
      <c r="U465" s="656">
        <f ca="1">SUBTOTAL(3,Tabela13[[#This Row],[STATUS]])</f>
        <v>1</v>
      </c>
    </row>
    <row r="466" spans="1:23" ht="24.75" customHeight="1">
      <c r="A466" s="641">
        <v>45961</v>
      </c>
      <c r="B466" s="105">
        <v>58778</v>
      </c>
      <c r="C466" s="688" t="str">
        <f>IFERROR(VLOOKUP(Tabela13[[#This Row],[CÓD. EMPRESA]],Tabela3[[CÓDIGO
 EMPRESA ]:[EMPRESA]],2,FALSE),"")</f>
        <v>ATTEND AMBIENTAL S.A</v>
      </c>
      <c r="D466" s="112" t="s">
        <v>335</v>
      </c>
      <c r="E466" s="112" t="s">
        <v>592</v>
      </c>
      <c r="F466" s="491">
        <v>6826</v>
      </c>
      <c r="G466" s="411">
        <v>49530</v>
      </c>
      <c r="H466" s="165" t="s">
        <v>53</v>
      </c>
      <c r="I466" s="642">
        <v>45901</v>
      </c>
      <c r="J466" s="641">
        <v>45930</v>
      </c>
      <c r="K466" s="643">
        <v>41908.620000000003</v>
      </c>
      <c r="L466" s="398">
        <f>Tabela13[[#This Row],[VALOR
 BRUTO ]]-Tabela13[[#This Row],[VALOR 
LIQUIDO ]]</f>
        <v>2011.61</v>
      </c>
      <c r="M466" s="399">
        <f>Tabela13[[#This Row],[VALORES PAGOS 
(FORMA PAGTO)]]</f>
        <v>39897.01</v>
      </c>
      <c r="N466" s="641">
        <v>45983</v>
      </c>
      <c r="O466" s="385">
        <v>39897.01</v>
      </c>
      <c r="P466" s="642">
        <v>46007</v>
      </c>
      <c r="Q466" s="197" t="str" cm="1">
        <f t="array" aca="1" ref="Q466" ca="1">IF($P466&lt;&gt;"","PAGO",IF($N466&lt;TODAY(),"ATRASADO",IF($N466&gt;TODAY(),"NO PRAZO",IF($N466=TODAY(),"NO PRAZO",SE))))</f>
        <v>PAGO</v>
      </c>
      <c r="R466" s="150" t="str">
        <f t="shared" ca="1" si="7"/>
        <v/>
      </c>
      <c r="S466" s="924"/>
      <c r="T466" s="112"/>
      <c r="U466" s="645">
        <f ca="1">SUBTOTAL(3,Tabela13[[#This Row],[STATUS]])</f>
        <v>1</v>
      </c>
      <c r="W466" s="11"/>
    </row>
    <row r="467" spans="1:23" ht="23.25" customHeight="1">
      <c r="A467" s="926">
        <v>45965</v>
      </c>
      <c r="B467" s="927">
        <v>46901</v>
      </c>
      <c r="C467" s="928" t="str">
        <f>IFERROR(VLOOKUP(Tabela13[[#This Row],[CÓD. EMPRESA]],Tabela3[[CÓDIGO
 EMPRESA ]:[EMPRESA]],2,FALSE),"")</f>
        <v>LAVANDERIA PAULISTA LTDA</v>
      </c>
      <c r="D467" s="112" t="s">
        <v>739</v>
      </c>
      <c r="E467" s="112" t="s">
        <v>686</v>
      </c>
      <c r="F467" s="930">
        <v>21722</v>
      </c>
      <c r="G467" s="931">
        <v>29054</v>
      </c>
      <c r="H467" s="165" t="s">
        <v>53</v>
      </c>
      <c r="I467" s="932"/>
      <c r="J467" s="926"/>
      <c r="K467" s="933">
        <v>25594.799999999999</v>
      </c>
      <c r="L467" s="934">
        <f>Tabela13[[#This Row],[VALOR
 BRUTO ]]-Tabela13[[#This Row],[VALOR 
LIQUIDO ]]</f>
        <v>0</v>
      </c>
      <c r="M467" s="935">
        <f>Tabela13[[#This Row],[VALORES PAGOS 
(FORMA PAGTO)]]</f>
        <v>25594.799999999999</v>
      </c>
      <c r="N467" s="926">
        <v>45975</v>
      </c>
      <c r="O467" s="936">
        <v>25594.799999999999</v>
      </c>
      <c r="P467" s="932">
        <v>45975</v>
      </c>
      <c r="Q467" s="937" t="str" cm="1">
        <f t="array" aca="1" ref="Q467" ca="1">IF($P467&lt;&gt;"","PAGO",IF($N467&lt;TODAY(),"ATRASADO",IF($N467&gt;TODAY(),"NO PRAZO",IF($N467=TODAY(),"NO PRAZO",SE))))</f>
        <v>PAGO</v>
      </c>
      <c r="R467" s="259" t="str">
        <f t="shared" ca="1" si="7"/>
        <v/>
      </c>
      <c r="S467" s="929"/>
      <c r="T467" s="929"/>
      <c r="U467" s="938">
        <f ca="1">SUBTOTAL(3,Tabela13[[#This Row],[STATUS]])</f>
        <v>1</v>
      </c>
    </row>
    <row r="468" spans="1:23" ht="25.5" customHeight="1">
      <c r="A468" s="652">
        <v>45967</v>
      </c>
      <c r="B468" s="105">
        <v>67538</v>
      </c>
      <c r="C468" s="688" t="str">
        <f>IFERROR(VLOOKUP(Tabela13[[#This Row],[CÓD. EMPRESA]],Tabela3[[CÓDIGO
 EMPRESA ]:[EMPRESA]],2,FALSE),"")</f>
        <v>IGM2 METROLOGIA E MANUTENCAO LTDA</v>
      </c>
      <c r="D468" s="112" t="s">
        <v>344</v>
      </c>
      <c r="E468" s="112" t="s">
        <v>614</v>
      </c>
      <c r="F468" s="491">
        <v>11819</v>
      </c>
      <c r="G468" s="411">
        <v>11</v>
      </c>
      <c r="H468" s="165" t="s">
        <v>54</v>
      </c>
      <c r="I468" s="653"/>
      <c r="J468" s="652"/>
      <c r="K468" s="654">
        <v>1535.16</v>
      </c>
      <c r="L468" s="398">
        <f>Tabela13[[#This Row],[VALOR
 BRUTO ]]-Tabela13[[#This Row],[VALOR 
LIQUIDO ]]</f>
        <v>0</v>
      </c>
      <c r="M468" s="399">
        <f>Tabela13[[#This Row],[VALORES PAGOS 
(FORMA PAGTO)]]</f>
        <v>1535.16</v>
      </c>
      <c r="N468" s="652">
        <v>45995</v>
      </c>
      <c r="O468" s="654">
        <v>1535.16</v>
      </c>
      <c r="P468" s="653">
        <v>46023</v>
      </c>
      <c r="Q468" s="197" t="str" cm="1">
        <f t="array" aca="1" ref="Q468" ca="1">IF($P468&lt;&gt;"","PAGO",IF($N468&lt;TODAY(),"ATRASADO",IF($N468&gt;TODAY(),"NO PRAZO",IF($N468=TODAY(),"NO PRAZO",SE))))</f>
        <v>PAGO</v>
      </c>
      <c r="R468" s="150" t="str">
        <f t="shared" ca="1" si="7"/>
        <v/>
      </c>
      <c r="S468" s="730"/>
      <c r="T468" s="112"/>
      <c r="U468" s="656">
        <f ca="1">SUBTOTAL(3,Tabela13[[#This Row],[STATUS]])</f>
        <v>1</v>
      </c>
    </row>
    <row r="469" spans="1:23" ht="25.5" customHeight="1">
      <c r="A469" s="113">
        <v>45971</v>
      </c>
      <c r="B469" s="114">
        <v>46674</v>
      </c>
      <c r="C469" s="688" t="str">
        <f>IFERROR(VLOOKUP(Tabela13[[#This Row],[CÓD. EMPRESA]],Tabela3[[CÓDIGO
 EMPRESA ]:[EMPRESA]],2,FALSE),"")</f>
        <v>NOA SERVICOS E LOCACAO LTDA</v>
      </c>
      <c r="D469" s="112" t="s">
        <v>770</v>
      </c>
      <c r="E469" s="112" t="s">
        <v>771</v>
      </c>
      <c r="F469" s="196">
        <v>24951</v>
      </c>
      <c r="G469" s="109">
        <v>1580</v>
      </c>
      <c r="H469" s="165" t="s">
        <v>53</v>
      </c>
      <c r="I469" s="147">
        <v>45962</v>
      </c>
      <c r="J469" s="113">
        <v>45991</v>
      </c>
      <c r="K469" s="401">
        <v>140994</v>
      </c>
      <c r="L469" s="398">
        <f>Tabela13[[#This Row],[VALOR
 BRUTO ]]-Tabela13[[#This Row],[VALOR 
LIQUIDO ]]</f>
        <v>7331.68</v>
      </c>
      <c r="M469" s="703">
        <f>Tabela13[[#This Row],[VALORES PAGOS 
(FORMA PAGTO)]]</f>
        <v>133662.32</v>
      </c>
      <c r="N469" s="113">
        <v>45971</v>
      </c>
      <c r="O469" s="385">
        <v>133662.32</v>
      </c>
      <c r="P469" s="147">
        <v>46021</v>
      </c>
      <c r="Q469" s="197" t="str" cm="1">
        <f t="array" aca="1" ref="Q469" ca="1">IF($P469&lt;&gt;"","PAGO",IF($N469&lt;TODAY(),"ATRASADO",IF($N469&gt;TODAY(),"NO PRAZO",IF($N469=TODAY(),"NO PRAZO",SE))))</f>
        <v>PAGO</v>
      </c>
      <c r="R469" s="259" t="str">
        <f t="shared" ca="1" si="7"/>
        <v/>
      </c>
      <c r="S469" s="112"/>
      <c r="T469" s="112"/>
      <c r="U469" s="259">
        <f ca="1">SUBTOTAL(3,Tabela13[[#This Row],[STATUS]])</f>
        <v>1</v>
      </c>
    </row>
    <row r="470" spans="1:23" ht="28.5" customHeight="1">
      <c r="A470" s="113">
        <v>45971</v>
      </c>
      <c r="B470" s="114">
        <v>46674</v>
      </c>
      <c r="C470" s="688" t="str">
        <f>IFERROR(VLOOKUP(Tabela13[[#This Row],[CÓD. EMPRESA]],Tabela3[[CÓDIGO
 EMPRESA ]:[EMPRESA]],2,FALSE),"")</f>
        <v>NOA SERVICOS E LOCACAO LTDA</v>
      </c>
      <c r="D470" s="112" t="s">
        <v>770</v>
      </c>
      <c r="E470" s="112" t="s">
        <v>771</v>
      </c>
      <c r="F470" s="196">
        <v>24951</v>
      </c>
      <c r="G470" s="109">
        <v>1612</v>
      </c>
      <c r="H470" s="165" t="s">
        <v>53</v>
      </c>
      <c r="I470" s="147">
        <v>45992</v>
      </c>
      <c r="J470" s="113">
        <v>46022</v>
      </c>
      <c r="K470" s="401">
        <v>129311.64</v>
      </c>
      <c r="L470" s="398">
        <f>Tabela13[[#This Row],[VALOR
 BRUTO ]]-Tabela13[[#This Row],[VALOR 
LIQUIDO ]]</f>
        <v>6724.2</v>
      </c>
      <c r="M470" s="703">
        <f>Tabela13[[#This Row],[VALORES PAGOS 
(FORMA PAGTO)]]</f>
        <v>122587.44</v>
      </c>
      <c r="N470" s="113">
        <v>45971</v>
      </c>
      <c r="O470" s="385">
        <v>122587.44</v>
      </c>
      <c r="P470" s="147">
        <v>46021</v>
      </c>
      <c r="Q470" s="197" t="str" cm="1">
        <f t="array" aca="1" ref="Q470" ca="1">IF($P470&lt;&gt;"","PAGO",IF($N470&lt;TODAY(),"ATRASADO",IF($N470&gt;TODAY(),"NO PRAZO",IF($N470=TODAY(),"NO PRAZO",SE))))</f>
        <v>PAGO</v>
      </c>
      <c r="R470" s="259" t="str">
        <f t="shared" ca="1" si="7"/>
        <v/>
      </c>
      <c r="S470" s="112"/>
      <c r="T470" s="112"/>
      <c r="U470" s="259">
        <f ca="1">SUBTOTAL(3,Tabela13[[#This Row],[STATUS]])</f>
        <v>1</v>
      </c>
    </row>
    <row r="471" spans="1:23" ht="24.75" customHeight="1">
      <c r="A471" s="652">
        <v>45972</v>
      </c>
      <c r="B471" s="105">
        <v>68004</v>
      </c>
      <c r="C471" s="688" t="str">
        <f>IFERROR(VLOOKUP(Tabela13[[#This Row],[CÓD. EMPRESA]],Tabela3[[CÓDIGO
 EMPRESA ]:[EMPRESA]],2,FALSE),"")</f>
        <v>VB AMBIENTAL CONSULTORIA E PROJETOS LTDA-ME</v>
      </c>
      <c r="D471" s="112" t="s">
        <v>349</v>
      </c>
      <c r="E471" s="112" t="s">
        <v>489</v>
      </c>
      <c r="F471" s="491">
        <v>21442</v>
      </c>
      <c r="G471" s="411">
        <v>2157</v>
      </c>
      <c r="H471" s="165" t="s">
        <v>54</v>
      </c>
      <c r="I471" s="653">
        <v>45809</v>
      </c>
      <c r="J471" s="652">
        <v>45930</v>
      </c>
      <c r="K471" s="654">
        <v>2052.6</v>
      </c>
      <c r="L471" s="398">
        <f>Tabela13[[#This Row],[VALOR
 BRUTO ]]-Tabela13[[#This Row],[VALOR 
LIQUIDO ]]</f>
        <v>98.52</v>
      </c>
      <c r="M471" s="399">
        <f>Tabela13[[#This Row],[VALORES PAGOS 
(FORMA PAGTO)]]</f>
        <v>1954.08</v>
      </c>
      <c r="N471" s="652">
        <v>45994</v>
      </c>
      <c r="O471" s="654">
        <v>1954.08</v>
      </c>
      <c r="P471" s="653">
        <v>46023</v>
      </c>
      <c r="Q471" s="197" t="str" cm="1">
        <f t="array" aca="1" ref="Q471" ca="1">IF($P471&lt;&gt;"","PAGO",IF($N471&lt;TODAY(),"ATRASADO",IF($N471&gt;TODAY(),"NO PRAZO",IF($N471=TODAY(),"NO PRAZO",SE))))</f>
        <v>PAGO</v>
      </c>
      <c r="R471" s="150" t="str">
        <f t="shared" ca="1" si="7"/>
        <v/>
      </c>
      <c r="S471" s="730"/>
      <c r="T471" s="112"/>
      <c r="U471" s="656">
        <f ca="1">SUBTOTAL(3,Tabela13[[#This Row],[STATUS]])</f>
        <v>1</v>
      </c>
    </row>
    <row r="472" spans="1:23" ht="30" customHeight="1">
      <c r="A472" s="113">
        <v>45972</v>
      </c>
      <c r="B472" s="105">
        <v>121973</v>
      </c>
      <c r="C472" s="688" t="str">
        <f>IFERROR(VLOOKUP(Tabela13[[#This Row],[CÓD. EMPRESA]],Tabela3[[CÓDIGO
 EMPRESA ]:[EMPRESA]],2,FALSE),"")</f>
        <v>CONSORCIO CENTRO DE TRATAMENTO DE RESIDUOS GUARULHOS</v>
      </c>
      <c r="D472" s="112" t="s">
        <v>446</v>
      </c>
      <c r="E472" s="112" t="s">
        <v>564</v>
      </c>
      <c r="F472" s="491">
        <v>19160</v>
      </c>
      <c r="G472" s="411">
        <v>10</v>
      </c>
      <c r="H472" s="165" t="s">
        <v>53</v>
      </c>
      <c r="I472" s="147">
        <v>45901</v>
      </c>
      <c r="J472" s="113">
        <v>45930</v>
      </c>
      <c r="K472" s="401">
        <v>1421238.49</v>
      </c>
      <c r="L472" s="398">
        <f>Tabela13[[#This Row],[VALOR
 BRUTO ]]-Tabela13[[#This Row],[VALOR 
LIQUIDO ]]-M473</f>
        <v>139281.37</v>
      </c>
      <c r="M472" s="399">
        <f>Tabela13[[#This Row],[VALORES PAGOS 
(FORMA PAGTO)]]</f>
        <v>1203789</v>
      </c>
      <c r="N472" s="113">
        <v>45982</v>
      </c>
      <c r="O472" s="385">
        <v>1203789</v>
      </c>
      <c r="P472" s="147">
        <v>46010</v>
      </c>
      <c r="Q472" s="197" t="str" cm="1">
        <f t="array" aca="1" ref="Q472" ca="1">IF($P472&lt;&gt;"","PAGO",IF($N472&lt;TODAY(),"ATRASADO",IF($N472&gt;TODAY(),"NO PRAZO",IF($N472=TODAY(),"NO PRAZO",SE))))</f>
        <v>PAGO</v>
      </c>
      <c r="R472" s="150" t="str">
        <f t="shared" ca="1" si="7"/>
        <v/>
      </c>
      <c r="S472" s="241"/>
      <c r="T472" s="112"/>
      <c r="U472" s="259">
        <f ca="1">SUBTOTAL(3,Tabela13[[#This Row],[STATUS]])</f>
        <v>1</v>
      </c>
    </row>
    <row r="473" spans="1:23" ht="23.25" customHeight="1">
      <c r="A473" s="113">
        <v>45972</v>
      </c>
      <c r="B473" s="105">
        <v>121973</v>
      </c>
      <c r="C473" s="928" t="str">
        <f>IFERROR(VLOOKUP(Tabela13[[#This Row],[CÓD. EMPRESA]],Tabela3[[CÓDIGO
 EMPRESA ]:[EMPRESA]],2,FALSE),"")</f>
        <v>CONSORCIO CENTRO DE TRATAMENTO DE RESIDUOS GUARULHOS</v>
      </c>
      <c r="D473" s="112" t="s">
        <v>446</v>
      </c>
      <c r="E473" s="112" t="s">
        <v>564</v>
      </c>
      <c r="F473" s="491">
        <v>19160</v>
      </c>
      <c r="G473" s="411">
        <v>10</v>
      </c>
      <c r="H473" s="165" t="s">
        <v>53</v>
      </c>
      <c r="I473" s="147">
        <v>45901</v>
      </c>
      <c r="J473" s="113">
        <v>45930</v>
      </c>
      <c r="K473" s="933"/>
      <c r="L473" s="934"/>
      <c r="M473" s="935">
        <f>Tabela13[[#This Row],[VALORES PAGOS 
(FORMA PAGTO)]]</f>
        <v>78168.12</v>
      </c>
      <c r="N473" s="926">
        <v>45982</v>
      </c>
      <c r="O473" s="936">
        <v>78168.12</v>
      </c>
      <c r="P473" s="932">
        <v>46002</v>
      </c>
      <c r="Q473" s="937" t="str" cm="1">
        <f t="array" aca="1" ref="Q473" ca="1">IF($P473&lt;&gt;"","PAGO",IF($N473&lt;TODAY(),"ATRASADO",IF($N473&gt;TODAY(),"NO PRAZO",IF($N473=TODAY(),"NO PRAZO",SE))))</f>
        <v>PAGO</v>
      </c>
      <c r="R473" s="259" t="str">
        <f t="shared" ca="1" si="7"/>
        <v/>
      </c>
      <c r="S473" s="929"/>
      <c r="T473" s="929"/>
      <c r="U473" s="938">
        <f ca="1">SUBTOTAL(3,Tabela13[[#This Row],[STATUS]])</f>
        <v>1</v>
      </c>
    </row>
    <row r="474" spans="1:23" ht="23.25" customHeight="1">
      <c r="A474" s="652">
        <v>45972</v>
      </c>
      <c r="B474" s="105">
        <v>2808</v>
      </c>
      <c r="C474" s="688" t="str">
        <f>IFERROR(VLOOKUP(Tabela13[[#This Row],[CÓD. EMPRESA]],Tabela3[[CÓDIGO
 EMPRESA ]:[EMPRESA]],2,FALSE),"")</f>
        <v>EMPRESA BRASILEIRA DE CORREIOS E TELEGRAFOS</v>
      </c>
      <c r="D474" s="112" t="s">
        <v>34</v>
      </c>
      <c r="E474" s="112" t="s">
        <v>443</v>
      </c>
      <c r="F474" s="491">
        <v>17981</v>
      </c>
      <c r="G474" s="411">
        <v>3722172</v>
      </c>
      <c r="H474" s="165" t="s">
        <v>53</v>
      </c>
      <c r="I474" s="653">
        <v>45938</v>
      </c>
      <c r="J474" s="652">
        <v>45947</v>
      </c>
      <c r="K474" s="654">
        <v>4475.8</v>
      </c>
      <c r="L474" s="398">
        <f>Tabela13[[#This Row],[VALOR
 BRUTO ]]-Tabela13[[#This Row],[VALOR 
LIQUIDO ]]</f>
        <v>0</v>
      </c>
      <c r="M474" s="399">
        <f>Tabela13[[#This Row],[VALORES PAGOS 
(FORMA PAGTO)]]</f>
        <v>4475.8</v>
      </c>
      <c r="N474" s="652">
        <v>45982</v>
      </c>
      <c r="O474" s="655">
        <v>4475.8</v>
      </c>
      <c r="P474" s="653">
        <v>45980</v>
      </c>
      <c r="Q474" s="197" t="str" cm="1">
        <f t="array" aca="1" ref="Q474" ca="1">IF($P474&lt;&gt;"","PAGO",IF($N474&lt;TODAY(),"ATRASADO",IF($N474&gt;TODAY(),"NO PRAZO",IF($N474=TODAY(),"NO PRAZO",SE))))</f>
        <v>PAGO</v>
      </c>
      <c r="R474" s="150" t="str">
        <f t="shared" ca="1" si="7"/>
        <v/>
      </c>
      <c r="S474" s="730"/>
      <c r="T474" s="112"/>
      <c r="U474" s="656">
        <f ca="1">SUBTOTAL(3,Tabela13[[#This Row],[STATUS]])</f>
        <v>1</v>
      </c>
    </row>
    <row r="475" spans="1:23" ht="20.25" customHeight="1">
      <c r="A475" s="652">
        <v>45973</v>
      </c>
      <c r="B475" s="105">
        <v>69169</v>
      </c>
      <c r="C475" s="688" t="str">
        <f>IFERROR(VLOOKUP(Tabela13[[#This Row],[CÓD. EMPRESA]],Tabela3[[CÓDIGO
 EMPRESA ]:[EMPRESA]],2,FALSE),"")</f>
        <v>CECM PÂES LTDA</v>
      </c>
      <c r="D475" s="112" t="s">
        <v>702</v>
      </c>
      <c r="E475" s="112" t="s">
        <v>450</v>
      </c>
      <c r="F475" s="491">
        <v>3881</v>
      </c>
      <c r="G475" s="411">
        <v>19833</v>
      </c>
      <c r="H475" s="165" t="s">
        <v>54</v>
      </c>
      <c r="I475" s="653"/>
      <c r="J475" s="652"/>
      <c r="K475" s="654">
        <v>2480.4</v>
      </c>
      <c r="L475" s="398">
        <f>Tabela13[[#This Row],[VALOR
 BRUTO ]]-Tabela13[[#This Row],[VALOR 
LIQUIDO ]]</f>
        <v>0</v>
      </c>
      <c r="M475" s="399">
        <f>Tabela13[[#This Row],[VALORES PAGOS 
(FORMA PAGTO)]]</f>
        <v>2480.4</v>
      </c>
      <c r="N475" s="652">
        <v>46000</v>
      </c>
      <c r="O475" s="655">
        <v>2480.4</v>
      </c>
      <c r="P475" s="653">
        <v>46023</v>
      </c>
      <c r="Q475" s="197" t="str" cm="1">
        <f t="array" aca="1" ref="Q475" ca="1">IF($P475&lt;&gt;"","PAGO",IF($N475&lt;TODAY(),"ATRASADO",IF($N475&gt;TODAY(),"NO PRAZO",IF($N475=TODAY(),"NO PRAZO",SE))))</f>
        <v>PAGO</v>
      </c>
      <c r="R475" s="150" t="str">
        <f t="shared" ca="1" si="7"/>
        <v/>
      </c>
      <c r="S475" s="730"/>
      <c r="T475" s="112"/>
      <c r="U475" s="656">
        <f ca="1">SUBTOTAL(3,Tabela13[[#This Row],[STATUS]])</f>
        <v>1</v>
      </c>
    </row>
    <row r="476" spans="1:23" ht="24" customHeight="1">
      <c r="A476" s="113">
        <v>45973</v>
      </c>
      <c r="B476" s="105">
        <v>69169</v>
      </c>
      <c r="C476" s="688" t="str">
        <f>IFERROR(VLOOKUP(Tabela13[[#This Row],[CÓD. EMPRESA]],Tabela3[[CÓDIGO
 EMPRESA ]:[EMPRESA]],2,FALSE),"")</f>
        <v>CECM PÂES LTDA</v>
      </c>
      <c r="D476" s="112" t="s">
        <v>702</v>
      </c>
      <c r="E476" s="112" t="s">
        <v>450</v>
      </c>
      <c r="F476" s="491">
        <v>21704</v>
      </c>
      <c r="G476" s="411">
        <v>19833</v>
      </c>
      <c r="H476" s="165" t="s">
        <v>54</v>
      </c>
      <c r="I476" s="147"/>
      <c r="J476" s="113"/>
      <c r="K476" s="401">
        <v>5338.8</v>
      </c>
      <c r="L476" s="398">
        <f>Tabela13[[#This Row],[VALOR
 BRUTO ]]-Tabela13[[#This Row],[VALOR 
LIQUIDO ]]</f>
        <v>0</v>
      </c>
      <c r="M476" s="399">
        <f>Tabela13[[#This Row],[VALORES PAGOS 
(FORMA PAGTO)]]</f>
        <v>5338.8</v>
      </c>
      <c r="N476" s="113">
        <v>46000</v>
      </c>
      <c r="O476" s="385">
        <v>5338.8</v>
      </c>
      <c r="P476" s="147">
        <v>46023</v>
      </c>
      <c r="Q476" s="197" t="str" cm="1">
        <f t="array" aca="1" ref="Q476" ca="1">IF($P476&lt;&gt;"","PAGO",IF($N476&lt;TODAY(),"ATRASADO",IF($N476&gt;TODAY(),"NO PRAZO",IF($N476=TODAY(),"NO PRAZO",SE))))</f>
        <v>PAGO</v>
      </c>
      <c r="R476" s="150" t="str">
        <f t="shared" ca="1" si="7"/>
        <v/>
      </c>
      <c r="S476" s="241"/>
      <c r="T476" s="112"/>
      <c r="U476" s="259">
        <f ca="1">SUBTOTAL(3,Tabela13[[#This Row],[STATUS]])</f>
        <v>1</v>
      </c>
    </row>
    <row r="477" spans="1:23" ht="24" customHeight="1">
      <c r="A477" s="885">
        <v>45974</v>
      </c>
      <c r="B477" s="920">
        <v>119166</v>
      </c>
      <c r="C477" s="688" t="str">
        <f>IFERROR(VLOOKUP(Tabela13[[#This Row],[CÓD. EMPRESA]],Tabela3[[CÓDIGO
 EMPRESA ]:[EMPRESA]],2,FALSE),"")</f>
        <v>COOPERATIVA DE TRABALHO DE CATADORES E CATADORAS DE MATERIAL DE RECICLAGEM VILA RENATA CRV</v>
      </c>
      <c r="D477" s="112" t="s">
        <v>347</v>
      </c>
      <c r="E477" s="112" t="s">
        <v>536</v>
      </c>
      <c r="F477" s="922">
        <v>21705</v>
      </c>
      <c r="G477" s="923">
        <v>10</v>
      </c>
      <c r="H477" s="165" t="s">
        <v>53</v>
      </c>
      <c r="I477" s="887">
        <v>45870</v>
      </c>
      <c r="J477" s="885">
        <v>45900</v>
      </c>
      <c r="K477" s="888">
        <v>6309.26</v>
      </c>
      <c r="L477" s="889">
        <f>Tabela13[[#This Row],[VALOR
 BRUTO ]]-Tabela13[[#This Row],[VALOR 
LIQUIDO ]]</f>
        <v>0</v>
      </c>
      <c r="M477" s="890">
        <f>Tabela13[[#This Row],[VALORES PAGOS 
(FORMA PAGTO)]]</f>
        <v>6309.26</v>
      </c>
      <c r="N477" s="885">
        <v>45974</v>
      </c>
      <c r="O477" s="891">
        <v>6309.26</v>
      </c>
      <c r="P477" s="887">
        <v>46007</v>
      </c>
      <c r="Q477" s="892" t="str" cm="1">
        <f t="array" aca="1" ref="Q477" ca="1">IF($P477&lt;&gt;"","PAGO",IF($N477&lt;TODAY(),"ATRASADO",IF($N477&gt;TODAY(),"NO PRAZO",IF($N477=TODAY(),"NO PRAZO",SE))))</f>
        <v>PAGO</v>
      </c>
      <c r="R477" s="259" t="str">
        <f t="shared" ca="1" si="7"/>
        <v/>
      </c>
      <c r="S477" s="887"/>
      <c r="T477" s="886"/>
      <c r="U477" s="893">
        <f ca="1">SUBTOTAL(3,Tabela13[[#This Row],[STATUS]])</f>
        <v>1</v>
      </c>
    </row>
    <row r="478" spans="1:23" ht="24" customHeight="1">
      <c r="A478" s="885">
        <v>45974</v>
      </c>
      <c r="B478" s="920">
        <v>119166</v>
      </c>
      <c r="C478" s="688" t="str">
        <f>IFERROR(VLOOKUP(Tabela13[[#This Row],[CÓD. EMPRESA]],Tabela3[[CÓDIGO
 EMPRESA ]:[EMPRESA]],2,FALSE),"")</f>
        <v>COOPERATIVA DE TRABALHO DE CATADORES E CATADORAS DE MATERIAL DE RECICLAGEM VILA RENATA CRV</v>
      </c>
      <c r="D478" s="112" t="s">
        <v>347</v>
      </c>
      <c r="E478" s="112" t="s">
        <v>536</v>
      </c>
      <c r="F478" s="922">
        <v>19180</v>
      </c>
      <c r="G478" s="923">
        <v>10</v>
      </c>
      <c r="H478" s="165" t="s">
        <v>53</v>
      </c>
      <c r="I478" s="887">
        <v>45870</v>
      </c>
      <c r="J478" s="885">
        <v>45900</v>
      </c>
      <c r="K478" s="888">
        <v>13702.56</v>
      </c>
      <c r="L478" s="889">
        <f>Tabela13[[#This Row],[VALOR
 BRUTO ]]-Tabela13[[#This Row],[VALOR 
LIQUIDO ]]</f>
        <v>1000.59</v>
      </c>
      <c r="M478" s="890">
        <f>Tabela13[[#This Row],[VALORES PAGOS 
(FORMA PAGTO)]]</f>
        <v>12701.97</v>
      </c>
      <c r="N478" s="885">
        <v>45974</v>
      </c>
      <c r="O478" s="891">
        <v>12701.97</v>
      </c>
      <c r="P478" s="887">
        <v>46007</v>
      </c>
      <c r="Q478" s="892" t="str" cm="1">
        <f t="array" aca="1" ref="Q478" ca="1">IF($P478&lt;&gt;"","PAGO",IF($N478&lt;TODAY(),"ATRASADO",IF($N478&gt;TODAY(),"NO PRAZO",IF($N478=TODAY(),"NO PRAZO",SE))))</f>
        <v>PAGO</v>
      </c>
      <c r="R478" s="259" t="str">
        <f t="shared" ca="1" si="7"/>
        <v/>
      </c>
      <c r="S478" s="887"/>
      <c r="T478" s="886"/>
      <c r="U478" s="893">
        <f ca="1">SUBTOTAL(3,Tabela13[[#This Row],[STATUS]])</f>
        <v>1</v>
      </c>
    </row>
    <row r="479" spans="1:23" ht="24" customHeight="1">
      <c r="A479" s="885">
        <v>45974</v>
      </c>
      <c r="B479" s="920">
        <v>119166</v>
      </c>
      <c r="C479" s="688" t="str">
        <f>IFERROR(VLOOKUP(Tabela13[[#This Row],[CÓD. EMPRESA]],Tabela3[[CÓDIGO
 EMPRESA ]:[EMPRESA]],2,FALSE),"")</f>
        <v>COOPERATIVA DE TRABALHO DE CATADORES E CATADORAS DE MATERIAL DE RECICLAGEM VILA RENATA CRV</v>
      </c>
      <c r="D479" s="112" t="s">
        <v>347</v>
      </c>
      <c r="E479" s="112" t="s">
        <v>536</v>
      </c>
      <c r="F479" s="922">
        <v>19180</v>
      </c>
      <c r="G479" s="923">
        <v>9</v>
      </c>
      <c r="H479" s="165" t="s">
        <v>53</v>
      </c>
      <c r="I479" s="887">
        <v>45839</v>
      </c>
      <c r="J479" s="885">
        <v>45869</v>
      </c>
      <c r="K479" s="888">
        <v>9900.74</v>
      </c>
      <c r="L479" s="889">
        <f>Tabela13[[#This Row],[VALOR
 BRUTO ]]-Tabela13[[#This Row],[VALOR 
LIQUIDO ]]</f>
        <v>0</v>
      </c>
      <c r="M479" s="890">
        <f>Tabela13[[#This Row],[VALORES PAGOS 
(FORMA PAGTO)]]</f>
        <v>9900.74</v>
      </c>
      <c r="N479" s="885">
        <v>45974</v>
      </c>
      <c r="O479" s="891">
        <v>9900.74</v>
      </c>
      <c r="P479" s="887">
        <v>46007</v>
      </c>
      <c r="Q479" s="892" t="str" cm="1">
        <f t="array" aca="1" ref="Q479" ca="1">IF($P479&lt;&gt;"","PAGO",IF($N479&lt;TODAY(),"ATRASADO",IF($N479&gt;TODAY(),"NO PRAZO",IF($N479=TODAY(),"NO PRAZO",SE))))</f>
        <v>PAGO</v>
      </c>
      <c r="R479" s="259" t="str">
        <f t="shared" ca="1" si="7"/>
        <v/>
      </c>
      <c r="S479" s="887"/>
      <c r="T479" s="886"/>
      <c r="U479" s="893">
        <f ca="1">SUBTOTAL(3,Tabela13[[#This Row],[STATUS]])</f>
        <v>1</v>
      </c>
    </row>
    <row r="480" spans="1:23" ht="22.5" customHeight="1">
      <c r="A480" s="113">
        <v>45974</v>
      </c>
      <c r="B480" s="920">
        <v>119166</v>
      </c>
      <c r="C480" s="688" t="str">
        <f>IFERROR(VLOOKUP(Tabela13[[#This Row],[CÓD. EMPRESA]],Tabela3[[CÓDIGO
 EMPRESA ]:[EMPRESA]],2,FALSE),"")</f>
        <v>COOPERATIVA DE TRABALHO DE CATADORES E CATADORAS DE MATERIAL DE RECICLAGEM VILA RENATA CRV</v>
      </c>
      <c r="D480" s="112" t="s">
        <v>347</v>
      </c>
      <c r="E480" s="112" t="s">
        <v>536</v>
      </c>
      <c r="F480" s="922">
        <v>11490</v>
      </c>
      <c r="G480" s="923">
        <v>9</v>
      </c>
      <c r="H480" s="165" t="s">
        <v>53</v>
      </c>
      <c r="I480" s="887">
        <v>45839</v>
      </c>
      <c r="J480" s="885">
        <v>45869</v>
      </c>
      <c r="K480" s="888">
        <v>13995.24</v>
      </c>
      <c r="L480" s="889">
        <f>Tabela13[[#This Row],[VALOR
 BRUTO ]]-Tabela13[[#This Row],[VALOR 
LIQUIDO ]]</f>
        <v>1194.8</v>
      </c>
      <c r="M480" s="890">
        <f>Tabela13[[#This Row],[VALORES PAGOS 
(FORMA PAGTO)]]</f>
        <v>12800.44</v>
      </c>
      <c r="N480" s="885">
        <v>45974</v>
      </c>
      <c r="O480" s="891">
        <v>12800.44</v>
      </c>
      <c r="P480" s="887">
        <v>46007</v>
      </c>
      <c r="Q480" s="892" t="str" cm="1">
        <f t="array" aca="1" ref="Q480" ca="1">IF($P480&lt;&gt;"","PAGO",IF($N480&lt;TODAY(),"ATRASADO",IF($N480&gt;TODAY(),"NO PRAZO",IF($N480=TODAY(),"NO PRAZO",SE))))</f>
        <v>PAGO</v>
      </c>
      <c r="R480" s="259" t="str">
        <f t="shared" ca="1" si="7"/>
        <v/>
      </c>
      <c r="S480" s="887"/>
      <c r="T480" s="886"/>
      <c r="U480" s="893">
        <f ca="1">SUBTOTAL(3,Tabela13[[#This Row],[STATUS]])</f>
        <v>1</v>
      </c>
    </row>
    <row r="481" spans="1:21" ht="24" customHeight="1">
      <c r="A481" s="885">
        <v>45974</v>
      </c>
      <c r="B481" s="920">
        <v>112466</v>
      </c>
      <c r="C481" s="688" t="str">
        <f>IFERROR(VLOOKUP(Tabela13[[#This Row],[CÓD. EMPRESA]],Tabela3[[CÓDIGO
 EMPRESA ]:[EMPRESA]],2,FALSE),"")</f>
        <v>COOPERATIVA DE TRABALHO DE RECICLAGEM ECO GUARULHOS</v>
      </c>
      <c r="D481" s="112" t="s">
        <v>337</v>
      </c>
      <c r="E481" s="112" t="s">
        <v>536</v>
      </c>
      <c r="F481" s="922">
        <v>21942</v>
      </c>
      <c r="G481" s="923">
        <v>32</v>
      </c>
      <c r="H481" s="165" t="s">
        <v>53</v>
      </c>
      <c r="I481" s="887">
        <v>45870</v>
      </c>
      <c r="J481" s="885">
        <v>45900</v>
      </c>
      <c r="K481" s="888">
        <v>11092.55</v>
      </c>
      <c r="L481" s="889">
        <f>Tabela13[[#This Row],[VALOR
 BRUTO ]]-Tabela13[[#This Row],[VALOR 
LIQUIDO ]]</f>
        <v>943.31</v>
      </c>
      <c r="M481" s="890">
        <f>Tabela13[[#This Row],[VALORES PAGOS 
(FORMA PAGTO)]]</f>
        <v>10149.24</v>
      </c>
      <c r="N481" s="885">
        <v>45974</v>
      </c>
      <c r="O481" s="891">
        <v>10149.24</v>
      </c>
      <c r="P481" s="887">
        <v>46007</v>
      </c>
      <c r="Q481" s="892" t="str" cm="1">
        <f t="array" aca="1" ref="Q481" ca="1">IF($P481&lt;&gt;"","PAGO",IF($N481&lt;TODAY(),"ATRASADO",IF($N481&gt;TODAY(),"NO PRAZO",IF($N481=TODAY(),"NO PRAZO",SE))))</f>
        <v>PAGO</v>
      </c>
      <c r="R481" s="259" t="str">
        <f t="shared" ca="1" si="7"/>
        <v/>
      </c>
      <c r="S481" s="887"/>
      <c r="T481" s="886"/>
      <c r="U481" s="893">
        <f ca="1">SUBTOTAL(3,Tabela13[[#This Row],[STATUS]])</f>
        <v>1</v>
      </c>
    </row>
    <row r="482" spans="1:21" ht="24" customHeight="1">
      <c r="A482" s="885">
        <v>45974</v>
      </c>
      <c r="B482" s="920">
        <v>112466</v>
      </c>
      <c r="C482" s="688" t="str">
        <f>IFERROR(VLOOKUP(Tabela13[[#This Row],[CÓD. EMPRESA]],Tabela3[[CÓDIGO
 EMPRESA ]:[EMPRESA]],2,FALSE),"")</f>
        <v>COOPERATIVA DE TRABALHO DE RECICLAGEM ECO GUARULHOS</v>
      </c>
      <c r="D482" s="112" t="s">
        <v>337</v>
      </c>
      <c r="E482" s="112" t="s">
        <v>536</v>
      </c>
      <c r="F482" s="922">
        <v>19175</v>
      </c>
      <c r="G482" s="923">
        <v>32</v>
      </c>
      <c r="H482" s="165" t="s">
        <v>53</v>
      </c>
      <c r="I482" s="887">
        <v>45870</v>
      </c>
      <c r="J482" s="885">
        <v>45900</v>
      </c>
      <c r="K482" s="888">
        <v>7773.64</v>
      </c>
      <c r="L482" s="889">
        <f>Tabela13[[#This Row],[VALOR
 BRUTO ]]-Tabela13[[#This Row],[VALOR 
LIQUIDO ]]</f>
        <v>0</v>
      </c>
      <c r="M482" s="890">
        <f>Tabela13[[#This Row],[VALORES PAGOS 
(FORMA PAGTO)]]</f>
        <v>7773.64</v>
      </c>
      <c r="N482" s="885">
        <v>45974</v>
      </c>
      <c r="O482" s="891">
        <v>7773.64</v>
      </c>
      <c r="P482" s="887">
        <v>46007</v>
      </c>
      <c r="Q482" s="892" t="str" cm="1">
        <f t="array" aca="1" ref="Q482" ca="1">IF($P482&lt;&gt;"","PAGO",IF($N482&lt;TODAY(),"ATRASADO",IF($N482&gt;TODAY(),"NO PRAZO",IF($N482=TODAY(),"NO PRAZO",SE))))</f>
        <v>PAGO</v>
      </c>
      <c r="R482" s="259" t="str">
        <f t="shared" ca="1" si="7"/>
        <v/>
      </c>
      <c r="S482" s="887"/>
      <c r="T482" s="886"/>
      <c r="U482" s="893">
        <f ca="1">SUBTOTAL(3,Tabela13[[#This Row],[STATUS]])</f>
        <v>1</v>
      </c>
    </row>
    <row r="483" spans="1:21" ht="24" customHeight="1">
      <c r="A483" s="885">
        <v>45974</v>
      </c>
      <c r="B483" s="920">
        <v>112466</v>
      </c>
      <c r="C483" s="688" t="str">
        <f>IFERROR(VLOOKUP(Tabela13[[#This Row],[CÓD. EMPRESA]],Tabela3[[CÓDIGO
 EMPRESA ]:[EMPRESA]],2,FALSE),"")</f>
        <v>COOPERATIVA DE TRABALHO DE RECICLAGEM ECO GUARULHOS</v>
      </c>
      <c r="D483" s="112" t="s">
        <v>337</v>
      </c>
      <c r="E483" s="112" t="s">
        <v>536</v>
      </c>
      <c r="F483" s="922">
        <v>19175</v>
      </c>
      <c r="G483" s="923">
        <v>30</v>
      </c>
      <c r="H483" s="165" t="s">
        <v>53</v>
      </c>
      <c r="I483" s="887">
        <v>45839</v>
      </c>
      <c r="J483" s="885">
        <v>45869</v>
      </c>
      <c r="K483" s="888">
        <v>15829.66</v>
      </c>
      <c r="L483" s="889">
        <f>Tabela13[[#This Row],[VALOR
 BRUTO ]]-Tabela13[[#This Row],[VALOR 
LIQUIDO ]]</f>
        <v>949.26</v>
      </c>
      <c r="M483" s="890">
        <f>Tabela13[[#This Row],[VALORES PAGOS 
(FORMA PAGTO)]]</f>
        <v>14880.4</v>
      </c>
      <c r="N483" s="885">
        <v>45974</v>
      </c>
      <c r="O483" s="891">
        <v>14880.4</v>
      </c>
      <c r="P483" s="887">
        <v>46007</v>
      </c>
      <c r="Q483" s="892" t="str" cm="1">
        <f t="array" aca="1" ref="Q483" ca="1">IF($P483&lt;&gt;"","PAGO",IF($N483&lt;TODAY(),"ATRASADO",IF($N483&gt;TODAY(),"NO PRAZO",IF($N483=TODAY(),"NO PRAZO",SE))))</f>
        <v>PAGO</v>
      </c>
      <c r="R483" s="259" t="str">
        <f t="shared" ca="1" si="7"/>
        <v/>
      </c>
      <c r="S483" s="887"/>
      <c r="T483" s="886"/>
      <c r="U483" s="893">
        <f ca="1">SUBTOTAL(3,Tabela13[[#This Row],[STATUS]])</f>
        <v>1</v>
      </c>
    </row>
    <row r="484" spans="1:21" ht="24" customHeight="1">
      <c r="A484" s="885">
        <v>45974</v>
      </c>
      <c r="B484" s="920">
        <v>112466</v>
      </c>
      <c r="C484" s="688" t="str">
        <f>IFERROR(VLOOKUP(Tabela13[[#This Row],[CÓD. EMPRESA]],Tabela3[[CÓDIGO
 EMPRESA ]:[EMPRESA]],2,FALSE),"")</f>
        <v>COOPERATIVA DE TRABALHO DE RECICLAGEM ECO GUARULHOS</v>
      </c>
      <c r="D484" s="112" t="s">
        <v>337</v>
      </c>
      <c r="E484" s="112" t="s">
        <v>536</v>
      </c>
      <c r="F484" s="922">
        <v>11491</v>
      </c>
      <c r="G484" s="923">
        <v>30</v>
      </c>
      <c r="H484" s="165" t="s">
        <v>53</v>
      </c>
      <c r="I484" s="887">
        <v>45839</v>
      </c>
      <c r="J484" s="885">
        <v>45869</v>
      </c>
      <c r="K484" s="888">
        <v>3155.49</v>
      </c>
      <c r="L484" s="889">
        <f>Tabela13[[#This Row],[VALOR
 BRUTO ]]-Tabela13[[#This Row],[VALOR 
LIQUIDO ]]</f>
        <v>0</v>
      </c>
      <c r="M484" s="890">
        <f>Tabela13[[#This Row],[VALORES PAGOS 
(FORMA PAGTO)]]</f>
        <v>3155.49</v>
      </c>
      <c r="N484" s="885">
        <v>45974</v>
      </c>
      <c r="O484" s="891">
        <v>3155.49</v>
      </c>
      <c r="P484" s="887">
        <v>46007</v>
      </c>
      <c r="Q484" s="892" t="str" cm="1">
        <f t="array" aca="1" ref="Q484" ca="1">IF($P484&lt;&gt;"","PAGO",IF($N484&lt;TODAY(),"ATRASADO",IF($N484&gt;TODAY(),"NO PRAZO",IF($N484=TODAY(),"NO PRAZO",SE))))</f>
        <v>PAGO</v>
      </c>
      <c r="R484" s="259" t="str">
        <f t="shared" ca="1" si="7"/>
        <v/>
      </c>
      <c r="S484" s="887"/>
      <c r="T484" s="886"/>
      <c r="U484" s="893">
        <f ca="1">SUBTOTAL(3,Tabela13[[#This Row],[STATUS]])</f>
        <v>1</v>
      </c>
    </row>
    <row r="485" spans="1:21" ht="24" customHeight="1">
      <c r="A485" s="885">
        <v>45974</v>
      </c>
      <c r="B485" s="920">
        <v>118247</v>
      </c>
      <c r="C485" s="688" t="str">
        <f>IFERROR(VLOOKUP(Tabela13[[#This Row],[CÓD. EMPRESA]],Tabela3[[CÓDIGO
 EMPRESA ]:[EMPRESA]],2,FALSE),"")</f>
        <v>COOPERATIVA DE TRABALHO DE CATADORAS DE CATADORES DE MATERIAIS RECICLAVEIS GUARULHOS RECICLA</v>
      </c>
      <c r="D485" s="112" t="s">
        <v>331</v>
      </c>
      <c r="E485" s="112" t="s">
        <v>497</v>
      </c>
      <c r="F485" s="922">
        <v>23502</v>
      </c>
      <c r="G485" s="109">
        <v>12</v>
      </c>
      <c r="H485" s="165" t="s">
        <v>53</v>
      </c>
      <c r="I485" s="887">
        <v>45901</v>
      </c>
      <c r="J485" s="885">
        <v>45930</v>
      </c>
      <c r="K485" s="401">
        <v>4319.92</v>
      </c>
      <c r="L485" s="889">
        <f>Tabela13[[#This Row],[VALOR
 BRUTO ]]-Tabela13[[#This Row],[VALOR 
LIQUIDO ]]</f>
        <v>0</v>
      </c>
      <c r="M485" s="890">
        <f>Tabela13[[#This Row],[VALORES PAGOS 
(FORMA PAGTO)]]</f>
        <v>4319.92</v>
      </c>
      <c r="N485" s="885">
        <v>45974</v>
      </c>
      <c r="O485" s="891">
        <v>4319.92</v>
      </c>
      <c r="P485" s="887">
        <v>46007</v>
      </c>
      <c r="Q485" s="892" t="str" cm="1">
        <f t="array" aca="1" ref="Q485" ca="1">IF($P485&lt;&gt;"","PAGO",IF($N485&lt;TODAY(),"ATRASADO",IF($N485&gt;TODAY(),"NO PRAZO",IF($N485=TODAY(),"NO PRAZO",SE))))</f>
        <v>PAGO</v>
      </c>
      <c r="R485" s="259" t="str">
        <f t="shared" ca="1" si="7"/>
        <v/>
      </c>
      <c r="S485" s="887"/>
      <c r="T485" s="886"/>
      <c r="U485" s="893">
        <f ca="1">SUBTOTAL(3,Tabela13[[#This Row],[STATUS]])</f>
        <v>1</v>
      </c>
    </row>
    <row r="486" spans="1:21" ht="24" customHeight="1">
      <c r="A486" s="885">
        <v>45974</v>
      </c>
      <c r="B486" s="920">
        <v>118247</v>
      </c>
      <c r="C486" s="688" t="str">
        <f>IFERROR(VLOOKUP(Tabela13[[#This Row],[CÓD. EMPRESA]],Tabela3[[CÓDIGO
 EMPRESA ]:[EMPRESA]],2,FALSE),"")</f>
        <v>COOPERATIVA DE TRABALHO DE CATADORAS DE CATADORES DE MATERIAIS RECICLAVEIS GUARULHOS RECICLA</v>
      </c>
      <c r="D486" s="112" t="s">
        <v>331</v>
      </c>
      <c r="E486" s="112" t="s">
        <v>497</v>
      </c>
      <c r="F486" s="922">
        <v>21707</v>
      </c>
      <c r="G486" s="109">
        <v>12</v>
      </c>
      <c r="H486" s="165" t="s">
        <v>53</v>
      </c>
      <c r="I486" s="887">
        <v>45901</v>
      </c>
      <c r="J486" s="885">
        <v>45930</v>
      </c>
      <c r="K486" s="401">
        <v>17486.11</v>
      </c>
      <c r="L486" s="889">
        <f>Tabela13[[#This Row],[VALOR
 BRUTO ]]-Tabela13[[#This Row],[VALOR 
LIQUIDO ]]</f>
        <v>1090.3</v>
      </c>
      <c r="M486" s="890">
        <f>Tabela13[[#This Row],[VALORES PAGOS 
(FORMA PAGTO)]]</f>
        <v>16395.810000000001</v>
      </c>
      <c r="N486" s="885">
        <v>45974</v>
      </c>
      <c r="O486" s="891">
        <v>16395.810000000001</v>
      </c>
      <c r="P486" s="887">
        <v>46007</v>
      </c>
      <c r="Q486" s="892" t="str" cm="1">
        <f t="array" aca="1" ref="Q486" ca="1">IF($P486&lt;&gt;"","PAGO",IF($N486&lt;TODAY(),"ATRASADO",IF($N486&gt;TODAY(),"NO PRAZO",IF($N486=TODAY(),"NO PRAZO",SE))))</f>
        <v>PAGO</v>
      </c>
      <c r="R486" s="259" t="str">
        <f t="shared" ca="1" si="7"/>
        <v/>
      </c>
      <c r="S486" s="887"/>
      <c r="T486" s="886"/>
      <c r="U486" s="893">
        <f ca="1">SUBTOTAL(3,Tabela13[[#This Row],[STATUS]])</f>
        <v>1</v>
      </c>
    </row>
    <row r="487" spans="1:21" ht="24" customHeight="1">
      <c r="A487" s="885">
        <v>45974</v>
      </c>
      <c r="B487" s="920">
        <v>118247</v>
      </c>
      <c r="C487" s="688" t="str">
        <f>IFERROR(VLOOKUP(Tabela13[[#This Row],[CÓD. EMPRESA]],Tabela3[[CÓDIGO
 EMPRESA ]:[EMPRESA]],2,FALSE),"")</f>
        <v>COOPERATIVA DE TRABALHO DE CATADORAS DE CATADORES DE MATERIAIS RECICLAVEIS GUARULHOS RECICLA</v>
      </c>
      <c r="D487" s="112" t="s">
        <v>331</v>
      </c>
      <c r="E487" s="112" t="s">
        <v>497</v>
      </c>
      <c r="F487" s="922">
        <v>21707</v>
      </c>
      <c r="G487" s="109">
        <v>11</v>
      </c>
      <c r="H487" s="165" t="s">
        <v>53</v>
      </c>
      <c r="I487" s="887">
        <v>45870</v>
      </c>
      <c r="J487" s="885">
        <v>45900</v>
      </c>
      <c r="K487" s="401">
        <v>31513.89</v>
      </c>
      <c r="L487" s="889">
        <f>Tabela13[[#This Row],[VALOR
 BRUTO ]]-Tabela13[[#This Row],[VALOR 
LIQUIDO ]]</f>
        <v>1802.78</v>
      </c>
      <c r="M487" s="890">
        <f>Tabela13[[#This Row],[VALORES PAGOS 
(FORMA PAGTO)]]</f>
        <v>29711.11</v>
      </c>
      <c r="N487" s="885">
        <v>45974</v>
      </c>
      <c r="O487" s="891">
        <v>29711.11</v>
      </c>
      <c r="P487" s="887">
        <v>46007</v>
      </c>
      <c r="Q487" s="892" t="str" cm="1">
        <f t="array" aca="1" ref="Q487" ca="1">IF($P487&lt;&gt;"","PAGO",IF($N487&lt;TODAY(),"ATRASADO",IF($N487&gt;TODAY(),"NO PRAZO",IF($N487=TODAY(),"NO PRAZO",SE))))</f>
        <v>PAGO</v>
      </c>
      <c r="R487" s="259" t="str">
        <f t="shared" ca="1" si="7"/>
        <v/>
      </c>
      <c r="S487" s="887"/>
      <c r="T487" s="886"/>
      <c r="U487" s="893">
        <f ca="1">SUBTOTAL(3,Tabela13[[#This Row],[STATUS]])</f>
        <v>1</v>
      </c>
    </row>
    <row r="488" spans="1:21" ht="24" customHeight="1">
      <c r="A488" s="885">
        <v>45974</v>
      </c>
      <c r="B488" s="920">
        <v>118247</v>
      </c>
      <c r="C488" s="688" t="str">
        <f>IFERROR(VLOOKUP(Tabela13[[#This Row],[CÓD. EMPRESA]],Tabela3[[CÓDIGO
 EMPRESA ]:[EMPRESA]],2,FALSE),"")</f>
        <v>COOPERATIVA DE TRABALHO DE CATADORAS DE CATADORES DE MATERIAIS RECICLAVEIS GUARULHOS RECICLA</v>
      </c>
      <c r="D488" s="112" t="s">
        <v>331</v>
      </c>
      <c r="E488" s="112" t="s">
        <v>536</v>
      </c>
      <c r="F488" s="922">
        <v>21207</v>
      </c>
      <c r="G488" s="109">
        <v>11</v>
      </c>
      <c r="H488" s="165" t="s">
        <v>53</v>
      </c>
      <c r="I488" s="887">
        <v>45870</v>
      </c>
      <c r="J488" s="885">
        <v>45900</v>
      </c>
      <c r="K488" s="401">
        <v>4541.79</v>
      </c>
      <c r="L488" s="889">
        <f>Tabela13[[#This Row],[VALOR
 BRUTO ]]-Tabela13[[#This Row],[VALOR 
LIQUIDO ]]</f>
        <v>0</v>
      </c>
      <c r="M488" s="890">
        <f>Tabela13[[#This Row],[VALORES PAGOS 
(FORMA PAGTO)]]</f>
        <v>4541.79</v>
      </c>
      <c r="N488" s="885">
        <v>45974</v>
      </c>
      <c r="O488" s="891">
        <v>4541.79</v>
      </c>
      <c r="P488" s="887">
        <v>46007</v>
      </c>
      <c r="Q488" s="892" t="str" cm="1">
        <f t="array" aca="1" ref="Q488" ca="1">IF($P488&lt;&gt;"","PAGO",IF($N488&lt;TODAY(),"ATRASADO",IF($N488&gt;TODAY(),"NO PRAZO",IF($N488=TODAY(),"NO PRAZO",SE))))</f>
        <v>PAGO</v>
      </c>
      <c r="R488" s="259" t="str">
        <f t="shared" ca="1" si="7"/>
        <v/>
      </c>
      <c r="S488" s="887"/>
      <c r="T488" s="886"/>
      <c r="U488" s="893">
        <f ca="1">SUBTOTAL(3,Tabela13[[#This Row],[STATUS]])</f>
        <v>1</v>
      </c>
    </row>
    <row r="489" spans="1:21" ht="24" customHeight="1">
      <c r="A489" s="885">
        <v>45974</v>
      </c>
      <c r="B489" s="920">
        <v>119152</v>
      </c>
      <c r="C489" s="688" t="str">
        <f>IFERROR(VLOOKUP(Tabela13[[#This Row],[CÓD. EMPRESA]],Tabela3[[CÓDIGO
 EMPRESA ]:[EMPRESA]],2,FALSE),"")</f>
        <v>COOPERATIVA DE TRABALHO DE CATADORAS E CATADORES DE MATERIAIS RECICLAVEIS SINERGIA BRASIL</v>
      </c>
      <c r="D489" s="112" t="s">
        <v>346</v>
      </c>
      <c r="E489" s="112" t="s">
        <v>499</v>
      </c>
      <c r="F489" s="922">
        <v>23505</v>
      </c>
      <c r="G489" s="923">
        <v>15</v>
      </c>
      <c r="H489" s="165" t="s">
        <v>53</v>
      </c>
      <c r="I489" s="887">
        <v>45901</v>
      </c>
      <c r="J489" s="885">
        <v>45930</v>
      </c>
      <c r="K489" s="888">
        <v>458.47</v>
      </c>
      <c r="L489" s="889">
        <f>Tabela13[[#This Row],[VALOR
 BRUTO ]]-Tabela13[[#This Row],[VALOR 
LIQUIDO ]]</f>
        <v>0</v>
      </c>
      <c r="M489" s="890">
        <f>Tabela13[[#This Row],[VALORES PAGOS 
(FORMA PAGTO)]]</f>
        <v>458.47</v>
      </c>
      <c r="N489" s="885">
        <v>45974</v>
      </c>
      <c r="O489" s="891">
        <v>458.47</v>
      </c>
      <c r="P489" s="887">
        <v>46023</v>
      </c>
      <c r="Q489" s="892" t="str" cm="1">
        <f t="array" aca="1" ref="Q489" ca="1">IF($P489&lt;&gt;"","PAGO",IF($N489&lt;TODAY(),"ATRASADO",IF($N489&gt;TODAY(),"NO PRAZO",IF($N489=TODAY(),"NO PRAZO",SE))))</f>
        <v>PAGO</v>
      </c>
      <c r="R489" s="259" t="str">
        <f t="shared" ca="1" si="7"/>
        <v/>
      </c>
      <c r="S489" s="887"/>
      <c r="T489" s="886"/>
      <c r="U489" s="893">
        <f ca="1">SUBTOTAL(3,Tabela13[[#This Row],[STATUS]])</f>
        <v>1</v>
      </c>
    </row>
    <row r="490" spans="1:21" ht="24" customHeight="1">
      <c r="A490" s="885">
        <v>45974</v>
      </c>
      <c r="B490" s="920">
        <v>119152</v>
      </c>
      <c r="C490" s="688" t="str">
        <f>IFERROR(VLOOKUP(Tabela13[[#This Row],[CÓD. EMPRESA]],Tabela3[[CÓDIGO
 EMPRESA ]:[EMPRESA]],2,FALSE),"")</f>
        <v>COOPERATIVA DE TRABALHO DE CATADORAS E CATADORES DE MATERIAIS RECICLAVEIS SINERGIA BRASIL</v>
      </c>
      <c r="D490" s="112" t="s">
        <v>346</v>
      </c>
      <c r="E490" s="112" t="s">
        <v>499</v>
      </c>
      <c r="F490" s="922">
        <v>21207</v>
      </c>
      <c r="G490" s="923">
        <v>15</v>
      </c>
      <c r="H490" s="165" t="s">
        <v>53</v>
      </c>
      <c r="I490" s="887">
        <v>45901</v>
      </c>
      <c r="J490" s="885">
        <v>45930</v>
      </c>
      <c r="K490" s="888">
        <v>27452.77</v>
      </c>
      <c r="L490" s="889">
        <f>Tabela13[[#This Row],[VALOR
 BRUTO ]]-Tabela13[[#This Row],[VALOR 
LIQUIDO ]]</f>
        <v>1395.56</v>
      </c>
      <c r="M490" s="890">
        <f>Tabela13[[#This Row],[VALORES PAGOS 
(FORMA PAGTO)]]</f>
        <v>26057.21</v>
      </c>
      <c r="N490" s="885">
        <v>45974</v>
      </c>
      <c r="O490" s="891">
        <v>26057.21</v>
      </c>
      <c r="P490" s="887">
        <v>46023</v>
      </c>
      <c r="Q490" s="892" t="str" cm="1">
        <f t="array" aca="1" ref="Q490" ca="1">IF($P490&lt;&gt;"","PAGO",IF($N490&lt;TODAY(),"ATRASADO",IF($N490&gt;TODAY(),"NO PRAZO",IF($N490=TODAY(),"NO PRAZO",SE))))</f>
        <v>PAGO</v>
      </c>
      <c r="R490" s="259" t="str">
        <f t="shared" ca="1" si="7"/>
        <v/>
      </c>
      <c r="S490" s="887"/>
      <c r="T490" s="886"/>
      <c r="U490" s="893">
        <f ca="1">SUBTOTAL(3,Tabela13[[#This Row],[STATUS]])</f>
        <v>1</v>
      </c>
    </row>
    <row r="491" spans="1:21" ht="24" customHeight="1">
      <c r="A491" s="885">
        <v>45974</v>
      </c>
      <c r="B491" s="920">
        <v>119152</v>
      </c>
      <c r="C491" s="688" t="str">
        <f>IFERROR(VLOOKUP(Tabela13[[#This Row],[CÓD. EMPRESA]],Tabela3[[CÓDIGO
 EMPRESA ]:[EMPRESA]],2,FALSE),"")</f>
        <v>COOPERATIVA DE TRABALHO DE CATADORAS E CATADORES DE MATERIAIS RECICLAVEIS SINERGIA BRASIL</v>
      </c>
      <c r="D491" s="112" t="s">
        <v>346</v>
      </c>
      <c r="E491" s="112" t="s">
        <v>499</v>
      </c>
      <c r="F491" s="922">
        <v>21940</v>
      </c>
      <c r="G491" s="923">
        <v>14</v>
      </c>
      <c r="H491" s="165" t="s">
        <v>53</v>
      </c>
      <c r="I491" s="887">
        <v>45870</v>
      </c>
      <c r="J491" s="885">
        <v>45900</v>
      </c>
      <c r="K491" s="888">
        <v>19756.830000000002</v>
      </c>
      <c r="L491" s="889">
        <f>Tabela13[[#This Row],[VALOR
 BRUTO ]]-Tabela13[[#This Row],[VALOR 
LIQUIDO ]]</f>
        <v>1270.77</v>
      </c>
      <c r="M491" s="890">
        <f>Tabela13[[#This Row],[VALORES PAGOS 
(FORMA PAGTO)]]</f>
        <v>18486.060000000001</v>
      </c>
      <c r="N491" s="885">
        <v>45974</v>
      </c>
      <c r="O491" s="891">
        <v>18486.060000000001</v>
      </c>
      <c r="P491" s="887">
        <v>46007</v>
      </c>
      <c r="Q491" s="892" t="str" cm="1">
        <f t="array" aca="1" ref="Q491" ca="1">IF($P491&lt;&gt;"","PAGO",IF($N491&lt;TODAY(),"ATRASADO",IF($N491&gt;TODAY(),"NO PRAZO",IF($N491=TODAY(),"NO PRAZO",SE))))</f>
        <v>PAGO</v>
      </c>
      <c r="R491" s="259" t="str">
        <f t="shared" ca="1" si="7"/>
        <v/>
      </c>
      <c r="S491" s="887"/>
      <c r="T491" s="886"/>
      <c r="U491" s="893">
        <f ca="1">SUBTOTAL(3,Tabela13[[#This Row],[STATUS]])</f>
        <v>1</v>
      </c>
    </row>
    <row r="492" spans="1:21" ht="24" customHeight="1">
      <c r="A492" s="885">
        <v>45974</v>
      </c>
      <c r="B492" s="920">
        <v>119152</v>
      </c>
      <c r="C492" s="688" t="str">
        <f>IFERROR(VLOOKUP(Tabela13[[#This Row],[CÓD. EMPRESA]],Tabela3[[CÓDIGO
 EMPRESA ]:[EMPRESA]],2,FALSE),"")</f>
        <v>COOPERATIVA DE TRABALHO DE CATADORAS E CATADORES DE MATERIAIS RECICLAVEIS SINERGIA BRASIL</v>
      </c>
      <c r="D492" s="112" t="s">
        <v>346</v>
      </c>
      <c r="E492" s="112" t="s">
        <v>499</v>
      </c>
      <c r="F492" s="922">
        <v>19176</v>
      </c>
      <c r="G492" s="923">
        <v>14</v>
      </c>
      <c r="H492" s="165" t="s">
        <v>53</v>
      </c>
      <c r="I492" s="887">
        <v>45870</v>
      </c>
      <c r="J492" s="885">
        <v>45900</v>
      </c>
      <c r="K492" s="888">
        <v>5658.53</v>
      </c>
      <c r="L492" s="889">
        <f>Tabela13[[#This Row],[VALOR
 BRUTO ]]-Tabela13[[#This Row],[VALOR 
LIQUIDO ]]</f>
        <v>0</v>
      </c>
      <c r="M492" s="890">
        <f>Tabela13[[#This Row],[VALORES PAGOS 
(FORMA PAGTO)]]</f>
        <v>5658.53</v>
      </c>
      <c r="N492" s="885">
        <v>45974</v>
      </c>
      <c r="O492" s="891">
        <v>5658.53</v>
      </c>
      <c r="P492" s="887">
        <v>46007</v>
      </c>
      <c r="Q492" s="892" t="str" cm="1">
        <f t="array" aca="1" ref="Q492" ca="1">IF($P492&lt;&gt;"","PAGO",IF($N492&lt;TODAY(),"ATRASADO",IF($N492&gt;TODAY(),"NO PRAZO",IF($N492=TODAY(),"NO PRAZO",SE))))</f>
        <v>PAGO</v>
      </c>
      <c r="R492" s="259" t="str">
        <f t="shared" ca="1" si="7"/>
        <v/>
      </c>
      <c r="S492" s="887"/>
      <c r="T492" s="886"/>
      <c r="U492" s="893">
        <f ca="1">SUBTOTAL(3,Tabela13[[#This Row],[STATUS]])</f>
        <v>1</v>
      </c>
    </row>
    <row r="493" spans="1:21" ht="24" customHeight="1">
      <c r="A493" s="885">
        <v>45978</v>
      </c>
      <c r="B493" s="920">
        <v>42326</v>
      </c>
      <c r="C493" s="921" t="str">
        <f>IFERROR(VLOOKUP(Tabela13[[#This Row],[CÓD. EMPRESA]],Tabela3[[CÓDIGO
 EMPRESA ]:[EMPRESA]],2,FALSE),"")</f>
        <v>CASAMAX COMERCIAL E SERVICOS LTDA</v>
      </c>
      <c r="D493" s="112" t="s">
        <v>703</v>
      </c>
      <c r="E493" s="112" t="s">
        <v>615</v>
      </c>
      <c r="F493" s="922">
        <v>23574</v>
      </c>
      <c r="G493" s="923">
        <v>11598</v>
      </c>
      <c r="H493" s="165" t="s">
        <v>54</v>
      </c>
      <c r="I493" s="887">
        <v>45901</v>
      </c>
      <c r="J493" s="885">
        <v>45930</v>
      </c>
      <c r="K493" s="888">
        <v>250998.75</v>
      </c>
      <c r="L493" s="889">
        <f>Tabela13[[#This Row],[VALOR
 BRUTO ]]-Tabela13[[#This Row],[VALOR 
LIQUIDO ]]</f>
        <v>0</v>
      </c>
      <c r="M493" s="890">
        <f>Tabela13[[#This Row],[VALORES PAGOS 
(FORMA PAGTO)]]</f>
        <v>250998.75</v>
      </c>
      <c r="N493" s="885">
        <v>46002</v>
      </c>
      <c r="O493" s="891">
        <v>250998.75</v>
      </c>
      <c r="P493" s="887"/>
      <c r="Q493" s="892" t="str" cm="1">
        <f t="array" aca="1" ref="Q493" ca="1">IF($P493&lt;&gt;"","PAGO",IF($N493&lt;TODAY(),"ATRASADO",IF($N493&gt;TODAY(),"NO PRAZO",IF($N493=TODAY(),"NO PRAZO",SE))))</f>
        <v>ATRASADO</v>
      </c>
      <c r="R493" s="259">
        <f t="shared" ca="1" si="7"/>
        <v>-61</v>
      </c>
      <c r="S493" s="886"/>
      <c r="T493" s="886"/>
      <c r="U493" s="893">
        <f ca="1">SUBTOTAL(3,Tabela13[[#This Row],[STATUS]])</f>
        <v>1</v>
      </c>
    </row>
    <row r="494" spans="1:21" ht="24" customHeight="1">
      <c r="A494" s="885">
        <v>45978</v>
      </c>
      <c r="B494" s="920">
        <v>42326</v>
      </c>
      <c r="C494" s="921" t="str">
        <f>IFERROR(VLOOKUP(Tabela13[[#This Row],[CÓD. EMPRESA]],Tabela3[[CÓDIGO
 EMPRESA ]:[EMPRESA]],2,FALSE),"")</f>
        <v>CASAMAX COMERCIAL E SERVICOS LTDA</v>
      </c>
      <c r="D494" s="112" t="s">
        <v>703</v>
      </c>
      <c r="E494" s="112" t="s">
        <v>615</v>
      </c>
      <c r="F494" s="922">
        <v>5709</v>
      </c>
      <c r="G494" s="923">
        <v>11598</v>
      </c>
      <c r="H494" s="165" t="s">
        <v>54</v>
      </c>
      <c r="I494" s="887">
        <v>45901</v>
      </c>
      <c r="J494" s="885">
        <v>45930</v>
      </c>
      <c r="K494" s="888">
        <v>46921.16</v>
      </c>
      <c r="L494" s="889">
        <f>Tabela13[[#This Row],[VALOR
 BRUTO ]]-Tabela13[[#This Row],[VALOR 
LIQUIDO ]]</f>
        <v>0</v>
      </c>
      <c r="M494" s="890">
        <f>Tabela13[[#This Row],[VALORES PAGOS 
(FORMA PAGTO)]]</f>
        <v>46921.16</v>
      </c>
      <c r="N494" s="885">
        <v>46002</v>
      </c>
      <c r="O494" s="891">
        <v>46921.16</v>
      </c>
      <c r="P494" s="887"/>
      <c r="Q494" s="892" t="str" cm="1">
        <f t="array" aca="1" ref="Q494" ca="1">IF($P494&lt;&gt;"","PAGO",IF($N494&lt;TODAY(),"ATRASADO",IF($N494&gt;TODAY(),"NO PRAZO",IF($N494=TODAY(),"NO PRAZO",SE))))</f>
        <v>ATRASADO</v>
      </c>
      <c r="R494" s="259">
        <f t="shared" ca="1" si="7"/>
        <v>-61</v>
      </c>
      <c r="S494" s="886"/>
      <c r="T494" s="886"/>
      <c r="U494" s="893">
        <f ca="1">SUBTOTAL(3,Tabela13[[#This Row],[STATUS]])</f>
        <v>1</v>
      </c>
    </row>
    <row r="495" spans="1:21" ht="24" customHeight="1">
      <c r="A495" s="885">
        <v>45978</v>
      </c>
      <c r="B495" s="920">
        <v>60979</v>
      </c>
      <c r="C495" s="921" t="str">
        <f>IFERROR(VLOOKUP(Tabela13[[#This Row],[CÓD. EMPRESA]],Tabela3[[CÓDIGO
 EMPRESA ]:[EMPRESA]],2,FALSE),"")</f>
        <v>SILCON AMBIENTAL S/A</v>
      </c>
      <c r="D495" s="112" t="s">
        <v>355</v>
      </c>
      <c r="E495" s="112" t="s">
        <v>463</v>
      </c>
      <c r="F495" s="922">
        <v>23577</v>
      </c>
      <c r="G495" s="923">
        <v>40886</v>
      </c>
      <c r="H495" s="165" t="s">
        <v>54</v>
      </c>
      <c r="I495" s="887">
        <v>45931</v>
      </c>
      <c r="J495" s="885">
        <v>45961</v>
      </c>
      <c r="K495" s="888">
        <v>11444.58</v>
      </c>
      <c r="L495" s="889">
        <f>Tabela13[[#This Row],[VALOR
 BRUTO ]]-Tabela13[[#This Row],[VALOR 
LIQUIDO ]]</f>
        <v>549.34</v>
      </c>
      <c r="M495" s="890">
        <f>Tabela13[[#This Row],[VALORES PAGOS 
(FORMA PAGTO)]]</f>
        <v>10895.24</v>
      </c>
      <c r="N495" s="885">
        <v>46008</v>
      </c>
      <c r="O495" s="891">
        <v>10895.24</v>
      </c>
      <c r="P495" s="887">
        <v>46023</v>
      </c>
      <c r="Q495" s="892" t="str" cm="1">
        <f t="array" aca="1" ref="Q495" ca="1">IF($P495&lt;&gt;"","PAGO",IF($N495&lt;TODAY(),"ATRASADO",IF($N495&gt;TODAY(),"NO PRAZO",IF($N495=TODAY(),"NO PRAZO",SE))))</f>
        <v>PAGO</v>
      </c>
      <c r="R495" s="259" t="str">
        <f t="shared" ca="1" si="7"/>
        <v/>
      </c>
      <c r="S495" s="887"/>
      <c r="T495" s="886"/>
      <c r="U495" s="893">
        <f ca="1">SUBTOTAL(3,Tabela13[[#This Row],[STATUS]])</f>
        <v>1</v>
      </c>
    </row>
    <row r="496" spans="1:21" ht="24" customHeight="1">
      <c r="A496" s="885">
        <v>45978</v>
      </c>
      <c r="B496" s="920">
        <v>60979</v>
      </c>
      <c r="C496" s="921" t="str">
        <f>IFERROR(VLOOKUP(Tabela13[[#This Row],[CÓD. EMPRESA]],Tabela3[[CÓDIGO
 EMPRESA ]:[EMPRESA]],2,FALSE),"")</f>
        <v>SILCON AMBIENTAL S/A</v>
      </c>
      <c r="D496" s="112" t="s">
        <v>355</v>
      </c>
      <c r="E496" s="112" t="s">
        <v>463</v>
      </c>
      <c r="F496" s="922">
        <v>23577</v>
      </c>
      <c r="G496" s="923">
        <v>40890</v>
      </c>
      <c r="H496" s="165" t="s">
        <v>54</v>
      </c>
      <c r="I496" s="887">
        <v>45931</v>
      </c>
      <c r="J496" s="885">
        <v>45961</v>
      </c>
      <c r="K496" s="888">
        <v>362164.32</v>
      </c>
      <c r="L496" s="889">
        <f>Tabela13[[#This Row],[VALOR
 BRUTO ]]-Tabela13[[#This Row],[VALOR 
LIQUIDO ]]</f>
        <v>0</v>
      </c>
      <c r="M496" s="890">
        <f>Tabela13[[#This Row],[VALORES PAGOS 
(FORMA PAGTO)]]</f>
        <v>362164.32</v>
      </c>
      <c r="N496" s="885">
        <v>46008</v>
      </c>
      <c r="O496" s="891">
        <v>362164.32</v>
      </c>
      <c r="P496" s="887"/>
      <c r="Q496" s="892" t="str" cm="1">
        <f t="array" aca="1" ref="Q496" ca="1">IF($P496&lt;&gt;"","PAGO",IF($N496&lt;TODAY(),"ATRASADO",IF($N496&gt;TODAY(),"NO PRAZO",IF($N496=TODAY(),"NO PRAZO",SE))))</f>
        <v>ATRASADO</v>
      </c>
      <c r="R496" s="259">
        <f t="shared" ca="1" si="7"/>
        <v>-55</v>
      </c>
      <c r="S496" s="886"/>
      <c r="T496" s="886"/>
      <c r="U496" s="893">
        <f ca="1">SUBTOTAL(3,Tabela13[[#This Row],[STATUS]])</f>
        <v>1</v>
      </c>
    </row>
    <row r="497" spans="1:23" ht="24" customHeight="1">
      <c r="A497" s="885">
        <v>45978</v>
      </c>
      <c r="B497" s="920">
        <v>60979</v>
      </c>
      <c r="C497" s="921" t="str">
        <f>IFERROR(VLOOKUP(Tabela13[[#This Row],[CÓD. EMPRESA]],Tabela3[[CÓDIGO
 EMPRESA ]:[EMPRESA]],2,FALSE),"")</f>
        <v>SILCON AMBIENTAL S/A</v>
      </c>
      <c r="D497" s="112" t="s">
        <v>355</v>
      </c>
      <c r="E497" s="112" t="s">
        <v>463</v>
      </c>
      <c r="F497" s="922">
        <v>23577</v>
      </c>
      <c r="G497" s="109">
        <v>40887</v>
      </c>
      <c r="H497" s="165" t="s">
        <v>54</v>
      </c>
      <c r="I497" s="887">
        <v>45931</v>
      </c>
      <c r="J497" s="885">
        <v>45961</v>
      </c>
      <c r="K497" s="888">
        <v>7629.72</v>
      </c>
      <c r="L497" s="889">
        <f>Tabela13[[#This Row],[VALOR
 BRUTO ]]-Tabela13[[#This Row],[VALOR 
LIQUIDO ]]</f>
        <v>1586.99</v>
      </c>
      <c r="M497" s="890">
        <f>Tabela13[[#This Row],[VALORES PAGOS 
(FORMA PAGTO)]]</f>
        <v>6042.73</v>
      </c>
      <c r="N497" s="885">
        <v>46008</v>
      </c>
      <c r="O497" s="891">
        <v>6042.73</v>
      </c>
      <c r="P497" s="887">
        <v>46023</v>
      </c>
      <c r="Q497" s="892" t="str" cm="1">
        <f t="array" aca="1" ref="Q497" ca="1">IF($P497&lt;&gt;"","PAGO",IF($N497&lt;TODAY(),"ATRASADO",IF($N497&gt;TODAY(),"NO PRAZO",IF($N497=TODAY(),"NO PRAZO",SE))))</f>
        <v>PAGO</v>
      </c>
      <c r="R497" s="259" t="str">
        <f t="shared" ca="1" si="7"/>
        <v/>
      </c>
      <c r="S497" s="887"/>
      <c r="T497" s="886"/>
      <c r="U497" s="893">
        <f ca="1">SUBTOTAL(3,Tabela13[[#This Row],[STATUS]])</f>
        <v>1</v>
      </c>
    </row>
    <row r="498" spans="1:23" ht="24" customHeight="1">
      <c r="A498" s="885">
        <v>45978</v>
      </c>
      <c r="B498" s="920">
        <v>60979</v>
      </c>
      <c r="C498" s="921" t="str">
        <f>IFERROR(VLOOKUP(Tabela13[[#This Row],[CÓD. EMPRESA]],Tabela3[[CÓDIGO
 EMPRESA ]:[EMPRESA]],2,FALSE),"")</f>
        <v>SILCON AMBIENTAL S/A</v>
      </c>
      <c r="D498" s="112" t="s">
        <v>704</v>
      </c>
      <c r="E498" s="112" t="s">
        <v>463</v>
      </c>
      <c r="F498" s="922">
        <v>21700</v>
      </c>
      <c r="G498" s="109">
        <v>40891</v>
      </c>
      <c r="H498" s="165" t="s">
        <v>54</v>
      </c>
      <c r="I498" s="887">
        <v>45931</v>
      </c>
      <c r="J498" s="885">
        <v>45961</v>
      </c>
      <c r="K498" s="888">
        <v>107391.61</v>
      </c>
      <c r="L498" s="889">
        <f>Tabela13[[#This Row],[VALOR
 BRUTO ]]-Tabela13[[#This Row],[VALOR 
LIQUIDO ]]</f>
        <v>23661.4</v>
      </c>
      <c r="M498" s="890">
        <f>Tabela13[[#This Row],[VALORES PAGOS 
(FORMA PAGTO)]]</f>
        <v>83730.210000000006</v>
      </c>
      <c r="N498" s="885">
        <v>46008</v>
      </c>
      <c r="O498" s="891">
        <v>83730.210000000006</v>
      </c>
      <c r="P498" s="887">
        <v>46056</v>
      </c>
      <c r="Q498" s="892" t="str" cm="1">
        <f t="array" aca="1" ref="Q498" ca="1">IF($P498&lt;&gt;"","PAGO",IF($N498&lt;TODAY(),"ATRASADO",IF($N498&gt;TODAY(),"NO PRAZO",IF($N498=TODAY(),"NO PRAZO",SE))))</f>
        <v>PAGO</v>
      </c>
      <c r="R498" s="259" t="str">
        <f t="shared" ca="1" si="7"/>
        <v/>
      </c>
      <c r="S498" s="887"/>
      <c r="T498" s="886"/>
      <c r="U498" s="893">
        <f ca="1">SUBTOTAL(3,Tabela13[[#This Row],[STATUS]])</f>
        <v>1</v>
      </c>
    </row>
    <row r="499" spans="1:23" ht="24" customHeight="1">
      <c r="A499" s="885">
        <v>45978</v>
      </c>
      <c r="B499" s="920">
        <v>119162</v>
      </c>
      <c r="C499" s="688" t="str">
        <f>IFERROR(VLOOKUP(Tabela13[[#This Row],[CÓD. EMPRESA]],Tabela3[[CÓDIGO
 EMPRESA ]:[EMPRESA]],2,FALSE),"")</f>
        <v>COOPERATIVA DE TRABALHO COLETA TRIAGEM BENEFICIAMENTO E COMERCIO DE MATERIAIS RECICLAVEIS NOVO CICLO</v>
      </c>
      <c r="D499" s="112" t="s">
        <v>343</v>
      </c>
      <c r="E499" s="112" t="s">
        <v>499</v>
      </c>
      <c r="F499" s="922">
        <v>11481</v>
      </c>
      <c r="G499" s="923">
        <v>15</v>
      </c>
      <c r="H499" s="165" t="s">
        <v>53</v>
      </c>
      <c r="I499" s="887">
        <v>45901</v>
      </c>
      <c r="J499" s="885">
        <v>45930</v>
      </c>
      <c r="K499" s="888">
        <v>2878.65</v>
      </c>
      <c r="L499" s="889">
        <f>Tabela13[[#This Row],[VALOR
 BRUTO ]]-Tabela13[[#This Row],[VALOR 
LIQUIDO ]]</f>
        <v>0</v>
      </c>
      <c r="M499" s="890">
        <f>Tabela13[[#This Row],[VALORES PAGOS 
(FORMA PAGTO)]]</f>
        <v>2878.65</v>
      </c>
      <c r="N499" s="885">
        <v>45979</v>
      </c>
      <c r="O499" s="891">
        <v>2878.65</v>
      </c>
      <c r="P499" s="887">
        <v>46007</v>
      </c>
      <c r="Q499" s="892" t="str" cm="1">
        <f t="array" aca="1" ref="Q499" ca="1">IF($P499&lt;&gt;"","PAGO",IF($N499&lt;TODAY(),"ATRASADO",IF($N499&gt;TODAY(),"NO PRAZO",IF($N499=TODAY(),"NO PRAZO",SE))))</f>
        <v>PAGO</v>
      </c>
      <c r="R499" s="259" t="str">
        <f t="shared" ca="1" si="7"/>
        <v/>
      </c>
      <c r="S499" s="887"/>
      <c r="T499" s="886"/>
      <c r="U499" s="893">
        <f ca="1">SUBTOTAL(3,Tabela13[[#This Row],[STATUS]])</f>
        <v>1</v>
      </c>
    </row>
    <row r="500" spans="1:23" ht="24" customHeight="1">
      <c r="A500" s="885">
        <v>45978</v>
      </c>
      <c r="B500" s="920">
        <v>68004</v>
      </c>
      <c r="C500" s="921" t="str">
        <f>IFERROR(VLOOKUP(Tabela13[[#This Row],[CÓD. EMPRESA]],Tabela3[[CÓDIGO
 EMPRESA ]:[EMPRESA]],2,FALSE),"")</f>
        <v>VB AMBIENTAL CONSULTORIA E PROJETOS LTDA-ME</v>
      </c>
      <c r="D500" s="112" t="s">
        <v>349</v>
      </c>
      <c r="E500" s="112" t="s">
        <v>489</v>
      </c>
      <c r="F500" s="922">
        <v>23489</v>
      </c>
      <c r="G500" s="923">
        <v>2160</v>
      </c>
      <c r="H500" s="165" t="s">
        <v>54</v>
      </c>
      <c r="I500" s="887">
        <v>45931</v>
      </c>
      <c r="J500" s="885">
        <v>45961</v>
      </c>
      <c r="K500" s="888">
        <v>3377.59</v>
      </c>
      <c r="L500" s="889">
        <f>Tabela13[[#This Row],[VALOR
 BRUTO ]]-Tabela13[[#This Row],[VALOR 
LIQUIDO ]]</f>
        <v>285.27999999999997</v>
      </c>
      <c r="M500" s="890">
        <f>Tabela13[[#This Row],[VALORES PAGOS 
(FORMA PAGTO)]]</f>
        <v>3092.31</v>
      </c>
      <c r="N500" s="885">
        <v>46001</v>
      </c>
      <c r="O500" s="891">
        <v>3092.31</v>
      </c>
      <c r="P500" s="887">
        <v>46023</v>
      </c>
      <c r="Q500" s="892" t="str" cm="1">
        <f t="array" aca="1" ref="Q500" ca="1">IF($P500&lt;&gt;"","PAGO",IF($N500&lt;TODAY(),"ATRASADO",IF($N500&gt;TODAY(),"NO PRAZO",IF($N500=TODAY(),"NO PRAZO",SE))))</f>
        <v>PAGO</v>
      </c>
      <c r="R500" s="259" t="str">
        <f t="shared" ca="1" si="7"/>
        <v/>
      </c>
      <c r="S500" s="887"/>
      <c r="T500" s="886"/>
      <c r="U500" s="893">
        <f ca="1">SUBTOTAL(3,Tabela13[[#This Row],[STATUS]])</f>
        <v>1</v>
      </c>
    </row>
    <row r="501" spans="1:23" ht="24" customHeight="1">
      <c r="A501" s="885">
        <v>45978</v>
      </c>
      <c r="B501" s="920">
        <v>68004</v>
      </c>
      <c r="C501" s="921" t="str">
        <f>IFERROR(VLOOKUP(Tabela13[[#This Row],[CÓD. EMPRESA]],Tabela3[[CÓDIGO
 EMPRESA ]:[EMPRESA]],2,FALSE),"")</f>
        <v>VB AMBIENTAL CONSULTORIA E PROJETOS LTDA-ME</v>
      </c>
      <c r="D501" s="112" t="s">
        <v>349</v>
      </c>
      <c r="E501" s="112" t="s">
        <v>489</v>
      </c>
      <c r="F501" s="922">
        <v>21442</v>
      </c>
      <c r="G501" s="923">
        <v>2160</v>
      </c>
      <c r="H501" s="165" t="s">
        <v>54</v>
      </c>
      <c r="I501" s="887">
        <v>45931</v>
      </c>
      <c r="J501" s="885">
        <v>45961</v>
      </c>
      <c r="K501" s="888">
        <v>2565.7399999999998</v>
      </c>
      <c r="L501" s="889">
        <f>Tabela13[[#This Row],[VALOR
 BRUTO ]]-Tabela13[[#This Row],[VALOR 
LIQUIDO ]]</f>
        <v>0</v>
      </c>
      <c r="M501" s="890">
        <f>Tabela13[[#This Row],[VALORES PAGOS 
(FORMA PAGTO)]]</f>
        <v>2565.7399999999998</v>
      </c>
      <c r="N501" s="885">
        <v>46001</v>
      </c>
      <c r="O501" s="891">
        <v>2565.7399999999998</v>
      </c>
      <c r="P501" s="887">
        <v>46023</v>
      </c>
      <c r="Q501" s="892" t="str" cm="1">
        <f t="array" aca="1" ref="Q501" ca="1">IF($P501&lt;&gt;"","PAGO",IF($N501&lt;TODAY(),"ATRASADO",IF($N501&gt;TODAY(),"NO PRAZO",IF($N501=TODAY(),"NO PRAZO",SE))))</f>
        <v>PAGO</v>
      </c>
      <c r="R501" s="259" t="str">
        <f t="shared" ca="1" si="7"/>
        <v/>
      </c>
      <c r="S501" s="887"/>
      <c r="T501" s="886"/>
      <c r="U501" s="893">
        <f ca="1">SUBTOTAL(3,Tabela13[[#This Row],[STATUS]])</f>
        <v>1</v>
      </c>
    </row>
    <row r="502" spans="1:23" ht="24" customHeight="1">
      <c r="A502" s="885">
        <v>45978</v>
      </c>
      <c r="B502" s="920">
        <v>76116</v>
      </c>
      <c r="C502" s="921" t="str">
        <f>IFERROR(VLOOKUP(Tabela13[[#This Row],[CÓD. EMPRESA]],Tabela3[[CÓDIGO
 EMPRESA ]:[EMPRESA]],2,FALSE),"")</f>
        <v>ALVORADA SISTEMA AMBIENTAL EIRELI</v>
      </c>
      <c r="D502" s="112" t="s">
        <v>342</v>
      </c>
      <c r="E502" s="112" t="s">
        <v>460</v>
      </c>
      <c r="F502" s="922">
        <v>6835</v>
      </c>
      <c r="G502" s="923">
        <v>15222</v>
      </c>
      <c r="H502" s="165" t="s">
        <v>54</v>
      </c>
      <c r="I502" s="887">
        <v>45931</v>
      </c>
      <c r="J502" s="885">
        <v>45961</v>
      </c>
      <c r="K502" s="888">
        <v>166415.96</v>
      </c>
      <c r="L502" s="889">
        <f>Tabela13[[#This Row],[VALOR
 BRUTO ]]-Tabela13[[#This Row],[VALOR 
LIQUIDO ]]</f>
        <v>16308.77</v>
      </c>
      <c r="M502" s="890">
        <f>Tabela13[[#This Row],[VALORES PAGOS 
(FORMA PAGTO)]]</f>
        <v>150107.19</v>
      </c>
      <c r="N502" s="885">
        <v>45994</v>
      </c>
      <c r="O502" s="891">
        <v>150107.19</v>
      </c>
      <c r="P502" s="887">
        <v>46056</v>
      </c>
      <c r="Q502" s="892" t="str" cm="1">
        <f t="array" aca="1" ref="Q502" ca="1">IF($P502&lt;&gt;"","PAGO",IF($N502&lt;TODAY(),"ATRASADO",IF($N502&gt;TODAY(),"NO PRAZO",IF($N502=TODAY(),"NO PRAZO",SE))))</f>
        <v>PAGO</v>
      </c>
      <c r="R502" s="259" t="str">
        <f t="shared" ca="1" si="7"/>
        <v/>
      </c>
      <c r="S502" s="887"/>
      <c r="T502" s="886"/>
      <c r="U502" s="893">
        <f ca="1">SUBTOTAL(3,Tabela13[[#This Row],[STATUS]])</f>
        <v>1</v>
      </c>
    </row>
    <row r="503" spans="1:23" ht="24" customHeight="1">
      <c r="A503" s="885">
        <v>45978</v>
      </c>
      <c r="B503" s="920">
        <v>119162</v>
      </c>
      <c r="C503" s="688" t="str">
        <f>IFERROR(VLOOKUP(Tabela13[[#This Row],[CÓD. EMPRESA]],Tabela3[[CÓDIGO
 EMPRESA ]:[EMPRESA]],2,FALSE),"")</f>
        <v>COOPERATIVA DE TRABALHO COLETA TRIAGEM BENEFICIAMENTO E COMERCIO DE MATERIAIS RECICLAVEIS NOVO CICLO</v>
      </c>
      <c r="D503" s="112" t="s">
        <v>343</v>
      </c>
      <c r="E503" s="112" t="s">
        <v>499</v>
      </c>
      <c r="F503" s="922">
        <v>9364</v>
      </c>
      <c r="G503" s="923">
        <v>15</v>
      </c>
      <c r="H503" s="165" t="s">
        <v>53</v>
      </c>
      <c r="I503" s="887">
        <v>45901</v>
      </c>
      <c r="J503" s="885">
        <v>45930</v>
      </c>
      <c r="K503" s="888">
        <v>10796.56</v>
      </c>
      <c r="L503" s="889">
        <f>Tabela13[[#This Row],[VALOR
 BRUTO ]]-Tabela13[[#This Row],[VALOR 
LIQUIDO ]]</f>
        <v>683.76</v>
      </c>
      <c r="M503" s="890">
        <f>Tabela13[[#This Row],[VALORES PAGOS 
(FORMA PAGTO)]]</f>
        <v>10112.799999999999</v>
      </c>
      <c r="N503" s="885">
        <v>45979</v>
      </c>
      <c r="O503" s="891">
        <v>10112.799999999999</v>
      </c>
      <c r="P503" s="887">
        <v>46007</v>
      </c>
      <c r="Q503" s="892" t="str" cm="1">
        <f t="array" aca="1" ref="Q503" ca="1">IF($P503&lt;&gt;"","PAGO",IF($N503&lt;TODAY(),"ATRASADO",IF($N503&gt;TODAY(),"NO PRAZO",IF($N503=TODAY(),"NO PRAZO",SE))))</f>
        <v>PAGO</v>
      </c>
      <c r="R503" s="259" t="str">
        <f t="shared" ca="1" si="7"/>
        <v/>
      </c>
      <c r="S503" s="887"/>
      <c r="T503" s="886"/>
      <c r="U503" s="893">
        <f ca="1">SUBTOTAL(3,Tabela13[[#This Row],[STATUS]])</f>
        <v>1</v>
      </c>
    </row>
    <row r="504" spans="1:23" ht="24" customHeight="1">
      <c r="A504" s="885">
        <v>45978</v>
      </c>
      <c r="B504" s="920">
        <v>119162</v>
      </c>
      <c r="C504" s="688" t="str">
        <f>IFERROR(VLOOKUP(Tabela13[[#This Row],[CÓD. EMPRESA]],Tabela3[[CÓDIGO
 EMPRESA ]:[EMPRESA]],2,FALSE),"")</f>
        <v>COOPERATIVA DE TRABALHO COLETA TRIAGEM BENEFICIAMENTO E COMERCIO DE MATERIAIS RECICLAVEIS NOVO CICLO</v>
      </c>
      <c r="D504" s="112" t="s">
        <v>343</v>
      </c>
      <c r="E504" s="112" t="s">
        <v>499</v>
      </c>
      <c r="F504" s="922">
        <v>9364</v>
      </c>
      <c r="G504" s="923">
        <v>14</v>
      </c>
      <c r="H504" s="165" t="s">
        <v>53</v>
      </c>
      <c r="I504" s="887">
        <v>45870</v>
      </c>
      <c r="J504" s="885">
        <v>45900</v>
      </c>
      <c r="K504" s="888">
        <v>12806.74</v>
      </c>
      <c r="L504" s="889">
        <f>Tabela13[[#This Row],[VALOR
 BRUTO ]]-Tabela13[[#This Row],[VALOR 
LIQUIDO ]]</f>
        <v>658.3</v>
      </c>
      <c r="M504" s="890">
        <f>Tabela13[[#This Row],[VALORES PAGOS 
(FORMA PAGTO)]]</f>
        <v>12148.44</v>
      </c>
      <c r="N504" s="885">
        <v>45979</v>
      </c>
      <c r="O504" s="891">
        <v>12148.44</v>
      </c>
      <c r="P504" s="887">
        <v>46007</v>
      </c>
      <c r="Q504" s="892" t="str" cm="1">
        <f t="array" aca="1" ref="Q504" ca="1">IF($P504&lt;&gt;"","PAGO",IF($N504&lt;TODAY(),"ATRASADO",IF($N504&gt;TODAY(),"NO PRAZO",IF($N504=TODAY(),"NO PRAZO",SE))))</f>
        <v>PAGO</v>
      </c>
      <c r="R504" s="259" t="str">
        <f t="shared" ca="1" si="7"/>
        <v/>
      </c>
      <c r="S504" s="887"/>
      <c r="T504" s="886"/>
      <c r="U504" s="893">
        <f ca="1">SUBTOTAL(3,Tabela13[[#This Row],[STATUS]])</f>
        <v>1</v>
      </c>
      <c r="W504" s="10"/>
    </row>
    <row r="505" spans="1:23" ht="24" customHeight="1">
      <c r="A505" s="885">
        <v>45978</v>
      </c>
      <c r="B505" s="920">
        <v>119151</v>
      </c>
      <c r="C505" s="688" t="str">
        <f>IFERROR(VLOOKUP(Tabela13[[#This Row],[CÓD. EMPRESA]],Tabela3[[CÓDIGO
 EMPRESA ]:[EMPRESA]],2,FALSE),"")</f>
        <v>COOPERATIVA DE TRABALHO DE CATADORAS E CATADORES DE MATERIAIS RECICLAVEIS NOVA VIDA</v>
      </c>
      <c r="D505" s="112" t="s">
        <v>332</v>
      </c>
      <c r="E505" s="112" t="s">
        <v>497</v>
      </c>
      <c r="F505" s="922">
        <v>21938</v>
      </c>
      <c r="G505" s="923">
        <v>15</v>
      </c>
      <c r="H505" s="165" t="s">
        <v>53</v>
      </c>
      <c r="I505" s="887">
        <v>45901</v>
      </c>
      <c r="J505" s="885">
        <v>45930</v>
      </c>
      <c r="K505" s="888">
        <v>22237.01</v>
      </c>
      <c r="L505" s="889">
        <f>Tabela13[[#This Row],[VALOR
 BRUTO ]]-Tabela13[[#This Row],[VALOR 
LIQUIDO ]]</f>
        <v>1138.76</v>
      </c>
      <c r="M505" s="890">
        <f>Tabela13[[#This Row],[VALORES PAGOS 
(FORMA PAGTO)]]</f>
        <v>21098.25</v>
      </c>
      <c r="N505" s="885">
        <v>45978</v>
      </c>
      <c r="O505" s="891">
        <v>21098.25</v>
      </c>
      <c r="P505" s="887">
        <v>46007</v>
      </c>
      <c r="Q505" s="892" t="str" cm="1">
        <f t="array" aca="1" ref="Q505" ca="1">IF($P505&lt;&gt;"","PAGO",IF($N505&lt;TODAY(),"ATRASADO",IF($N505&gt;TODAY(),"NO PRAZO",IF($N505=TODAY(),"NO PRAZO",SE))))</f>
        <v>PAGO</v>
      </c>
      <c r="R505" s="259" t="str">
        <f t="shared" ca="1" si="7"/>
        <v/>
      </c>
      <c r="S505" s="887"/>
      <c r="T505" s="886"/>
      <c r="U505" s="893">
        <f ca="1">SUBTOTAL(3,Tabela13[[#This Row],[STATUS]])</f>
        <v>1</v>
      </c>
    </row>
    <row r="506" spans="1:23" ht="24" customHeight="1">
      <c r="A506" s="885">
        <v>45978</v>
      </c>
      <c r="B506" s="920">
        <v>119151</v>
      </c>
      <c r="C506" s="688" t="str">
        <f>IFERROR(VLOOKUP(Tabela13[[#This Row],[CÓD. EMPRESA]],Tabela3[[CÓDIGO
 EMPRESA ]:[EMPRESA]],2,FALSE),"")</f>
        <v>COOPERATIVA DE TRABALHO DE CATADORAS E CATADORES DE MATERIAIS RECICLAVEIS NOVA VIDA</v>
      </c>
      <c r="D506" s="112" t="s">
        <v>332</v>
      </c>
      <c r="E506" s="112" t="s">
        <v>497</v>
      </c>
      <c r="F506" s="922">
        <v>11483</v>
      </c>
      <c r="G506" s="923">
        <v>15</v>
      </c>
      <c r="H506" s="165" t="s">
        <v>53</v>
      </c>
      <c r="I506" s="887">
        <v>45901</v>
      </c>
      <c r="J506" s="885">
        <v>45930</v>
      </c>
      <c r="K506" s="888">
        <v>538.15</v>
      </c>
      <c r="L506" s="889">
        <f>Tabela13[[#This Row],[VALOR
 BRUTO ]]-Tabela13[[#This Row],[VALOR 
LIQUIDO ]]</f>
        <v>0</v>
      </c>
      <c r="M506" s="890">
        <f>Tabela13[[#This Row],[VALORES PAGOS 
(FORMA PAGTO)]]</f>
        <v>538.15</v>
      </c>
      <c r="N506" s="885">
        <v>45978</v>
      </c>
      <c r="O506" s="891">
        <v>538.15</v>
      </c>
      <c r="P506" s="887">
        <v>46007</v>
      </c>
      <c r="Q506" s="892" t="str" cm="1">
        <f t="array" aca="1" ref="Q506" ca="1">IF($P506&lt;&gt;"","PAGO",IF($N506&lt;TODAY(),"ATRASADO",IF($N506&gt;TODAY(),"NO PRAZO",IF($N506=TODAY(),"NO PRAZO",SE))))</f>
        <v>PAGO</v>
      </c>
      <c r="R506" s="259" t="str">
        <f t="shared" ca="1" si="7"/>
        <v/>
      </c>
      <c r="S506" s="887"/>
      <c r="T506" s="886"/>
      <c r="U506" s="893">
        <f ca="1">SUBTOTAL(3,Tabela13[[#This Row],[STATUS]])</f>
        <v>1</v>
      </c>
      <c r="W506" s="577"/>
    </row>
    <row r="507" spans="1:23" ht="24" customHeight="1">
      <c r="A507" s="885">
        <v>45978</v>
      </c>
      <c r="B507" s="920">
        <v>119151</v>
      </c>
      <c r="C507" s="688" t="str">
        <f>IFERROR(VLOOKUP(Tabela13[[#This Row],[CÓD. EMPRESA]],Tabela3[[CÓDIGO
 EMPRESA ]:[EMPRESA]],2,FALSE),"")</f>
        <v>COOPERATIVA DE TRABALHO DE CATADORAS E CATADORES DE MATERIAIS RECICLAVEIS NOVA VIDA</v>
      </c>
      <c r="D507" s="112" t="s">
        <v>332</v>
      </c>
      <c r="E507" s="112" t="s">
        <v>497</v>
      </c>
      <c r="F507" s="922">
        <v>11483</v>
      </c>
      <c r="G507" s="923">
        <v>14</v>
      </c>
      <c r="H507" s="165" t="s">
        <v>53</v>
      </c>
      <c r="I507" s="887">
        <v>45870</v>
      </c>
      <c r="J507" s="885">
        <v>45900</v>
      </c>
      <c r="K507" s="888">
        <v>19014.82</v>
      </c>
      <c r="L507" s="889">
        <f>Tabela13[[#This Row],[VALOR
 BRUTO ]]-Tabela13[[#This Row],[VALOR 
LIQUIDO ]]</f>
        <v>950.74</v>
      </c>
      <c r="M507" s="890">
        <f>Tabela13[[#This Row],[VALORES PAGOS 
(FORMA PAGTO)]]</f>
        <v>18064.080000000002</v>
      </c>
      <c r="N507" s="885">
        <v>45978</v>
      </c>
      <c r="O507" s="891">
        <v>18064.080000000002</v>
      </c>
      <c r="P507" s="887">
        <v>46007</v>
      </c>
      <c r="Q507" s="892" t="str" cm="1">
        <f t="array" aca="1" ref="Q507" ca="1">IF($P507&lt;&gt;"","PAGO",IF($N507&lt;TODAY(),"ATRASADO",IF($N507&gt;TODAY(),"NO PRAZO",IF($N507=TODAY(),"NO PRAZO",SE))))</f>
        <v>PAGO</v>
      </c>
      <c r="R507" s="259" t="str">
        <f t="shared" ca="1" si="7"/>
        <v/>
      </c>
      <c r="S507" s="887"/>
      <c r="T507" s="886"/>
      <c r="U507" s="893">
        <f ca="1">SUBTOTAL(3,Tabela13[[#This Row],[STATUS]])</f>
        <v>1</v>
      </c>
      <c r="W507" s="577"/>
    </row>
    <row r="508" spans="1:23" ht="24" customHeight="1">
      <c r="A508" s="885">
        <v>45978</v>
      </c>
      <c r="B508" s="920">
        <v>73112</v>
      </c>
      <c r="C508" s="688" t="str">
        <f>IFERROR(VLOOKUP(Tabela13[[#This Row],[CÓD. EMPRESA]],Tabela3[[CÓDIGO
 EMPRESA ]:[EMPRESA]],2,FALSE),"")</f>
        <v>M CONSTRUÇÕES &amp; SERVIÇOS LTDA</v>
      </c>
      <c r="D508" s="112" t="s">
        <v>350</v>
      </c>
      <c r="E508" s="112" t="s">
        <v>494</v>
      </c>
      <c r="F508" s="922">
        <v>24102</v>
      </c>
      <c r="G508" s="923">
        <v>2494</v>
      </c>
      <c r="H508" s="165" t="s">
        <v>53</v>
      </c>
      <c r="I508" s="887">
        <v>45931</v>
      </c>
      <c r="J508" s="885">
        <v>45961</v>
      </c>
      <c r="K508" s="888">
        <v>7877158.7999999998</v>
      </c>
      <c r="L508" s="889">
        <f>Tabela13[[#This Row],[VALOR
 BRUTO ]]-Tabela13[[#This Row],[VALORES PAGOS 
(FORMA PAGTO)]]-O509-O510-O511</f>
        <v>515008.88</v>
      </c>
      <c r="M508" s="890">
        <f>Tabela13[[#This Row],[VALORES PAGOS 
(FORMA PAGTO)]]</f>
        <v>3438930.28</v>
      </c>
      <c r="N508" s="885">
        <v>45978</v>
      </c>
      <c r="O508" s="891">
        <v>3438930.28</v>
      </c>
      <c r="P508" s="887">
        <v>46003</v>
      </c>
      <c r="Q508" s="892" t="str" cm="1">
        <f t="array" aca="1" ref="Q508" ca="1">IF($P508&lt;&gt;"","PAGO",IF($N508&lt;TODAY(),"ATRASADO",IF($N508&gt;TODAY(),"NO PRAZO",IF($N508=TODAY(),"NO PRAZO",SE))))</f>
        <v>PAGO</v>
      </c>
      <c r="R508" s="259" t="str">
        <f t="shared" ca="1" si="7"/>
        <v/>
      </c>
      <c r="S508" s="886"/>
      <c r="T508" s="886"/>
      <c r="U508" s="893">
        <f ca="1">SUBTOTAL(3,Tabela13[[#This Row],[STATUS]])</f>
        <v>1</v>
      </c>
      <c r="W508" s="10"/>
    </row>
    <row r="509" spans="1:23" ht="24" customHeight="1">
      <c r="A509" s="885">
        <v>45978</v>
      </c>
      <c r="B509" s="920">
        <v>73112</v>
      </c>
      <c r="C509" s="928" t="str">
        <f>IFERROR(VLOOKUP(Tabela13[[#This Row],[CÓD. EMPRESA]],Tabela3[[CÓDIGO
 EMPRESA ]:[EMPRESA]],2,FALSE),"")</f>
        <v>M CONSTRUÇÕES &amp; SERVIÇOS LTDA</v>
      </c>
      <c r="D509" s="112" t="s">
        <v>350</v>
      </c>
      <c r="E509" s="112" t="s">
        <v>494</v>
      </c>
      <c r="F509" s="922">
        <v>24102</v>
      </c>
      <c r="G509" s="923">
        <v>2494</v>
      </c>
      <c r="H509" s="165" t="s">
        <v>53</v>
      </c>
      <c r="I509" s="887">
        <v>45931</v>
      </c>
      <c r="J509" s="885">
        <v>45961</v>
      </c>
      <c r="K509" s="933"/>
      <c r="L509" s="934"/>
      <c r="M509" s="935">
        <v>1000000</v>
      </c>
      <c r="N509" s="926">
        <v>45978</v>
      </c>
      <c r="O509" s="936">
        <v>1000000</v>
      </c>
      <c r="P509" s="932">
        <v>46010</v>
      </c>
      <c r="Q509" s="937" t="str" cm="1">
        <f t="array" aca="1" ref="Q509" ca="1">IF($P509&lt;&gt;"","PAGO",IF($N509&lt;TODAY(),"ATRASADO",IF($N509&gt;TODAY(),"NO PRAZO",IF($N509=TODAY(),"NO PRAZO",SE))))</f>
        <v>PAGO</v>
      </c>
      <c r="R509" s="259" t="str">
        <f t="shared" ca="1" si="7"/>
        <v/>
      </c>
      <c r="S509" s="929"/>
      <c r="T509" s="929"/>
      <c r="U509" s="938">
        <f ca="1">SUBTOTAL(3,Tabela13[[#This Row],[STATUS]])</f>
        <v>1</v>
      </c>
    </row>
    <row r="510" spans="1:23" ht="24" customHeight="1">
      <c r="A510" s="885">
        <v>45978</v>
      </c>
      <c r="B510" s="920">
        <v>73112</v>
      </c>
      <c r="C510" s="928" t="str">
        <f>IFERROR(VLOOKUP(Tabela13[[#This Row],[CÓD. EMPRESA]],Tabela3[[CÓDIGO
 EMPRESA ]:[EMPRESA]],2,FALSE),"")</f>
        <v>M CONSTRUÇÕES &amp; SERVIÇOS LTDA</v>
      </c>
      <c r="D510" s="112" t="s">
        <v>350</v>
      </c>
      <c r="E510" s="112" t="s">
        <v>494</v>
      </c>
      <c r="F510" s="922">
        <v>24102</v>
      </c>
      <c r="G510" s="923">
        <v>2494</v>
      </c>
      <c r="H510" s="165" t="s">
        <v>53</v>
      </c>
      <c r="I510" s="887">
        <v>45931</v>
      </c>
      <c r="J510" s="885">
        <v>45961</v>
      </c>
      <c r="K510" s="933"/>
      <c r="L510" s="934"/>
      <c r="M510" s="935">
        <f>Tabela13[[#This Row],[VALORES PAGOS 
(FORMA PAGTO)]]</f>
        <v>2009494.2</v>
      </c>
      <c r="N510" s="926">
        <v>45978</v>
      </c>
      <c r="O510" s="936">
        <v>2009494.2</v>
      </c>
      <c r="P510" s="932">
        <v>46021</v>
      </c>
      <c r="Q510" s="937" t="str" cm="1">
        <f t="array" aca="1" ref="Q510" ca="1">IF($P510&lt;&gt;"","PAGO",IF($N510&lt;TODAY(),"ATRASADO",IF($N510&gt;TODAY(),"NO PRAZO",IF($N510=TODAY(),"NO PRAZO",SE))))</f>
        <v>PAGO</v>
      </c>
      <c r="R510" s="259" t="str">
        <f t="shared" ca="1" si="7"/>
        <v/>
      </c>
      <c r="S510" s="932"/>
      <c r="T510" s="929"/>
      <c r="U510" s="938">
        <f ca="1">SUBTOTAL(3,Tabela13[[#This Row],[STATUS]])</f>
        <v>1</v>
      </c>
    </row>
    <row r="511" spans="1:23" ht="24" customHeight="1">
      <c r="A511" s="885">
        <v>45978</v>
      </c>
      <c r="B511" s="920">
        <v>73112</v>
      </c>
      <c r="C511" s="928" t="str">
        <f>IFERROR(VLOOKUP(Tabela13[[#This Row],[CÓD. EMPRESA]],Tabela3[[CÓDIGO
 EMPRESA ]:[EMPRESA]],2,FALSE),"")</f>
        <v>M CONSTRUÇÕES &amp; SERVIÇOS LTDA</v>
      </c>
      <c r="D511" s="112" t="s">
        <v>350</v>
      </c>
      <c r="E511" s="112" t="s">
        <v>494</v>
      </c>
      <c r="F511" s="922">
        <v>24102</v>
      </c>
      <c r="G511" s="923">
        <v>2494</v>
      </c>
      <c r="H511" s="165" t="s">
        <v>53</v>
      </c>
      <c r="I511" s="887">
        <v>45931</v>
      </c>
      <c r="J511" s="885">
        <v>45961</v>
      </c>
      <c r="K511" s="933"/>
      <c r="L511" s="934"/>
      <c r="M511" s="935">
        <f>Tabela13[[#This Row],[VALORES PAGOS 
(FORMA PAGTO)]]</f>
        <v>913725.43999999994</v>
      </c>
      <c r="N511" s="926">
        <v>45978</v>
      </c>
      <c r="O511" s="936">
        <v>913725.43999999994</v>
      </c>
      <c r="P511" s="932">
        <v>46003</v>
      </c>
      <c r="Q511" s="937" t="str" cm="1">
        <f t="array" aca="1" ref="Q511" ca="1">IF($P511&lt;&gt;"","PAGO",IF($N511&lt;TODAY(),"ATRASADO",IF($N511&gt;TODAY(),"NO PRAZO",IF($N511=TODAY(),"NO PRAZO",SE))))</f>
        <v>PAGO</v>
      </c>
      <c r="R511" s="259" t="str">
        <f t="shared" ca="1" si="7"/>
        <v/>
      </c>
      <c r="S511" s="932"/>
      <c r="T511" s="929"/>
      <c r="U511" s="938">
        <f ca="1">SUBTOTAL(3,Tabela13[[#This Row],[STATUS]])</f>
        <v>1</v>
      </c>
    </row>
    <row r="512" spans="1:23" ht="24" customHeight="1">
      <c r="A512" s="885">
        <v>45978</v>
      </c>
      <c r="B512" s="920">
        <v>73112</v>
      </c>
      <c r="C512" s="688" t="str">
        <f>IFERROR(VLOOKUP(Tabela13[[#This Row],[CÓD. EMPRESA]],Tabela3[[CÓDIGO
 EMPRESA ]:[EMPRESA]],2,FALSE),"")</f>
        <v>M CONSTRUÇÕES &amp; SERVIÇOS LTDA</v>
      </c>
      <c r="D512" s="112" t="s">
        <v>350</v>
      </c>
      <c r="E512" s="112" t="s">
        <v>494</v>
      </c>
      <c r="F512" s="922">
        <v>21819</v>
      </c>
      <c r="G512" s="923">
        <v>2494</v>
      </c>
      <c r="H512" s="165" t="s">
        <v>53</v>
      </c>
      <c r="I512" s="887">
        <v>45931</v>
      </c>
      <c r="J512" s="885">
        <v>45961</v>
      </c>
      <c r="K512" s="888">
        <v>429436.09</v>
      </c>
      <c r="L512" s="889">
        <f>Tabela13[[#This Row],[VALOR
 BRUTO ]]-Tabela13[[#This Row],[VALOR 
LIQUIDO ]]</f>
        <v>0</v>
      </c>
      <c r="M512" s="890">
        <f>Tabela13[[#This Row],[VALORES PAGOS 
(FORMA PAGTO)]]</f>
        <v>429436.09</v>
      </c>
      <c r="N512" s="885">
        <v>45978</v>
      </c>
      <c r="O512" s="891">
        <v>429436.09</v>
      </c>
      <c r="P512" s="887">
        <v>46021</v>
      </c>
      <c r="Q512" s="892" t="str" cm="1">
        <f t="array" aca="1" ref="Q512" ca="1">IF($P512&lt;&gt;"","PAGO",IF($N512&lt;TODAY(),"ATRASADO",IF($N512&gt;TODAY(),"NO PRAZO",IF($N512=TODAY(),"NO PRAZO",SE))))</f>
        <v>PAGO</v>
      </c>
      <c r="R512" s="259" t="str">
        <f t="shared" ca="1" si="7"/>
        <v/>
      </c>
      <c r="S512" s="887"/>
      <c r="T512" s="886"/>
      <c r="U512" s="893">
        <f ca="1">SUBTOTAL(3,Tabela13[[#This Row],[STATUS]])</f>
        <v>1</v>
      </c>
    </row>
    <row r="513" spans="1:21" ht="24" customHeight="1">
      <c r="A513" s="885">
        <v>45978</v>
      </c>
      <c r="B513" s="920">
        <v>118229</v>
      </c>
      <c r="C513" s="688" t="str">
        <f>IFERROR(VLOOKUP(Tabela13[[#This Row],[CÓD. EMPRESA]],Tabela3[[CÓDIGO
 EMPRESA ]:[EMPRESA]],2,FALSE),"")</f>
        <v>COOPERATIVA DE TRABALHO DAS CATADORAS E CATADORES DE MATERIAIS RECICLAVEIS LUTA E VIDA</v>
      </c>
      <c r="D513" s="112" t="s">
        <v>330</v>
      </c>
      <c r="E513" s="112" t="s">
        <v>498</v>
      </c>
      <c r="F513" s="922">
        <v>9408</v>
      </c>
      <c r="G513" s="923">
        <v>15</v>
      </c>
      <c r="H513" s="165" t="s">
        <v>53</v>
      </c>
      <c r="I513" s="887">
        <v>45870</v>
      </c>
      <c r="J513" s="885">
        <v>45900</v>
      </c>
      <c r="K513" s="888">
        <v>26803.56</v>
      </c>
      <c r="L513" s="889">
        <f>Tabela13[[#This Row],[VALOR
 BRUTO ]]-Tabela13[[#This Row],[VALOR 
LIQUIDO ]]</f>
        <v>1340.18</v>
      </c>
      <c r="M513" s="890">
        <f>Tabela13[[#This Row],[VALORES PAGOS 
(FORMA PAGTO)]]</f>
        <v>25463.38</v>
      </c>
      <c r="N513" s="885">
        <v>45978</v>
      </c>
      <c r="O513" s="891">
        <v>25463.38</v>
      </c>
      <c r="P513" s="887">
        <v>46007</v>
      </c>
      <c r="Q513" s="892" t="str" cm="1">
        <f t="array" aca="1" ref="Q513" ca="1">IF($P513&lt;&gt;"","PAGO",IF($N513&lt;TODAY(),"ATRASADO",IF($N513&gt;TODAY(),"NO PRAZO",IF($N513=TODAY(),"NO PRAZO",SE))))</f>
        <v>PAGO</v>
      </c>
      <c r="R513" s="259" t="str">
        <f t="shared" ca="1" si="7"/>
        <v/>
      </c>
      <c r="S513" s="887"/>
      <c r="T513" s="886"/>
      <c r="U513" s="893">
        <f ca="1">SUBTOTAL(3,Tabela13[[#This Row],[STATUS]])</f>
        <v>1</v>
      </c>
    </row>
    <row r="514" spans="1:21" ht="24" customHeight="1">
      <c r="A514" s="885">
        <v>45978</v>
      </c>
      <c r="B514" s="920">
        <v>119149</v>
      </c>
      <c r="C514" s="688" t="str">
        <f>IFERROR(VLOOKUP(Tabela13[[#This Row],[CÓD. EMPRESA]],Tabela3[[CÓDIGO
 EMPRESA ]:[EMPRESA]],2,FALSE),"")</f>
        <v>COOPERATIVA DE TRABALHO NOVO BAMBI</v>
      </c>
      <c r="D514" s="112" t="s">
        <v>348</v>
      </c>
      <c r="E514" s="112" t="s">
        <v>501</v>
      </c>
      <c r="F514" s="922">
        <v>21209</v>
      </c>
      <c r="G514" s="923">
        <v>15</v>
      </c>
      <c r="H514" s="165" t="s">
        <v>53</v>
      </c>
      <c r="I514" s="887">
        <v>45901</v>
      </c>
      <c r="J514" s="885">
        <v>45930</v>
      </c>
      <c r="K514" s="888">
        <v>15185.55</v>
      </c>
      <c r="L514" s="889">
        <f>Tabela13[[#This Row],[VALOR
 BRUTO ]]-Tabela13[[#This Row],[VALOR 
LIQUIDO ]]</f>
        <v>759.28</v>
      </c>
      <c r="M514" s="890">
        <f>Tabela13[[#This Row],[VALORES PAGOS 
(FORMA PAGTO)]]</f>
        <v>14426.27</v>
      </c>
      <c r="N514" s="885">
        <v>45978</v>
      </c>
      <c r="O514" s="891">
        <v>14426.27</v>
      </c>
      <c r="P514" s="887">
        <v>46007</v>
      </c>
      <c r="Q514" s="892" t="str" cm="1">
        <f t="array" aca="1" ref="Q514" ca="1">IF($P514&lt;&gt;"","PAGO",IF($N514&lt;TODAY(),"ATRASADO",IF($N514&gt;TODAY(),"NO PRAZO",IF($N514=TODAY(),"NO PRAZO",SE))))</f>
        <v>PAGO</v>
      </c>
      <c r="R514" s="259" t="str">
        <f t="shared" ca="1" si="7"/>
        <v/>
      </c>
      <c r="S514" s="887"/>
      <c r="T514" s="886"/>
      <c r="U514" s="893">
        <f ca="1">SUBTOTAL(3,Tabela13[[#This Row],[STATUS]])</f>
        <v>1</v>
      </c>
    </row>
    <row r="515" spans="1:21" ht="24" customHeight="1">
      <c r="A515" s="885">
        <v>45978</v>
      </c>
      <c r="B515" s="920">
        <v>58778</v>
      </c>
      <c r="C515" s="921" t="str">
        <f>IFERROR(VLOOKUP(Tabela13[[#This Row],[CÓD. EMPRESA]],Tabela3[[CÓDIGO
 EMPRESA ]:[EMPRESA]],2,FALSE),"")</f>
        <v>ATTEND AMBIENTAL S.A</v>
      </c>
      <c r="D515" s="112" t="s">
        <v>335</v>
      </c>
      <c r="E515" s="112" t="s">
        <v>592</v>
      </c>
      <c r="F515" s="922">
        <v>6826</v>
      </c>
      <c r="G515" s="923">
        <v>50002</v>
      </c>
      <c r="H515" s="165" t="s">
        <v>54</v>
      </c>
      <c r="I515" s="887">
        <v>45931</v>
      </c>
      <c r="J515" s="885">
        <v>45961</v>
      </c>
      <c r="K515" s="888">
        <v>161562.63</v>
      </c>
      <c r="L515" s="889">
        <f>Tabela13[[#This Row],[VALOR
 BRUTO ]]-Tabela13[[#This Row],[VALOR 
LIQUIDO ]]</f>
        <v>7755.01</v>
      </c>
      <c r="M515" s="890">
        <f>Tabela13[[#This Row],[VALORES PAGOS 
(FORMA PAGTO)]]</f>
        <v>153807.62</v>
      </c>
      <c r="N515" s="885">
        <v>45994</v>
      </c>
      <c r="O515" s="891">
        <v>153807.62</v>
      </c>
      <c r="P515" s="887">
        <v>46056</v>
      </c>
      <c r="Q515" s="892" t="str" cm="1">
        <f t="array" aca="1" ref="Q515" ca="1">IF($P515&lt;&gt;"","PAGO",IF($N515&lt;TODAY(),"ATRASADO",IF($N515&gt;TODAY(),"NO PRAZO",IF($N515=TODAY(),"NO PRAZO",SE))))</f>
        <v>PAGO</v>
      </c>
      <c r="R515" s="259" t="str">
        <f t="shared" ca="1" si="7"/>
        <v/>
      </c>
      <c r="S515" s="887"/>
      <c r="T515" s="886"/>
      <c r="U515" s="893">
        <f ca="1">SUBTOTAL(3,Tabela13[[#This Row],[STATUS]])</f>
        <v>1</v>
      </c>
    </row>
    <row r="516" spans="1:21" ht="24" customHeight="1">
      <c r="A516" s="885">
        <v>45978</v>
      </c>
      <c r="B516" s="920">
        <v>64669</v>
      </c>
      <c r="C516" s="921" t="str">
        <f>IFERROR(VLOOKUP(Tabela13[[#This Row],[CÓD. EMPRESA]],Tabela3[[CÓDIGO
 EMPRESA ]:[EMPRESA]],2,FALSE),"")</f>
        <v>UA GRAFICA - COMERCIO E PRESTACAO DE SERVICOS GRAFICOS LTDA</v>
      </c>
      <c r="D516" s="112" t="s">
        <v>708</v>
      </c>
      <c r="E516" s="112" t="s">
        <v>709</v>
      </c>
      <c r="F516" s="922">
        <v>3250</v>
      </c>
      <c r="G516" s="923">
        <v>2225</v>
      </c>
      <c r="H516" s="165" t="s">
        <v>54</v>
      </c>
      <c r="I516" s="887"/>
      <c r="J516" s="885"/>
      <c r="K516" s="888">
        <v>3601.08</v>
      </c>
      <c r="L516" s="889">
        <f>Tabela13[[#This Row],[VALOR
 BRUTO ]]-Tabela13[[#This Row],[VALOR 
LIQUIDO ]]</f>
        <v>172.85</v>
      </c>
      <c r="M516" s="890">
        <f>Tabela13[[#This Row],[VALORES PAGOS 
(FORMA PAGTO)]]</f>
        <v>3428.23</v>
      </c>
      <c r="N516" s="885">
        <v>46004</v>
      </c>
      <c r="O516" s="891">
        <v>3428.23</v>
      </c>
      <c r="P516" s="887">
        <v>46007</v>
      </c>
      <c r="Q516" s="892" t="str" cm="1">
        <f t="array" aca="1" ref="Q516" ca="1">IF($P516&lt;&gt;"","PAGO",IF($N516&lt;TODAY(),"ATRASADO",IF($N516&gt;TODAY(),"NO PRAZO",IF($N516=TODAY(),"NO PRAZO",SE))))</f>
        <v>PAGO</v>
      </c>
      <c r="R516" s="259" t="str">
        <f t="shared" ca="1" si="7"/>
        <v/>
      </c>
      <c r="S516" s="887"/>
      <c r="T516" s="886"/>
      <c r="U516" s="893">
        <f ca="1">SUBTOTAL(3,Tabela13[[#This Row],[STATUS]])</f>
        <v>1</v>
      </c>
    </row>
    <row r="517" spans="1:21" ht="23.25" customHeight="1">
      <c r="A517" s="885">
        <v>45978</v>
      </c>
      <c r="B517" s="920">
        <v>42326</v>
      </c>
      <c r="C517" s="921" t="str">
        <f>IFERROR(VLOOKUP(Tabela13[[#This Row],[CÓD. EMPRESA]],Tabela3[[CÓDIGO
 EMPRESA ]:[EMPRESA]],2,FALSE),"")</f>
        <v>CASAMAX COMERCIAL E SERVICOS LTDA</v>
      </c>
      <c r="D517" s="112" t="s">
        <v>703</v>
      </c>
      <c r="E517" s="112" t="s">
        <v>615</v>
      </c>
      <c r="F517" s="922">
        <v>23574</v>
      </c>
      <c r="G517" s="923">
        <v>11609</v>
      </c>
      <c r="H517" s="165" t="s">
        <v>54</v>
      </c>
      <c r="I517" s="887">
        <v>45901</v>
      </c>
      <c r="J517" s="885">
        <v>45930</v>
      </c>
      <c r="K517" s="888">
        <v>2340.6999999999998</v>
      </c>
      <c r="L517" s="889">
        <f>Tabela13[[#This Row],[VALOR
 BRUTO ]]-Tabela13[[#This Row],[VALOR 
LIQUIDO ]]</f>
        <v>319.51</v>
      </c>
      <c r="M517" s="890">
        <f>Tabela13[[#This Row],[VALORES PAGOS 
(FORMA PAGTO)]]</f>
        <v>2021.19</v>
      </c>
      <c r="N517" s="885">
        <v>46003</v>
      </c>
      <c r="O517" s="891">
        <v>2021.19</v>
      </c>
      <c r="P517" s="887">
        <v>46023</v>
      </c>
      <c r="Q517" s="892" t="str" cm="1">
        <f t="array" aca="1" ref="Q517" ca="1">IF($P517&lt;&gt;"","PAGO",IF($N517&lt;TODAY(),"ATRASADO",IF($N517&gt;TODAY(),"NO PRAZO",IF($N517=TODAY(),"NO PRAZO",SE))))</f>
        <v>PAGO</v>
      </c>
      <c r="R517" s="259" t="str">
        <f t="shared" ca="1" si="7"/>
        <v/>
      </c>
      <c r="S517" s="887"/>
      <c r="T517" s="886"/>
      <c r="U517" s="893">
        <f ca="1">SUBTOTAL(3,Tabela13[[#This Row],[STATUS]])</f>
        <v>1</v>
      </c>
    </row>
    <row r="518" spans="1:21" ht="24" customHeight="1">
      <c r="A518" s="885">
        <v>45978</v>
      </c>
      <c r="B518" s="920">
        <v>119149</v>
      </c>
      <c r="C518" s="688" t="str">
        <f>IFERROR(VLOOKUP(Tabela13[[#This Row],[CÓD. EMPRESA]],Tabela3[[CÓDIGO
 EMPRESA ]:[EMPRESA]],2,FALSE),"")</f>
        <v>COOPERATIVA DE TRABALHO NOVO BAMBI</v>
      </c>
      <c r="D518" s="112" t="s">
        <v>348</v>
      </c>
      <c r="E518" s="112" t="s">
        <v>501</v>
      </c>
      <c r="F518" s="922">
        <v>21209</v>
      </c>
      <c r="G518" s="923">
        <v>14</v>
      </c>
      <c r="H518" s="165" t="s">
        <v>53</v>
      </c>
      <c r="I518" s="887">
        <v>45870</v>
      </c>
      <c r="J518" s="885">
        <v>45900</v>
      </c>
      <c r="K518" s="888">
        <v>16818.36</v>
      </c>
      <c r="L518" s="889">
        <f>Tabela13[[#This Row],[VALOR
 BRUTO ]]-Tabela13[[#This Row],[VALOR 
LIQUIDO ]]</f>
        <v>840.92</v>
      </c>
      <c r="M518" s="890">
        <f>Tabela13[[#This Row],[VALORES PAGOS 
(FORMA PAGTO)]]</f>
        <v>15977.44</v>
      </c>
      <c r="N518" s="885">
        <v>45978</v>
      </c>
      <c r="O518" s="891">
        <v>15977.44</v>
      </c>
      <c r="P518" s="887">
        <v>46007</v>
      </c>
      <c r="Q518" s="892" t="str" cm="1">
        <f t="array" aca="1" ref="Q518" ca="1">IF($P518&lt;&gt;"","PAGO",IF($N518&lt;TODAY(),"ATRASADO",IF($N518&gt;TODAY(),"NO PRAZO",IF($N518=TODAY(),"NO PRAZO",SE))))</f>
        <v>PAGO</v>
      </c>
      <c r="R518" s="259" t="str">
        <f t="shared" ref="R518:R581" ca="1" si="8">IF(Q518="ATRASADO",N518-TODAY(),IF(Q518="NO PRAZO",N518-TODAY(),IF(Q518="PAGO","")))</f>
        <v/>
      </c>
      <c r="S518" s="887"/>
      <c r="T518" s="886"/>
      <c r="U518" s="893">
        <f ca="1">SUBTOTAL(3,Tabela13[[#This Row],[STATUS]])</f>
        <v>1</v>
      </c>
    </row>
    <row r="519" spans="1:21" ht="24" customHeight="1">
      <c r="A519" s="926">
        <v>45978</v>
      </c>
      <c r="B519" s="927">
        <v>60979</v>
      </c>
      <c r="C519" s="928" t="str">
        <f>IFERROR(VLOOKUP(Tabela13[[#This Row],[CÓD. EMPRESA]],Tabela3[[CÓDIGO
 EMPRESA ]:[EMPRESA]],2,FALSE),"")</f>
        <v>SILCON AMBIENTAL S/A</v>
      </c>
      <c r="D519" s="112" t="s">
        <v>355</v>
      </c>
      <c r="E519" s="112" t="s">
        <v>490</v>
      </c>
      <c r="F519" s="930">
        <v>23577</v>
      </c>
      <c r="G519" s="109">
        <v>40891</v>
      </c>
      <c r="H519" s="165" t="s">
        <v>54</v>
      </c>
      <c r="I519" s="932">
        <v>45931</v>
      </c>
      <c r="J519" s="926">
        <v>45961</v>
      </c>
      <c r="K519" s="933">
        <v>107492.55</v>
      </c>
      <c r="L519" s="934">
        <f>Tabela13[[#This Row],[VALOR
 BRUTO ]]-Tabela13[[#This Row],[VALOR 
LIQUIDO ]]</f>
        <v>0</v>
      </c>
      <c r="M519" s="935">
        <f>Tabela13[[#This Row],[VALORES PAGOS 
(FORMA PAGTO)]]</f>
        <v>107492.55</v>
      </c>
      <c r="N519" s="926">
        <v>46008</v>
      </c>
      <c r="O519" s="936">
        <v>107492.55</v>
      </c>
      <c r="P519" s="932">
        <v>46056</v>
      </c>
      <c r="Q519" s="937" t="str" cm="1">
        <f t="array" aca="1" ref="Q519" ca="1">IF($P519&lt;&gt;"","PAGO",IF($N519&lt;TODAY(),"ATRASADO",IF($N519&gt;TODAY(),"NO PRAZO",IF($N519=TODAY(),"NO PRAZO",SE))))</f>
        <v>PAGO</v>
      </c>
      <c r="R519" s="259" t="str">
        <f t="shared" ca="1" si="8"/>
        <v/>
      </c>
      <c r="S519" s="932"/>
      <c r="T519" s="929"/>
      <c r="U519" s="938">
        <f ca="1">SUBTOTAL(3,Tabela13[[#This Row],[STATUS]])</f>
        <v>1</v>
      </c>
    </row>
    <row r="520" spans="1:21" ht="24" customHeight="1">
      <c r="A520" s="885">
        <v>45979</v>
      </c>
      <c r="B520" s="920">
        <v>119162</v>
      </c>
      <c r="C520" s="688" t="str">
        <f>IFERROR(VLOOKUP(Tabela13[[#This Row],[CÓD. EMPRESA]],Tabela3[[CÓDIGO
 EMPRESA ]:[EMPRESA]],2,FALSE),"")</f>
        <v>COOPERATIVA DE TRABALHO COLETA TRIAGEM BENEFICIAMENTO E COMERCIO DE MATERIAIS RECICLAVEIS NOVO CICLO</v>
      </c>
      <c r="D520" s="112" t="s">
        <v>343</v>
      </c>
      <c r="E520" s="112" t="s">
        <v>499</v>
      </c>
      <c r="F520" s="922">
        <v>7081</v>
      </c>
      <c r="G520" s="923">
        <v>14</v>
      </c>
      <c r="H520" s="165" t="s">
        <v>53</v>
      </c>
      <c r="I520" s="887">
        <v>45870</v>
      </c>
      <c r="J520" s="885">
        <v>45900</v>
      </c>
      <c r="K520" s="888">
        <v>359.32</v>
      </c>
      <c r="L520" s="889">
        <f>Tabela13[[#This Row],[VALOR
 BRUTO ]]-Tabela13[[#This Row],[VALOR 
LIQUIDO ]]</f>
        <v>0</v>
      </c>
      <c r="M520" s="890">
        <f>Tabela13[[#This Row],[VALORES PAGOS 
(FORMA PAGTO)]]</f>
        <v>359.32</v>
      </c>
      <c r="N520" s="885">
        <v>45979</v>
      </c>
      <c r="O520" s="891">
        <v>359.32</v>
      </c>
      <c r="P520" s="887">
        <v>46007</v>
      </c>
      <c r="Q520" s="892" t="str" cm="1">
        <f t="array" aca="1" ref="Q520" ca="1">IF($P520&lt;&gt;"","PAGO",IF($N520&lt;TODAY(),"ATRASADO",IF($N520&gt;TODAY(),"NO PRAZO",IF($N520=TODAY(),"NO PRAZO",SE))))</f>
        <v>PAGO</v>
      </c>
      <c r="R520" s="259" t="str">
        <f t="shared" ca="1" si="8"/>
        <v/>
      </c>
      <c r="S520" s="887"/>
      <c r="T520" s="886"/>
      <c r="U520" s="893">
        <f ca="1">SUBTOTAL(3,Tabela13[[#This Row],[STATUS]])</f>
        <v>1</v>
      </c>
    </row>
    <row r="521" spans="1:21" ht="24" customHeight="1">
      <c r="A521" s="885">
        <v>45980</v>
      </c>
      <c r="B521" s="920">
        <v>103747</v>
      </c>
      <c r="C521" s="921" t="str">
        <f>IFERROR(VLOOKUP(Tabela13[[#This Row],[CÓD. EMPRESA]],Tabela3[[CÓDIGO
 EMPRESA ]:[EMPRESA]],2,FALSE),"")</f>
        <v>CDR PEDREIRA CENTRO DE DISPOSIÇÃO DE RESÍDUOS LTDA</v>
      </c>
      <c r="D521" s="112" t="s">
        <v>334</v>
      </c>
      <c r="E521" s="112" t="s">
        <v>431</v>
      </c>
      <c r="F521" s="922">
        <v>21702</v>
      </c>
      <c r="G521" s="923">
        <v>4081</v>
      </c>
      <c r="H521" s="165" t="s">
        <v>54</v>
      </c>
      <c r="I521" s="887">
        <v>45931</v>
      </c>
      <c r="J521" s="885">
        <v>45961</v>
      </c>
      <c r="K521" s="888">
        <v>201875.1</v>
      </c>
      <c r="L521" s="889">
        <f>Tabela13[[#This Row],[VALOR
 BRUTO ]]-Tabela13[[#This Row],[VALOR 
LIQUIDO ]]</f>
        <v>0</v>
      </c>
      <c r="M521" s="890">
        <f>Tabela13[[#This Row],[VALORES PAGOS 
(FORMA PAGTO)]]</f>
        <v>201875.1</v>
      </c>
      <c r="N521" s="885">
        <v>45997</v>
      </c>
      <c r="O521" s="891">
        <v>201875.1</v>
      </c>
      <c r="P521" s="887">
        <v>46021</v>
      </c>
      <c r="Q521" s="892" t="str" cm="1">
        <f t="array" aca="1" ref="Q521" ca="1">IF($P521&lt;&gt;"","PAGO",IF($N521&lt;TODAY(),"ATRASADO",IF($N521&gt;TODAY(),"NO PRAZO",IF($N521=TODAY(),"NO PRAZO",SE))))</f>
        <v>PAGO</v>
      </c>
      <c r="R521" s="259" t="str">
        <f t="shared" ca="1" si="8"/>
        <v/>
      </c>
      <c r="S521" s="887"/>
      <c r="T521" s="886"/>
      <c r="U521" s="893">
        <f ca="1">SUBTOTAL(3,Tabela13[[#This Row],[STATUS]])</f>
        <v>1</v>
      </c>
    </row>
    <row r="522" spans="1:21" ht="24" customHeight="1">
      <c r="A522" s="885">
        <v>45980</v>
      </c>
      <c r="B522" s="920">
        <v>103747</v>
      </c>
      <c r="C522" s="921" t="str">
        <f>IFERROR(VLOOKUP(Tabela13[[#This Row],[CÓD. EMPRESA]],Tabela3[[CÓDIGO
 EMPRESA ]:[EMPRESA]],2,FALSE),"")</f>
        <v>CDR PEDREIRA CENTRO DE DISPOSIÇÃO DE RESÍDUOS LTDA</v>
      </c>
      <c r="D522" s="112" t="s">
        <v>334</v>
      </c>
      <c r="E522" s="112" t="s">
        <v>431</v>
      </c>
      <c r="F522" s="922">
        <v>23576</v>
      </c>
      <c r="G522" s="923">
        <v>4081</v>
      </c>
      <c r="H522" s="165" t="s">
        <v>54</v>
      </c>
      <c r="I522" s="887">
        <v>45931</v>
      </c>
      <c r="J522" s="885">
        <v>45961</v>
      </c>
      <c r="K522" s="888">
        <v>3548677.2</v>
      </c>
      <c r="L522" s="889">
        <f>Tabela13[[#This Row],[VALOR
 BRUTO ]]-Tabela13[[#This Row],[VALOR 
LIQUIDO ]]</f>
        <v>367554.13</v>
      </c>
      <c r="M522" s="890">
        <f>Tabela13[[#This Row],[VALORES PAGOS 
(FORMA PAGTO)]]</f>
        <v>3181123.07</v>
      </c>
      <c r="N522" s="885">
        <v>45997</v>
      </c>
      <c r="O522" s="891">
        <v>3181123.07</v>
      </c>
      <c r="P522" s="887">
        <v>46021</v>
      </c>
      <c r="Q522" s="892" t="str" cm="1">
        <f t="array" aca="1" ref="Q522" ca="1">IF($P522&lt;&gt;"","PAGO",IF($N522&lt;TODAY(),"ATRASADO",IF($N522&gt;TODAY(),"NO PRAZO",IF($N522=TODAY(),"NO PRAZO",SE))))</f>
        <v>PAGO</v>
      </c>
      <c r="R522" s="259" t="str">
        <f t="shared" ca="1" si="8"/>
        <v/>
      </c>
      <c r="S522" s="887"/>
      <c r="T522" s="886"/>
      <c r="U522" s="893">
        <f ca="1">SUBTOTAL(3,Tabela13[[#This Row],[STATUS]])</f>
        <v>1</v>
      </c>
    </row>
    <row r="523" spans="1:21" ht="24" customHeight="1">
      <c r="A523" s="885">
        <v>45980</v>
      </c>
      <c r="B523" s="920">
        <v>46674</v>
      </c>
      <c r="C523" s="921" t="str">
        <f>IFERROR(VLOOKUP(Tabela13[[#This Row],[CÓD. EMPRESA]],Tabela3[[CÓDIGO
 EMPRESA ]:[EMPRESA]],2,FALSE),"")</f>
        <v>NOA SERVICOS E LOCACAO LTDA</v>
      </c>
      <c r="D523" s="112" t="s">
        <v>324</v>
      </c>
      <c r="E523" s="112" t="s">
        <v>437</v>
      </c>
      <c r="F523" s="922">
        <v>14449</v>
      </c>
      <c r="G523" s="923">
        <v>1810</v>
      </c>
      <c r="H523" s="165" t="s">
        <v>54</v>
      </c>
      <c r="I523" s="887">
        <v>45931</v>
      </c>
      <c r="J523" s="885">
        <v>45961</v>
      </c>
      <c r="K523" s="888">
        <v>4360.2</v>
      </c>
      <c r="L523" s="889">
        <f>Tabela13[[#This Row],[VALOR
 BRUTO ]]-Tabela13[[#This Row],[VALOR 
LIQUIDO ]]</f>
        <v>0</v>
      </c>
      <c r="M523" s="890">
        <f>Tabela13[[#This Row],[VALORES PAGOS 
(FORMA PAGTO)]]</f>
        <v>4360.2</v>
      </c>
      <c r="N523" s="885">
        <v>46008</v>
      </c>
      <c r="O523" s="891">
        <v>4360.2</v>
      </c>
      <c r="P523" s="887">
        <v>46021</v>
      </c>
      <c r="Q523" s="892" t="str" cm="1">
        <f t="array" aca="1" ref="Q523" ca="1">IF($P523&lt;&gt;"","PAGO",IF($N523&lt;TODAY(),"ATRASADO",IF($N523&gt;TODAY(),"NO PRAZO",IF($N523=TODAY(),"NO PRAZO",SE))))</f>
        <v>PAGO</v>
      </c>
      <c r="R523" s="259" t="str">
        <f t="shared" ca="1" si="8"/>
        <v/>
      </c>
      <c r="S523" s="887"/>
      <c r="T523" s="886"/>
      <c r="U523" s="893">
        <f ca="1">SUBTOTAL(3,Tabela13[[#This Row],[STATUS]])</f>
        <v>1</v>
      </c>
    </row>
    <row r="524" spans="1:21" ht="24" customHeight="1">
      <c r="A524" s="885">
        <v>45980</v>
      </c>
      <c r="B524" s="920">
        <v>46674</v>
      </c>
      <c r="C524" s="921" t="str">
        <f>IFERROR(VLOOKUP(Tabela13[[#This Row],[CÓD. EMPRESA]],Tabela3[[CÓDIGO
 EMPRESA ]:[EMPRESA]],2,FALSE),"")</f>
        <v>NOA SERVICOS E LOCACAO LTDA</v>
      </c>
      <c r="D524" s="112" t="s">
        <v>324</v>
      </c>
      <c r="E524" s="112" t="s">
        <v>437</v>
      </c>
      <c r="F524" s="922">
        <v>19571</v>
      </c>
      <c r="G524" s="923">
        <v>1810</v>
      </c>
      <c r="H524" s="165" t="s">
        <v>54</v>
      </c>
      <c r="I524" s="887">
        <v>45931</v>
      </c>
      <c r="J524" s="885">
        <v>45961</v>
      </c>
      <c r="K524" s="888">
        <v>55514.720000000001</v>
      </c>
      <c r="L524" s="889">
        <f>Tabela13[[#This Row],[VALOR
 BRUTO ]]-Tabela13[[#This Row],[VALOR 
LIQUIDO ]]</f>
        <v>0</v>
      </c>
      <c r="M524" s="890">
        <f>Tabela13[[#This Row],[VALORES PAGOS 
(FORMA PAGTO)]]</f>
        <v>55514.720000000001</v>
      </c>
      <c r="N524" s="885">
        <v>46008</v>
      </c>
      <c r="O524" s="891">
        <v>55514.720000000001</v>
      </c>
      <c r="P524" s="887">
        <v>46021</v>
      </c>
      <c r="Q524" s="892" t="str" cm="1">
        <f t="array" aca="1" ref="Q524" ca="1">IF($P524&lt;&gt;"","PAGO",IF($N524&lt;TODAY(),"ATRASADO",IF($N524&gt;TODAY(),"NO PRAZO",IF($N524=TODAY(),"NO PRAZO",SE))))</f>
        <v>PAGO</v>
      </c>
      <c r="R524" s="259" t="str">
        <f t="shared" ca="1" si="8"/>
        <v/>
      </c>
      <c r="S524" s="887"/>
      <c r="T524" s="886"/>
      <c r="U524" s="893">
        <f ca="1">SUBTOTAL(3,Tabela13[[#This Row],[STATUS]])</f>
        <v>1</v>
      </c>
    </row>
    <row r="525" spans="1:21" ht="24" customHeight="1">
      <c r="A525" s="885">
        <v>45980</v>
      </c>
      <c r="B525" s="920">
        <v>46674</v>
      </c>
      <c r="C525" s="921" t="str">
        <f>IFERROR(VLOOKUP(Tabela13[[#This Row],[CÓD. EMPRESA]],Tabela3[[CÓDIGO
 EMPRESA ]:[EMPRESA]],2,FALSE),"")</f>
        <v>NOA SERVICOS E LOCACAO LTDA</v>
      </c>
      <c r="D525" s="112" t="s">
        <v>324</v>
      </c>
      <c r="E525" s="112" t="s">
        <v>437</v>
      </c>
      <c r="F525" s="922">
        <v>21703</v>
      </c>
      <c r="G525" s="923">
        <v>1810</v>
      </c>
      <c r="H525" s="165" t="s">
        <v>54</v>
      </c>
      <c r="I525" s="887">
        <v>45931</v>
      </c>
      <c r="J525" s="885">
        <v>45961</v>
      </c>
      <c r="K525" s="888">
        <v>101005.95</v>
      </c>
      <c r="L525" s="889">
        <f>Tabela13[[#This Row],[VALOR
 BRUTO ]]-Tabela13[[#This Row],[VALORES PAGOS 
(FORMA PAGTO)]]-O526</f>
        <v>8365.7999999999993</v>
      </c>
      <c r="M525" s="890">
        <f>Tabela13[[#This Row],[VALORES PAGOS 
(FORMA PAGTO)]]</f>
        <v>87009.32</v>
      </c>
      <c r="N525" s="885">
        <v>46008</v>
      </c>
      <c r="O525" s="891">
        <v>87009.32</v>
      </c>
      <c r="P525" s="887">
        <v>46021</v>
      </c>
      <c r="Q525" s="892" t="str" cm="1">
        <f t="array" aca="1" ref="Q525" ca="1">IF($P525&lt;&gt;"","PAGO",IF($N525&lt;TODAY(),"ATRASADO",IF($N525&gt;TODAY(),"NO PRAZO",IF($N525=TODAY(),"NO PRAZO",SE))))</f>
        <v>PAGO</v>
      </c>
      <c r="R525" s="259" t="str">
        <f t="shared" ca="1" si="8"/>
        <v/>
      </c>
      <c r="S525" s="887"/>
      <c r="T525" s="886"/>
      <c r="U525" s="893">
        <f ca="1">SUBTOTAL(3,Tabela13[[#This Row],[STATUS]])</f>
        <v>1</v>
      </c>
    </row>
    <row r="526" spans="1:21" ht="24" customHeight="1">
      <c r="A526" s="885">
        <v>45980</v>
      </c>
      <c r="B526" s="920">
        <v>46674</v>
      </c>
      <c r="C526" s="921" t="str">
        <f>IFERROR(VLOOKUP(Tabela13[[#This Row],[CÓD. EMPRESA]],Tabela3[[CÓDIGO
 EMPRESA ]:[EMPRESA]],2,FALSE),"")</f>
        <v>NOA SERVICOS E LOCACAO LTDA</v>
      </c>
      <c r="D526" s="112" t="s">
        <v>324</v>
      </c>
      <c r="E526" s="112" t="s">
        <v>437</v>
      </c>
      <c r="F526" s="922">
        <v>21703</v>
      </c>
      <c r="G526" s="923">
        <v>1810</v>
      </c>
      <c r="H526" s="165" t="s">
        <v>54</v>
      </c>
      <c r="I526" s="887">
        <v>45931</v>
      </c>
      <c r="J526" s="885">
        <v>45961</v>
      </c>
      <c r="K526" s="401"/>
      <c r="L526" s="398"/>
      <c r="M526" s="703">
        <f>Tabela13[[#This Row],[VALORES PAGOS 
(FORMA PAGTO)]]</f>
        <v>5630.83</v>
      </c>
      <c r="N526" s="113">
        <v>46008</v>
      </c>
      <c r="O526" s="385">
        <v>5630.83</v>
      </c>
      <c r="P526" s="147">
        <v>46006</v>
      </c>
      <c r="Q526" s="197" t="str" cm="1">
        <f t="array" aca="1" ref="Q526" ca="1">IF($P526&lt;&gt;"","PAGO",IF($N526&lt;TODAY(),"ATRASADO",IF($N526&gt;TODAY(),"NO PRAZO",IF($N526=TODAY(),"NO PRAZO",SE))))</f>
        <v>PAGO</v>
      </c>
      <c r="R526" s="259" t="str">
        <f t="shared" ca="1" si="8"/>
        <v/>
      </c>
      <c r="S526" s="112"/>
      <c r="T526" s="112"/>
      <c r="U526" s="259">
        <f ca="1">SUBTOTAL(3,Tabela13[[#This Row],[STATUS]])</f>
        <v>1</v>
      </c>
    </row>
    <row r="527" spans="1:21" ht="24" customHeight="1">
      <c r="A527" s="926">
        <v>45986</v>
      </c>
      <c r="B527" s="927">
        <v>112466</v>
      </c>
      <c r="C527" s="928" t="str">
        <f>IFERROR(VLOOKUP(Tabela13[[#This Row],[CÓD. EMPRESA]],Tabela3[[CÓDIGO
 EMPRESA ]:[EMPRESA]],2,FALSE),"")</f>
        <v>COOPERATIVA DE TRABALHO DE RECICLAGEM ECO GUARULHOS</v>
      </c>
      <c r="D527" s="112" t="s">
        <v>337</v>
      </c>
      <c r="E527" s="112" t="s">
        <v>630</v>
      </c>
      <c r="F527" s="930">
        <v>21942</v>
      </c>
      <c r="G527" s="931">
        <v>34</v>
      </c>
      <c r="H527" s="165" t="s">
        <v>53</v>
      </c>
      <c r="I527" s="932">
        <v>45901</v>
      </c>
      <c r="J527" s="926">
        <v>45930</v>
      </c>
      <c r="K527" s="933">
        <v>15122.97</v>
      </c>
      <c r="L527" s="934">
        <f>Tabela13[[#This Row],[VALOR
 BRUTO ]]-Tabela13[[#This Row],[VALOR 
LIQUIDO ]]</f>
        <v>756.15</v>
      </c>
      <c r="M527" s="935">
        <f>Tabela13[[#This Row],[VALORES PAGOS 
(FORMA PAGTO)]]</f>
        <v>14366.82</v>
      </c>
      <c r="N527" s="926">
        <v>45986</v>
      </c>
      <c r="O527" s="936">
        <v>14366.82</v>
      </c>
      <c r="P527" s="932">
        <v>46014</v>
      </c>
      <c r="Q527" s="937" t="str" cm="1">
        <f t="array" aca="1" ref="Q527" ca="1">IF($P527&lt;&gt;"","PAGO",IF($N527&lt;TODAY(),"ATRASADO",IF($N527&gt;TODAY(),"NO PRAZO",IF($N527=TODAY(),"NO PRAZO",SE))))</f>
        <v>PAGO</v>
      </c>
      <c r="R527" s="259" t="str">
        <f t="shared" ca="1" si="8"/>
        <v/>
      </c>
      <c r="S527" s="932"/>
      <c r="T527" s="929"/>
      <c r="U527" s="938">
        <f ca="1">SUBTOTAL(3,Tabela13[[#This Row],[STATUS]])</f>
        <v>1</v>
      </c>
    </row>
    <row r="528" spans="1:21" ht="24" customHeight="1">
      <c r="A528" s="926">
        <v>45986</v>
      </c>
      <c r="B528" s="927">
        <v>112466</v>
      </c>
      <c r="C528" s="928" t="str">
        <f>IFERROR(VLOOKUP(Tabela13[[#This Row],[CÓD. EMPRESA]],Tabela3[[CÓDIGO
 EMPRESA ]:[EMPRESA]],2,FALSE),"")</f>
        <v>COOPERATIVA DE TRABALHO DE RECICLAGEM ECO GUARULHOS</v>
      </c>
      <c r="D528" s="112" t="s">
        <v>337</v>
      </c>
      <c r="E528" s="112" t="s">
        <v>630</v>
      </c>
      <c r="F528" s="930">
        <v>21942</v>
      </c>
      <c r="G528" s="931">
        <v>37</v>
      </c>
      <c r="H528" s="165" t="s">
        <v>53</v>
      </c>
      <c r="I528" s="932">
        <v>45931</v>
      </c>
      <c r="J528" s="926">
        <v>45960</v>
      </c>
      <c r="K528" s="933">
        <v>14036.14</v>
      </c>
      <c r="L528" s="934">
        <f>Tabela13[[#This Row],[VALOR
 BRUTO ]]-Tabela13[[#This Row],[VALOR 
LIQUIDO ]]</f>
        <v>701.81</v>
      </c>
      <c r="M528" s="935">
        <f>Tabela13[[#This Row],[VALORES PAGOS 
(FORMA PAGTO)]]</f>
        <v>13334.33</v>
      </c>
      <c r="N528" s="926">
        <v>45986</v>
      </c>
      <c r="O528" s="936">
        <v>13334.33</v>
      </c>
      <c r="P528" s="932">
        <v>46014</v>
      </c>
      <c r="Q528" s="937" t="str" cm="1">
        <f t="array" aca="1" ref="Q528" ca="1">IF($P528&lt;&gt;"","PAGO",IF($N528&lt;TODAY(),"ATRASADO",IF($N528&gt;TODAY(),"NO PRAZO",IF($N528=TODAY(),"NO PRAZO",SE))))</f>
        <v>PAGO</v>
      </c>
      <c r="R528" s="259" t="str">
        <f t="shared" ca="1" si="8"/>
        <v/>
      </c>
      <c r="S528" s="932"/>
      <c r="T528" s="929"/>
      <c r="U528" s="938">
        <f ca="1">SUBTOTAL(3,Tabela13[[#This Row],[STATUS]])</f>
        <v>1</v>
      </c>
    </row>
    <row r="529" spans="1:21" ht="24" customHeight="1">
      <c r="A529" s="926">
        <v>45986</v>
      </c>
      <c r="B529" s="927">
        <v>118229</v>
      </c>
      <c r="C529" s="928" t="str">
        <f>IFERROR(VLOOKUP(Tabela13[[#This Row],[CÓD. EMPRESA]],Tabela3[[CÓDIGO
 EMPRESA ]:[EMPRESA]],2,FALSE),"")</f>
        <v>COOPERATIVA DE TRABALHO DAS CATADORAS E CATADORES DE MATERIAIS RECICLAVEIS LUTA E VIDA</v>
      </c>
      <c r="D529" s="112" t="s">
        <v>330</v>
      </c>
      <c r="E529" s="112" t="s">
        <v>497</v>
      </c>
      <c r="F529" s="930">
        <v>9408</v>
      </c>
      <c r="G529" s="931">
        <v>16</v>
      </c>
      <c r="H529" s="165" t="s">
        <v>53</v>
      </c>
      <c r="I529" s="932">
        <v>45901</v>
      </c>
      <c r="J529" s="926">
        <v>45930</v>
      </c>
      <c r="K529" s="933">
        <v>10246.23</v>
      </c>
      <c r="L529" s="934">
        <f>Tabela13[[#This Row],[VALOR
 BRUTO ]]-Tabela13[[#This Row],[VALOR 
LIQUIDO ]]</f>
        <v>0</v>
      </c>
      <c r="M529" s="935">
        <f>Tabela13[[#This Row],[VALORES PAGOS 
(FORMA PAGTO)]]</f>
        <v>10246.23</v>
      </c>
      <c r="N529" s="926">
        <v>45986</v>
      </c>
      <c r="O529" s="936">
        <v>10246.23</v>
      </c>
      <c r="P529" s="932">
        <v>46023</v>
      </c>
      <c r="Q529" s="937" t="str" cm="1">
        <f t="array" aca="1" ref="Q529" ca="1">IF($P529&lt;&gt;"","PAGO",IF($N529&lt;TODAY(),"ATRASADO",IF($N529&gt;TODAY(),"NO PRAZO",IF($N529=TODAY(),"NO PRAZO",SE))))</f>
        <v>PAGO</v>
      </c>
      <c r="R529" s="259" t="str">
        <f t="shared" ca="1" si="8"/>
        <v/>
      </c>
      <c r="S529" s="932"/>
      <c r="T529" s="112"/>
      <c r="U529" s="938">
        <f ca="1">SUBTOTAL(3,Tabela13[[#This Row],[STATUS]])</f>
        <v>1</v>
      </c>
    </row>
    <row r="530" spans="1:21" ht="24" customHeight="1">
      <c r="A530" s="926">
        <v>45986</v>
      </c>
      <c r="B530" s="927">
        <v>118229</v>
      </c>
      <c r="C530" s="928" t="str">
        <f>IFERROR(VLOOKUP(Tabela13[[#This Row],[CÓD. EMPRESA]],Tabela3[[CÓDIGO
 EMPRESA ]:[EMPRESA]],2,FALSE),"")</f>
        <v>COOPERATIVA DE TRABALHO DAS CATADORAS E CATADORES DE MATERIAIS RECICLAVEIS LUTA E VIDA</v>
      </c>
      <c r="D530" s="112" t="s">
        <v>330</v>
      </c>
      <c r="E530" s="112" t="s">
        <v>497</v>
      </c>
      <c r="F530" s="930">
        <v>11485</v>
      </c>
      <c r="G530" s="931">
        <v>16</v>
      </c>
      <c r="H530" s="165" t="s">
        <v>53</v>
      </c>
      <c r="I530" s="932">
        <v>45901</v>
      </c>
      <c r="J530" s="926">
        <v>45930</v>
      </c>
      <c r="K530" s="933">
        <v>21116.13</v>
      </c>
      <c r="L530" s="934">
        <f>Tabela13[[#This Row],[VALOR
 BRUTO ]]-Tabela13[[#This Row],[VALOR 
LIQUIDO ]]</f>
        <v>1568.12</v>
      </c>
      <c r="M530" s="935">
        <f>Tabela13[[#This Row],[VALORES PAGOS 
(FORMA PAGTO)]]</f>
        <v>19548.009999999998</v>
      </c>
      <c r="N530" s="926">
        <v>45986</v>
      </c>
      <c r="O530" s="936">
        <v>19548.009999999998</v>
      </c>
      <c r="P530" s="932">
        <v>46023</v>
      </c>
      <c r="Q530" s="937" t="str" cm="1">
        <f t="array" aca="1" ref="Q530" ca="1">IF($P530&lt;&gt;"","PAGO",IF($N530&lt;TODAY(),"ATRASADO",IF($N530&gt;TODAY(),"NO PRAZO",IF($N530=TODAY(),"NO PRAZO",SE))))</f>
        <v>PAGO</v>
      </c>
      <c r="R530" s="259" t="str">
        <f t="shared" ca="1" si="8"/>
        <v/>
      </c>
      <c r="S530" s="932"/>
      <c r="T530" s="929"/>
      <c r="U530" s="938">
        <f ca="1">SUBTOTAL(3,Tabela13[[#This Row],[STATUS]])</f>
        <v>1</v>
      </c>
    </row>
    <row r="531" spans="1:21" ht="24" customHeight="1">
      <c r="A531" s="926">
        <v>45986</v>
      </c>
      <c r="B531" s="927">
        <v>119166</v>
      </c>
      <c r="C531" s="688" t="str">
        <f>IFERROR(VLOOKUP(Tabela13[[#This Row],[CÓD. EMPRESA]],Tabela3[[CÓDIGO
 EMPRESA ]:[EMPRESA]],2,FALSE),"")</f>
        <v>COOPERATIVA DE TRABALHO DE CATADORES E CATADORAS DE MATERIAL DE RECICLAGEM VILA RENATA CRV</v>
      </c>
      <c r="D531" s="112" t="s">
        <v>347</v>
      </c>
      <c r="E531" s="112" t="s">
        <v>497</v>
      </c>
      <c r="F531" s="930">
        <v>21705</v>
      </c>
      <c r="G531" s="931">
        <v>11</v>
      </c>
      <c r="H531" s="165" t="s">
        <v>53</v>
      </c>
      <c r="I531" s="932">
        <v>45901</v>
      </c>
      <c r="J531" s="926">
        <v>45930</v>
      </c>
      <c r="K531" s="933">
        <v>21901.16</v>
      </c>
      <c r="L531" s="934">
        <f>Tabela13[[#This Row],[VALOR
 BRUTO ]]-Tabela13[[#This Row],[VALOR 
LIQUIDO ]]</f>
        <v>1095.06</v>
      </c>
      <c r="M531" s="935">
        <f>Tabela13[[#This Row],[VALORES PAGOS 
(FORMA PAGTO)]]</f>
        <v>20806.099999999999</v>
      </c>
      <c r="N531" s="926">
        <v>45986</v>
      </c>
      <c r="O531" s="936">
        <v>20806.099999999999</v>
      </c>
      <c r="P531" s="932">
        <v>46014</v>
      </c>
      <c r="Q531" s="937" t="str" cm="1">
        <f t="array" aca="1" ref="Q531" ca="1">IF($P531&lt;&gt;"","PAGO",IF($N531&lt;TODAY(),"ATRASADO",IF($N531&gt;TODAY(),"NO PRAZO",IF($N531=TODAY(),"NO PRAZO",SE))))</f>
        <v>PAGO</v>
      </c>
      <c r="R531" s="259" t="str">
        <f t="shared" ca="1" si="8"/>
        <v/>
      </c>
      <c r="S531" s="932"/>
      <c r="T531" s="929"/>
      <c r="U531" s="938">
        <f ca="1">SUBTOTAL(3,Tabela13[[#This Row],[STATUS]])</f>
        <v>1</v>
      </c>
    </row>
    <row r="532" spans="1:21" ht="24" customHeight="1">
      <c r="A532" s="926">
        <v>45986</v>
      </c>
      <c r="B532" s="927">
        <v>118247</v>
      </c>
      <c r="C532" s="928" t="str">
        <f>IFERROR(VLOOKUP(Tabela13[[#This Row],[CÓD. EMPRESA]],Tabela3[[CÓDIGO
 EMPRESA ]:[EMPRESA]],2,FALSE),"")</f>
        <v>COOPERATIVA DE TRABALHO DE CATADORAS DE CATADORES DE MATERIAIS RECICLAVEIS GUARULHOS RECICLA</v>
      </c>
      <c r="D532" s="112" t="s">
        <v>331</v>
      </c>
      <c r="E532" s="112" t="s">
        <v>536</v>
      </c>
      <c r="F532" s="930">
        <v>23502</v>
      </c>
      <c r="G532" s="109">
        <v>13</v>
      </c>
      <c r="H532" s="165" t="s">
        <v>53</v>
      </c>
      <c r="I532" s="932">
        <v>45931</v>
      </c>
      <c r="J532" s="926">
        <v>45961</v>
      </c>
      <c r="K532" s="401">
        <v>17206.759999999998</v>
      </c>
      <c r="L532" s="934">
        <f>Tabela13[[#This Row],[VALOR
 BRUTO ]]-Tabela13[[#This Row],[VALOR 
LIQUIDO ]]</f>
        <v>860.34</v>
      </c>
      <c r="M532" s="935">
        <f>Tabela13[[#This Row],[VALORES PAGOS 
(FORMA PAGTO)]]</f>
        <v>16346.42</v>
      </c>
      <c r="N532" s="926">
        <v>45986</v>
      </c>
      <c r="O532" s="936">
        <v>16346.42</v>
      </c>
      <c r="P532" s="932">
        <v>46023</v>
      </c>
      <c r="Q532" s="937" t="str" cm="1">
        <f t="array" aca="1" ref="Q532" ca="1">IF($P532&lt;&gt;"","PAGO",IF($N532&lt;TODAY(),"ATRASADO",IF($N532&gt;TODAY(),"NO PRAZO",IF($N532=TODAY(),"NO PRAZO",SE))))</f>
        <v>PAGO</v>
      </c>
      <c r="R532" s="259" t="str">
        <f t="shared" ca="1" si="8"/>
        <v/>
      </c>
      <c r="S532" s="932"/>
      <c r="T532" s="929"/>
      <c r="U532" s="938">
        <f ca="1">SUBTOTAL(3,Tabela13[[#This Row],[STATUS]])</f>
        <v>1</v>
      </c>
    </row>
    <row r="533" spans="1:21" ht="24" customHeight="1">
      <c r="A533" s="926">
        <v>45986</v>
      </c>
      <c r="B533" s="927">
        <v>118229</v>
      </c>
      <c r="C533" s="928" t="str">
        <f>IFERROR(VLOOKUP(Tabela13[[#This Row],[CÓD. EMPRESA]],Tabela3[[CÓDIGO
 EMPRESA ]:[EMPRESA]],2,FALSE),"")</f>
        <v>COOPERATIVA DE TRABALHO DAS CATADORAS E CATADORES DE MATERIAIS RECICLAVEIS LUTA E VIDA</v>
      </c>
      <c r="D533" s="112" t="s">
        <v>330</v>
      </c>
      <c r="E533" s="112" t="s">
        <v>497</v>
      </c>
      <c r="F533" s="930">
        <v>26422</v>
      </c>
      <c r="G533" s="931">
        <v>17</v>
      </c>
      <c r="H533" s="165" t="s">
        <v>53</v>
      </c>
      <c r="I533" s="932">
        <v>45931</v>
      </c>
      <c r="J533" s="926">
        <v>45961</v>
      </c>
      <c r="K533" s="933">
        <v>8748</v>
      </c>
      <c r="L533" s="934">
        <f>Tabela13[[#This Row],[VALOR
 BRUTO ]]-Tabela13[[#This Row],[VALOR 
LIQUIDO ]]</f>
        <v>0</v>
      </c>
      <c r="M533" s="935">
        <f>Tabela13[[#This Row],[VALORES PAGOS 
(FORMA PAGTO)]]</f>
        <v>8748</v>
      </c>
      <c r="N533" s="926">
        <v>45986</v>
      </c>
      <c r="O533" s="936">
        <v>8748</v>
      </c>
      <c r="P533" s="932">
        <v>46023</v>
      </c>
      <c r="Q533" s="937" t="str" cm="1">
        <f t="array" aca="1" ref="Q533" ca="1">IF($P533&lt;&gt;"","PAGO",IF($N533&lt;TODAY(),"ATRASADO",IF($N533&gt;TODAY(),"NO PRAZO",IF($N533=TODAY(),"NO PRAZO",SE))))</f>
        <v>PAGO</v>
      </c>
      <c r="R533" s="259" t="str">
        <f t="shared" ca="1" si="8"/>
        <v/>
      </c>
      <c r="S533" s="932"/>
      <c r="T533" s="929"/>
      <c r="U533" s="938">
        <f ca="1">SUBTOTAL(3,Tabela13[[#This Row],[STATUS]])</f>
        <v>1</v>
      </c>
    </row>
    <row r="534" spans="1:21" ht="24" customHeight="1">
      <c r="A534" s="926">
        <v>45987</v>
      </c>
      <c r="B534" s="927">
        <v>54615</v>
      </c>
      <c r="C534" s="928" t="str">
        <f>IFERROR(VLOOKUP(Tabela13[[#This Row],[CÓD. EMPRESA]],Tabela3[[CÓDIGO
 EMPRESA ]:[EMPRESA]],2,FALSE),"")</f>
        <v>NEO-TAGUS COMERCIO E ASSISTENCIA TECNICA LTDA</v>
      </c>
      <c r="D534" s="112" t="s">
        <v>710</v>
      </c>
      <c r="E534" s="112" t="s">
        <v>686</v>
      </c>
      <c r="F534" s="930">
        <v>21864</v>
      </c>
      <c r="G534" s="931">
        <v>9672</v>
      </c>
      <c r="H534" s="165" t="s">
        <v>53</v>
      </c>
      <c r="I534" s="932">
        <v>45928</v>
      </c>
      <c r="J534" s="926">
        <v>45957</v>
      </c>
      <c r="K534" s="933">
        <v>4233</v>
      </c>
      <c r="L534" s="934">
        <f>Tabela13[[#This Row],[VALOR
 BRUTO ]]-Tabela13[[#This Row],[VALOR 
LIQUIDO ]]</f>
        <v>203.18</v>
      </c>
      <c r="M534" s="935">
        <f>Tabela13[[#This Row],[VALORES PAGOS 
(FORMA PAGTO)]]</f>
        <v>4029.82</v>
      </c>
      <c r="N534" s="926">
        <v>45989</v>
      </c>
      <c r="O534" s="936">
        <v>4029.82</v>
      </c>
      <c r="P534" s="932">
        <v>46007</v>
      </c>
      <c r="Q534" s="937" t="str" cm="1">
        <f t="array" aca="1" ref="Q534" ca="1">IF($P534&lt;&gt;"","PAGO",IF($N534&lt;TODAY(),"ATRASADO",IF($N534&gt;TODAY(),"NO PRAZO",IF($N534=TODAY(),"NO PRAZO",SE))))</f>
        <v>PAGO</v>
      </c>
      <c r="R534" s="259" t="str">
        <f t="shared" ca="1" si="8"/>
        <v/>
      </c>
      <c r="S534" s="932"/>
      <c r="T534" s="929"/>
      <c r="U534" s="938">
        <f ca="1">SUBTOTAL(3,Tabela13[[#This Row],[STATUS]])</f>
        <v>1</v>
      </c>
    </row>
    <row r="535" spans="1:21" ht="24" customHeight="1">
      <c r="A535" s="926">
        <v>45988</v>
      </c>
      <c r="B535" s="927">
        <v>51481</v>
      </c>
      <c r="C535" s="928" t="str">
        <f>IFERROR(VLOOKUP(Tabela13[[#This Row],[CÓD. EMPRESA]],Tabela3[[CÓDIGO
 EMPRESA ]:[EMPRESA]],2,FALSE),"")</f>
        <v>LIGA INDUSTRIA E COMÉRCIO DE MATERIAL PARA CONSTRUÇÃO LTDA .</v>
      </c>
      <c r="D535" s="112" t="s">
        <v>712</v>
      </c>
      <c r="E535" s="112" t="s">
        <v>637</v>
      </c>
      <c r="F535" s="930">
        <v>20078</v>
      </c>
      <c r="G535" s="931">
        <v>108</v>
      </c>
      <c r="H535" s="165" t="s">
        <v>54</v>
      </c>
      <c r="I535" s="932"/>
      <c r="J535" s="926"/>
      <c r="K535" s="933">
        <v>1120</v>
      </c>
      <c r="L535" s="934">
        <f>Tabela13[[#This Row],[VALOR
 BRUTO ]]-Tabela13[[#This Row],[VALOR 
LIQUIDO ]]</f>
        <v>0</v>
      </c>
      <c r="M535" s="935">
        <f>Tabela13[[#This Row],[VALORES PAGOS 
(FORMA PAGTO)]]</f>
        <v>1120</v>
      </c>
      <c r="N535" s="926">
        <v>45997</v>
      </c>
      <c r="O535" s="936">
        <v>1120</v>
      </c>
      <c r="P535" s="932">
        <v>46023</v>
      </c>
      <c r="Q535" s="937" t="str" cm="1">
        <f t="array" aca="1" ref="Q535" ca="1">IF($P535&lt;&gt;"","PAGO",IF($N535&lt;TODAY(),"ATRASADO",IF($N535&gt;TODAY(),"NO PRAZO",IF($N535=TODAY(),"NO PRAZO",SE))))</f>
        <v>PAGO</v>
      </c>
      <c r="R535" s="259" t="str">
        <f t="shared" ca="1" si="8"/>
        <v/>
      </c>
      <c r="S535" s="932"/>
      <c r="T535" s="929"/>
      <c r="U535" s="938">
        <f ca="1">SUBTOTAL(3,Tabela13[[#This Row],[STATUS]])</f>
        <v>1</v>
      </c>
    </row>
    <row r="536" spans="1:21" ht="24" customHeight="1">
      <c r="A536" s="926">
        <v>45988</v>
      </c>
      <c r="B536" s="927">
        <v>51481</v>
      </c>
      <c r="C536" s="928" t="str">
        <f>IFERROR(VLOOKUP(Tabela13[[#This Row],[CÓD. EMPRESA]],Tabela3[[CÓDIGO
 EMPRESA ]:[EMPRESA]],2,FALSE),"")</f>
        <v>LIGA INDUSTRIA E COMÉRCIO DE MATERIAL PARA CONSTRUÇÃO LTDA .</v>
      </c>
      <c r="D536" s="112" t="s">
        <v>711</v>
      </c>
      <c r="E536" s="112" t="s">
        <v>637</v>
      </c>
      <c r="F536" s="930">
        <v>21558</v>
      </c>
      <c r="G536" s="931">
        <v>108</v>
      </c>
      <c r="H536" s="165" t="s">
        <v>54</v>
      </c>
      <c r="I536" s="932"/>
      <c r="J536" s="926"/>
      <c r="K536" s="933">
        <v>5600</v>
      </c>
      <c r="L536" s="934">
        <f>Tabela13[[#This Row],[VALOR
 BRUTO ]]-Tabela13[[#This Row],[VALOR 
LIQUIDO ]]</f>
        <v>215.04</v>
      </c>
      <c r="M536" s="935">
        <f>Tabela13[[#This Row],[VALORES PAGOS 
(FORMA PAGTO)]]</f>
        <v>5384.96</v>
      </c>
      <c r="N536" s="926">
        <v>45997</v>
      </c>
      <c r="O536" s="936">
        <v>5384.96</v>
      </c>
      <c r="P536" s="932">
        <v>46023</v>
      </c>
      <c r="Q536" s="937" t="str" cm="1">
        <f t="array" aca="1" ref="Q536" ca="1">IF($P536&lt;&gt;"","PAGO",IF($N536&lt;TODAY(),"ATRASADO",IF($N536&gt;TODAY(),"NO PRAZO",IF($N536=TODAY(),"NO PRAZO",SE))))</f>
        <v>PAGO</v>
      </c>
      <c r="R536" s="259" t="str">
        <f t="shared" ca="1" si="8"/>
        <v/>
      </c>
      <c r="S536" s="932"/>
      <c r="T536" s="929"/>
      <c r="U536" s="938">
        <f ca="1">SUBTOTAL(3,Tabela13[[#This Row],[STATUS]])</f>
        <v>1</v>
      </c>
    </row>
    <row r="537" spans="1:21" ht="24" customHeight="1">
      <c r="A537" s="926">
        <v>45988</v>
      </c>
      <c r="B537" s="927">
        <v>118229</v>
      </c>
      <c r="C537" s="928" t="str">
        <f>IFERROR(VLOOKUP(Tabela13[[#This Row],[CÓD. EMPRESA]],Tabela3[[CÓDIGO
 EMPRESA ]:[EMPRESA]],2,FALSE),"")</f>
        <v>COOPERATIVA DE TRABALHO DAS CATADORAS E CATADORES DE MATERIAIS RECICLAVEIS LUTA E VIDA</v>
      </c>
      <c r="D537" s="112" t="s">
        <v>330</v>
      </c>
      <c r="E537" s="112" t="s">
        <v>497</v>
      </c>
      <c r="F537" s="930">
        <v>11485</v>
      </c>
      <c r="G537" s="931">
        <v>17</v>
      </c>
      <c r="H537" s="165" t="s">
        <v>53</v>
      </c>
      <c r="I537" s="932">
        <v>45931</v>
      </c>
      <c r="J537" s="926">
        <v>45961</v>
      </c>
      <c r="K537" s="933">
        <v>17657.669999999998</v>
      </c>
      <c r="L537" s="934">
        <f>Tabela13[[#This Row],[VALOR
 BRUTO ]]-Tabela13[[#This Row],[VALOR 
LIQUIDO ]]</f>
        <v>1320.28</v>
      </c>
      <c r="M537" s="935">
        <f>Tabela13[[#This Row],[VALORES PAGOS 
(FORMA PAGTO)]]</f>
        <v>16337.39</v>
      </c>
      <c r="N537" s="926">
        <v>45986</v>
      </c>
      <c r="O537" s="936">
        <v>16337.39</v>
      </c>
      <c r="P537" s="147" t="s">
        <v>808</v>
      </c>
      <c r="Q537" s="937" t="str" cm="1">
        <f t="array" aca="1" ref="Q537" ca="1">IF($P537&lt;&gt;"","PAGO",IF($N537&lt;TODAY(),"ATRASADO",IF($N537&gt;TODAY(),"NO PRAZO",IF($N537=TODAY(),"NO PRAZO",SE))))</f>
        <v>PAGO</v>
      </c>
      <c r="R537" s="259" t="str">
        <f t="shared" ca="1" si="8"/>
        <v/>
      </c>
      <c r="S537" s="932"/>
      <c r="T537" s="929"/>
      <c r="U537" s="938">
        <f ca="1">SUBTOTAL(3,Tabela13[[#This Row],[STATUS]])</f>
        <v>1</v>
      </c>
    </row>
    <row r="538" spans="1:21" ht="24" customHeight="1">
      <c r="A538" s="926">
        <v>45988</v>
      </c>
      <c r="B538" s="927">
        <v>120765</v>
      </c>
      <c r="C538" s="688" t="s">
        <v>705</v>
      </c>
      <c r="D538" s="112" t="s">
        <v>713</v>
      </c>
      <c r="E538" s="112" t="s">
        <v>707</v>
      </c>
      <c r="F538" s="930">
        <v>24376</v>
      </c>
      <c r="G538" s="931">
        <v>1258</v>
      </c>
      <c r="H538" s="165" t="s">
        <v>54</v>
      </c>
      <c r="I538" s="932"/>
      <c r="J538" s="926"/>
      <c r="K538" s="933">
        <v>8734.5</v>
      </c>
      <c r="L538" s="934">
        <f>Tabela13[[#This Row],[VALOR
 BRUTO ]]-Tabela13[[#This Row],[VALOR 
LIQUIDO ]]</f>
        <v>0</v>
      </c>
      <c r="M538" s="935">
        <f>Tabela13[[#This Row],[VALORES PAGOS 
(FORMA PAGTO)]]</f>
        <v>8734.5</v>
      </c>
      <c r="N538" s="926">
        <v>46014</v>
      </c>
      <c r="O538" s="936">
        <v>8734.5</v>
      </c>
      <c r="P538" s="932">
        <v>46023</v>
      </c>
      <c r="Q538" s="937" t="str" cm="1">
        <f t="array" aca="1" ref="Q538" ca="1">IF($P538&lt;&gt;"","PAGO",IF($N538&lt;TODAY(),"ATRASADO",IF($N538&gt;TODAY(),"NO PRAZO",IF($N538=TODAY(),"NO PRAZO",SE))))</f>
        <v>PAGO</v>
      </c>
      <c r="R538" s="259" t="str">
        <f t="shared" ca="1" si="8"/>
        <v/>
      </c>
      <c r="S538" s="932"/>
      <c r="T538" s="929"/>
      <c r="U538" s="938">
        <f ca="1">SUBTOTAL(3,Tabela13[[#This Row],[STATUS]])</f>
        <v>1</v>
      </c>
    </row>
    <row r="539" spans="1:21" ht="24" customHeight="1">
      <c r="A539" s="926">
        <v>45988</v>
      </c>
      <c r="B539" s="114">
        <v>125999</v>
      </c>
      <c r="C539" s="688" t="s">
        <v>714</v>
      </c>
      <c r="D539" s="112" t="s">
        <v>715</v>
      </c>
      <c r="E539" s="929"/>
      <c r="F539" s="930">
        <v>23212</v>
      </c>
      <c r="G539" s="931">
        <v>37</v>
      </c>
      <c r="H539" s="165" t="s">
        <v>53</v>
      </c>
      <c r="I539" s="932"/>
      <c r="J539" s="926"/>
      <c r="K539" s="933">
        <v>519.87</v>
      </c>
      <c r="L539" s="934">
        <f>Tabela13[[#This Row],[VALOR
 BRUTO ]]-Tabela13[[#This Row],[VALOR 
LIQUIDO ]]</f>
        <v>0</v>
      </c>
      <c r="M539" s="935">
        <f>Tabela13[[#This Row],[VALORES PAGOS 
(FORMA PAGTO)]]</f>
        <v>519.87</v>
      </c>
      <c r="N539" s="926">
        <v>45990</v>
      </c>
      <c r="O539" s="936">
        <v>519.87</v>
      </c>
      <c r="P539" s="932">
        <v>46007</v>
      </c>
      <c r="Q539" s="937" t="str" cm="1">
        <f t="array" aca="1" ref="Q539" ca="1">IF($P539&lt;&gt;"","PAGO",IF($N539&lt;TODAY(),"ATRASADO",IF($N539&gt;TODAY(),"NO PRAZO",IF($N539=TODAY(),"NO PRAZO",SE))))</f>
        <v>PAGO</v>
      </c>
      <c r="R539" s="259" t="str">
        <f t="shared" ca="1" si="8"/>
        <v/>
      </c>
      <c r="S539" s="932"/>
      <c r="T539" s="929"/>
      <c r="U539" s="938">
        <f ca="1">SUBTOTAL(3,Tabela13[[#This Row],[STATUS]])</f>
        <v>1</v>
      </c>
    </row>
    <row r="540" spans="1:21" ht="24" customHeight="1">
      <c r="A540" s="113">
        <v>45988</v>
      </c>
      <c r="B540" s="920">
        <v>120765</v>
      </c>
      <c r="C540" s="688" t="s">
        <v>705</v>
      </c>
      <c r="D540" s="112" t="s">
        <v>706</v>
      </c>
      <c r="E540" s="112" t="s">
        <v>707</v>
      </c>
      <c r="F540" s="922">
        <v>24376</v>
      </c>
      <c r="G540" s="923">
        <v>1259</v>
      </c>
      <c r="H540" s="165" t="s">
        <v>54</v>
      </c>
      <c r="I540" s="887"/>
      <c r="J540" s="885"/>
      <c r="K540" s="888">
        <v>677.6</v>
      </c>
      <c r="L540" s="889">
        <f>Tabela13[[#This Row],[VALOR
 BRUTO ]]-Tabela13[[#This Row],[VALOR 
LIQUIDO ]]</f>
        <v>0</v>
      </c>
      <c r="M540" s="890">
        <f>Tabela13[[#This Row],[VALORES PAGOS 
(FORMA PAGTO)]]</f>
        <v>677.6</v>
      </c>
      <c r="N540" s="885">
        <v>46001</v>
      </c>
      <c r="O540" s="891">
        <v>677.6</v>
      </c>
      <c r="P540" s="887">
        <v>46023</v>
      </c>
      <c r="Q540" s="892" t="str" cm="1">
        <f t="array" aca="1" ref="Q540" ca="1">IF($P540&lt;&gt;"","PAGO",IF($N540&lt;TODAY(),"ATRASADO",IF($N540&gt;TODAY(),"NO PRAZO",IF($N540=TODAY(),"NO PRAZO",SE))))</f>
        <v>PAGO</v>
      </c>
      <c r="R540" s="259" t="str">
        <f t="shared" ca="1" si="8"/>
        <v/>
      </c>
      <c r="S540" s="887"/>
      <c r="T540" s="886"/>
      <c r="U540" s="893">
        <f ca="1">SUBTOTAL(3,Tabela13[[#This Row],[STATUS]])</f>
        <v>1</v>
      </c>
    </row>
    <row r="541" spans="1:21" ht="24" customHeight="1">
      <c r="A541" s="926">
        <v>45988</v>
      </c>
      <c r="B541" s="105">
        <v>121973</v>
      </c>
      <c r="C541" s="928" t="s">
        <v>341</v>
      </c>
      <c r="D541" s="112" t="s">
        <v>446</v>
      </c>
      <c r="E541" s="112" t="s">
        <v>564</v>
      </c>
      <c r="F541" s="930">
        <v>19160</v>
      </c>
      <c r="G541" s="931">
        <v>11</v>
      </c>
      <c r="H541" s="165" t="s">
        <v>54</v>
      </c>
      <c r="I541" s="932">
        <v>45931</v>
      </c>
      <c r="J541" s="926">
        <v>45961</v>
      </c>
      <c r="K541" s="933">
        <v>30496.97</v>
      </c>
      <c r="L541" s="934">
        <f>Tabela13[[#This Row],[VALOR
 BRUTO ]]-Tabela13[[#This Row],[VALOR 
LIQUIDO ]]</f>
        <v>0</v>
      </c>
      <c r="M541" s="935">
        <f>Tabela13[[#This Row],[VALORES PAGOS 
(FORMA PAGTO)]]</f>
        <v>30496.97</v>
      </c>
      <c r="N541" s="926">
        <v>46017</v>
      </c>
      <c r="O541" s="936">
        <v>30496.97</v>
      </c>
      <c r="P541" s="932">
        <v>46052</v>
      </c>
      <c r="Q541" s="937" t="str" cm="1">
        <f t="array" aca="1" ref="Q541" ca="1">IF($P541&lt;&gt;"","PAGO",IF($N541&lt;TODAY(),"ATRASADO",IF($N541&gt;TODAY(),"NO PRAZO",IF($N541=TODAY(),"NO PRAZO",SE))))</f>
        <v>PAGO</v>
      </c>
      <c r="R541" s="259" t="str">
        <f t="shared" ca="1" si="8"/>
        <v/>
      </c>
      <c r="S541" s="932"/>
      <c r="T541" s="929"/>
      <c r="U541" s="938">
        <f ca="1">SUBTOTAL(3,Tabela13[[#This Row],[STATUS]])</f>
        <v>1</v>
      </c>
    </row>
    <row r="542" spans="1:21" ht="24" customHeight="1">
      <c r="A542" s="1024">
        <v>45988</v>
      </c>
      <c r="B542" s="1025">
        <v>121973</v>
      </c>
      <c r="C542" s="1026" t="str">
        <f>IFERROR(VLOOKUP(Tabela13[[#This Row],[CÓD. EMPRESA]],Tabela3[[CÓDIGO
 EMPRESA ]:[EMPRESA]],2,FALSE),"")</f>
        <v>CONSORCIO CENTRO DE TRATAMENTO DE RESIDUOS GUARULHOS</v>
      </c>
      <c r="D542" s="112" t="s">
        <v>446</v>
      </c>
      <c r="E542" s="112" t="s">
        <v>564</v>
      </c>
      <c r="F542" s="1028">
        <v>21701</v>
      </c>
      <c r="G542" s="1029">
        <v>11</v>
      </c>
      <c r="H542" s="165" t="s">
        <v>54</v>
      </c>
      <c r="I542" s="1030">
        <v>45931</v>
      </c>
      <c r="J542" s="1024">
        <v>45961</v>
      </c>
      <c r="K542" s="1031">
        <v>1000000</v>
      </c>
      <c r="L542" s="1032">
        <f>Tabela13[[#This Row],[VALOR
 BRUTO ]]-Tabela13[[#This Row],[VALOR 
LIQUIDO ]]</f>
        <v>178384.26</v>
      </c>
      <c r="M542" s="1033">
        <f>Tabela13[[#This Row],[VALORES PAGOS 
(FORMA PAGTO)]]</f>
        <v>821615.74</v>
      </c>
      <c r="N542" s="1024">
        <v>46017</v>
      </c>
      <c r="O542" s="1034">
        <v>821615.74</v>
      </c>
      <c r="P542" s="1030">
        <v>46052</v>
      </c>
      <c r="Q542" s="1035" t="str" cm="1">
        <f t="array" aca="1" ref="Q542" ca="1">IF($P542&lt;&gt;"","PAGO",IF($N542&lt;TODAY(),"ATRASADO",IF($N542&gt;TODAY(),"NO PRAZO",IF($N542=TODAY(),"NO PRAZO",SE))))</f>
        <v>PAGO</v>
      </c>
      <c r="R542" s="259" t="str">
        <f t="shared" ca="1" si="8"/>
        <v/>
      </c>
      <c r="S542" s="1030"/>
      <c r="T542" s="1027"/>
      <c r="U542" s="1036">
        <f ca="1">SUBTOTAL(3,Tabela13[[#This Row],[STATUS]])</f>
        <v>1</v>
      </c>
    </row>
    <row r="543" spans="1:21" ht="24" customHeight="1">
      <c r="A543" s="1024">
        <v>45988</v>
      </c>
      <c r="B543" s="1025">
        <v>121973</v>
      </c>
      <c r="C543" s="1026" t="str">
        <f>IFERROR(VLOOKUP(Tabela13[[#This Row],[CÓD. EMPRESA]],Tabela3[[CÓDIGO
 EMPRESA ]:[EMPRESA]],2,FALSE),"")</f>
        <v>CONSORCIO CENTRO DE TRATAMENTO DE RESIDUOS GUARULHOS</v>
      </c>
      <c r="D543" s="112" t="s">
        <v>446</v>
      </c>
      <c r="E543" s="112" t="s">
        <v>564</v>
      </c>
      <c r="F543" s="1028">
        <v>21911</v>
      </c>
      <c r="G543" s="1029">
        <v>11</v>
      </c>
      <c r="H543" s="165" t="s">
        <v>54</v>
      </c>
      <c r="I543" s="1030">
        <v>45931</v>
      </c>
      <c r="J543" s="1024">
        <v>45961</v>
      </c>
      <c r="K543" s="1031">
        <v>135413.18</v>
      </c>
      <c r="L543" s="1032">
        <f>Tabela13[[#This Row],[VALOR
 BRUTO ]]-Tabela13[[#This Row],[VALOR 
LIQUIDO ]]</f>
        <v>0</v>
      </c>
      <c r="M543" s="1033">
        <f>Tabela13[[#This Row],[VALORES PAGOS 
(FORMA PAGTO)]]</f>
        <v>135413.18</v>
      </c>
      <c r="N543" s="1024">
        <v>46017</v>
      </c>
      <c r="O543" s="1034">
        <v>135413.18</v>
      </c>
      <c r="P543" s="1030">
        <v>46052</v>
      </c>
      <c r="Q543" s="1035" t="str" cm="1">
        <f t="array" aca="1" ref="Q543" ca="1">IF($P543&lt;&gt;"","PAGO",IF($N543&lt;TODAY(),"ATRASADO",IF($N543&gt;TODAY(),"NO PRAZO",IF($N543=TODAY(),"NO PRAZO",SE))))</f>
        <v>PAGO</v>
      </c>
      <c r="R543" s="259" t="str">
        <f t="shared" ca="1" si="8"/>
        <v/>
      </c>
      <c r="S543" s="1030"/>
      <c r="T543" s="1027"/>
      <c r="U543" s="1036">
        <f ca="1">SUBTOTAL(3,Tabela13[[#This Row],[STATUS]])</f>
        <v>1</v>
      </c>
    </row>
    <row r="544" spans="1:21" ht="24" customHeight="1">
      <c r="A544" s="926">
        <v>45989</v>
      </c>
      <c r="B544" s="927">
        <v>53082312</v>
      </c>
      <c r="C544" s="688" t="s">
        <v>716</v>
      </c>
      <c r="D544" s="112" t="s">
        <v>717</v>
      </c>
      <c r="E544" s="112" t="s">
        <v>718</v>
      </c>
      <c r="F544" s="930">
        <v>22366</v>
      </c>
      <c r="G544" s="931">
        <v>40</v>
      </c>
      <c r="H544" s="165" t="s">
        <v>53</v>
      </c>
      <c r="I544" s="932"/>
      <c r="J544" s="926"/>
      <c r="K544" s="933">
        <v>11400</v>
      </c>
      <c r="L544" s="934">
        <f>Tabela13[[#This Row],[VALOR
 BRUTO ]]-Tabela13[[#This Row],[VALOR 
LIQUIDO ]]</f>
        <v>0</v>
      </c>
      <c r="M544" s="935">
        <f>Tabela13[[#This Row],[VALORES PAGOS 
(FORMA PAGTO)]]</f>
        <v>11400</v>
      </c>
      <c r="N544" s="926">
        <v>45991</v>
      </c>
      <c r="O544" s="936">
        <v>11400</v>
      </c>
      <c r="P544" s="932">
        <v>46017</v>
      </c>
      <c r="Q544" s="937" t="str" cm="1">
        <f t="array" aca="1" ref="Q544" ca="1">IF($P544&lt;&gt;"","PAGO",IF($N544&lt;TODAY(),"ATRASADO",IF($N544&gt;TODAY(),"NO PRAZO",IF($N544=TODAY(),"NO PRAZO",SE))))</f>
        <v>PAGO</v>
      </c>
      <c r="R544" s="259" t="str">
        <f t="shared" ca="1" si="8"/>
        <v/>
      </c>
      <c r="S544" s="932"/>
      <c r="T544" s="929"/>
      <c r="U544" s="938">
        <f ca="1">SUBTOTAL(3,Tabela13[[#This Row],[STATUS]])</f>
        <v>1</v>
      </c>
    </row>
    <row r="545" spans="1:21" ht="24" customHeight="1">
      <c r="A545" s="926">
        <v>45989</v>
      </c>
      <c r="B545" s="927">
        <v>125799</v>
      </c>
      <c r="C545" s="928" t="str">
        <f>IFERROR(VLOOKUP(Tabela13[[#This Row],[CÓD. EMPRESA]],Tabela3[[CÓDIGO
 EMPRESA ]:[EMPRESA]],2,FALSE),"")</f>
        <v>JCPP MATERIAIS PARA CONSTRUÇÃO LTDA</v>
      </c>
      <c r="D545" s="112" t="s">
        <v>724</v>
      </c>
      <c r="E545" s="929"/>
      <c r="F545" s="930">
        <v>22206</v>
      </c>
      <c r="G545" s="931">
        <v>4064</v>
      </c>
      <c r="H545" s="165" t="s">
        <v>54</v>
      </c>
      <c r="I545" s="932"/>
      <c r="J545" s="926"/>
      <c r="K545" s="933">
        <v>23094.3</v>
      </c>
      <c r="L545" s="934">
        <f>Tabela13[[#This Row],[VALOR
 BRUTO ]]-Tabela13[[#This Row],[VALOR 
LIQUIDO ]]</f>
        <v>0</v>
      </c>
      <c r="M545" s="935">
        <f>Tabela13[[#This Row],[VALORES PAGOS 
(FORMA PAGTO)]]</f>
        <v>23094.3</v>
      </c>
      <c r="N545" s="926">
        <v>45994</v>
      </c>
      <c r="O545" s="936">
        <v>23094.3</v>
      </c>
      <c r="P545" s="932">
        <v>46023</v>
      </c>
      <c r="Q545" s="937" t="str" cm="1">
        <f t="array" aca="1" ref="Q545" ca="1">IF($P545&lt;&gt;"","PAGO",IF($N545&lt;TODAY(),"ATRASADO",IF($N545&gt;TODAY(),"NO PRAZO",IF($N545=TODAY(),"NO PRAZO",SE))))</f>
        <v>PAGO</v>
      </c>
      <c r="R545" s="259" t="str">
        <f t="shared" ca="1" si="8"/>
        <v/>
      </c>
      <c r="S545" s="932"/>
      <c r="T545" s="929"/>
      <c r="U545" s="938">
        <f ca="1">SUBTOTAL(3,Tabela13[[#This Row],[STATUS]])</f>
        <v>1</v>
      </c>
    </row>
    <row r="546" spans="1:21" ht="24" customHeight="1">
      <c r="A546" s="926">
        <v>45994</v>
      </c>
      <c r="B546" s="927">
        <v>51481</v>
      </c>
      <c r="C546" s="928" t="str">
        <f>IFERROR(VLOOKUP(Tabela13[[#This Row],[CÓD. EMPRESA]],Tabela3[[CÓDIGO
 EMPRESA ]:[EMPRESA]],2,FALSE),"")</f>
        <v>LIGA INDUSTRIA E COMÉRCIO DE MATERIAL PARA CONSTRUÇÃO LTDA .</v>
      </c>
      <c r="D546" s="112" t="s">
        <v>730</v>
      </c>
      <c r="E546" s="112" t="s">
        <v>731</v>
      </c>
      <c r="F546" s="930">
        <v>21558</v>
      </c>
      <c r="G546" s="931">
        <v>109</v>
      </c>
      <c r="H546" s="165" t="s">
        <v>54</v>
      </c>
      <c r="I546" s="932"/>
      <c r="J546" s="926"/>
      <c r="K546" s="933">
        <v>6160</v>
      </c>
      <c r="L546" s="934">
        <f>Tabela13[[#This Row],[VALOR
 BRUTO ]]-Tabela13[[#This Row],[VALOR 
LIQUIDO ]]</f>
        <v>197.12</v>
      </c>
      <c r="M546" s="935">
        <f>Tabela13[[#This Row],[VALORES PAGOS 
(FORMA PAGTO)]]</f>
        <v>5962.88</v>
      </c>
      <c r="N546" s="926">
        <v>46003</v>
      </c>
      <c r="O546" s="936">
        <v>5962.88</v>
      </c>
      <c r="P546" s="932">
        <v>46023</v>
      </c>
      <c r="Q546" s="937" t="str" cm="1">
        <f t="array" aca="1" ref="Q546" ca="1">IF($P546&lt;&gt;"","PAGO",IF($N546&lt;TODAY(),"ATRASADO",IF($N546&gt;TODAY(),"NO PRAZO",IF($N546=TODAY(),"NO PRAZO",SE))))</f>
        <v>PAGO</v>
      </c>
      <c r="R546" s="259" t="str">
        <f t="shared" ca="1" si="8"/>
        <v/>
      </c>
      <c r="S546" s="932"/>
      <c r="T546" s="929"/>
      <c r="U546" s="938">
        <f ca="1">SUBTOTAL(3,Tabela13[[#This Row],[STATUS]])</f>
        <v>1</v>
      </c>
    </row>
    <row r="547" spans="1:21" ht="24" customHeight="1">
      <c r="A547" s="926">
        <v>45994</v>
      </c>
      <c r="B547" s="927">
        <v>67294</v>
      </c>
      <c r="C547" s="928" t="str">
        <f>IFERROR(VLOOKUP(Tabela13[[#This Row],[CÓD. EMPRESA]],Tabela3[[CÓDIGO
 EMPRESA ]:[EMPRESA]],2,FALSE),"")</f>
        <v xml:space="preserve">RECOMMED PRESTACAO DE SERVICOS E VENDAS LTDA </v>
      </c>
      <c r="D547" s="112" t="s">
        <v>728</v>
      </c>
      <c r="E547" s="112" t="s">
        <v>729</v>
      </c>
      <c r="F547" s="930">
        <v>21251</v>
      </c>
      <c r="G547" s="931">
        <v>5859</v>
      </c>
      <c r="H547" s="165" t="s">
        <v>54</v>
      </c>
      <c r="I547" s="932"/>
      <c r="J547" s="926"/>
      <c r="K547" s="933">
        <v>7250</v>
      </c>
      <c r="L547" s="934">
        <f>Tabela13[[#This Row],[VALOR
 BRUTO ]]-Tabela13[[#This Row],[VALOR 
LIQUIDO ]]</f>
        <v>0</v>
      </c>
      <c r="M547" s="935">
        <f>Tabela13[[#This Row],[VALORES PAGOS 
(FORMA PAGTO)]]</f>
        <v>7250</v>
      </c>
      <c r="N547" s="926">
        <v>46009</v>
      </c>
      <c r="O547" s="936">
        <v>7250</v>
      </c>
      <c r="P547" s="932">
        <v>46023</v>
      </c>
      <c r="Q547" s="937" t="str" cm="1">
        <f t="array" aca="1" ref="Q547" ca="1">IF($P547&lt;&gt;"","PAGO",IF($N547&lt;TODAY(),"ATRASADO",IF($N547&gt;TODAY(),"NO PRAZO",IF($N547=TODAY(),"NO PRAZO",SE))))</f>
        <v>PAGO</v>
      </c>
      <c r="R547" s="259" t="str">
        <f t="shared" ca="1" si="8"/>
        <v/>
      </c>
      <c r="S547" s="932"/>
      <c r="T547" s="929"/>
      <c r="U547" s="938">
        <f ca="1">SUBTOTAL(3,Tabela13[[#This Row],[STATUS]])</f>
        <v>1</v>
      </c>
    </row>
    <row r="548" spans="1:21" ht="24" customHeight="1">
      <c r="A548" s="926">
        <v>45994</v>
      </c>
      <c r="B548" s="927">
        <v>54615</v>
      </c>
      <c r="C548" s="928" t="str">
        <f>IFERROR(VLOOKUP(Tabela13[[#This Row],[CÓD. EMPRESA]],Tabela3[[CÓDIGO
 EMPRESA ]:[EMPRESA]],2,FALSE),"")</f>
        <v>NEO-TAGUS COMERCIO E ASSISTENCIA TECNICA LTDA</v>
      </c>
      <c r="D548" s="112" t="s">
        <v>738</v>
      </c>
      <c r="E548" s="112" t="s">
        <v>686</v>
      </c>
      <c r="F548" s="930">
        <v>21864</v>
      </c>
      <c r="G548" s="931">
        <v>9736</v>
      </c>
      <c r="H548" s="165" t="s">
        <v>54</v>
      </c>
      <c r="I548" s="932">
        <v>45958</v>
      </c>
      <c r="J548" s="926">
        <v>45988</v>
      </c>
      <c r="K548" s="933">
        <v>1743</v>
      </c>
      <c r="L548" s="934">
        <f>Tabela13[[#This Row],[VALOR
 BRUTO ]]-Tabela13[[#This Row],[VALOR 
LIQUIDO ]]</f>
        <v>203.18</v>
      </c>
      <c r="M548" s="935">
        <f>Tabela13[[#This Row],[VALORES PAGOS 
(FORMA PAGTO)]]</f>
        <v>1539.82</v>
      </c>
      <c r="N548" s="926">
        <v>46018</v>
      </c>
      <c r="O548" s="936">
        <v>1539.82</v>
      </c>
      <c r="P548" s="932">
        <v>46023</v>
      </c>
      <c r="Q548" s="937" t="str" cm="1">
        <f t="array" aca="1" ref="Q548" ca="1">IF($P548&lt;&gt;"","PAGO",IF($N548&lt;TODAY(),"ATRASADO",IF($N548&gt;TODAY(),"NO PRAZO",IF($N548=TODAY(),"NO PRAZO",SE))))</f>
        <v>PAGO</v>
      </c>
      <c r="R548" s="259" t="str">
        <f t="shared" ca="1" si="8"/>
        <v/>
      </c>
      <c r="S548" s="147" t="s">
        <v>810</v>
      </c>
      <c r="T548" s="929"/>
      <c r="U548" s="938">
        <f ca="1">SUBTOTAL(3,Tabela13[[#This Row],[STATUS]])</f>
        <v>1</v>
      </c>
    </row>
    <row r="549" spans="1:21" ht="24" customHeight="1">
      <c r="A549" s="926">
        <v>45994</v>
      </c>
      <c r="B549" s="927">
        <v>54615</v>
      </c>
      <c r="C549" s="928" t="str">
        <f>IFERROR(VLOOKUP(Tabela13[[#This Row],[CÓD. EMPRESA]],Tabela3[[CÓDIGO
 EMPRESA ]:[EMPRESA]],2,FALSE),"")</f>
        <v>NEO-TAGUS COMERCIO E ASSISTENCIA TECNICA LTDA</v>
      </c>
      <c r="D549" s="112" t="s">
        <v>738</v>
      </c>
      <c r="E549" s="112" t="s">
        <v>686</v>
      </c>
      <c r="F549" s="930">
        <v>26356</v>
      </c>
      <c r="G549" s="931">
        <v>9736</v>
      </c>
      <c r="H549" s="165" t="s">
        <v>54</v>
      </c>
      <c r="I549" s="932">
        <v>45958</v>
      </c>
      <c r="J549" s="926">
        <v>45988</v>
      </c>
      <c r="K549" s="933">
        <v>747</v>
      </c>
      <c r="L549" s="934">
        <f>Tabela13[[#This Row],[VALOR
 BRUTO ]]-Tabela13[[#This Row],[VALOR 
LIQUIDO ]]</f>
        <v>0</v>
      </c>
      <c r="M549" s="935">
        <f>Tabela13[[#This Row],[VALORES PAGOS 
(FORMA PAGTO)]]</f>
        <v>747</v>
      </c>
      <c r="N549" s="926">
        <v>46018</v>
      </c>
      <c r="O549" s="936">
        <v>747</v>
      </c>
      <c r="P549" s="932">
        <v>46023</v>
      </c>
      <c r="Q549" s="937" t="str" cm="1">
        <f t="array" aca="1" ref="Q549" ca="1">IF($P549&lt;&gt;"","PAGO",IF($N549&lt;TODAY(),"ATRASADO",IF($N549&gt;TODAY(),"NO PRAZO",IF($N549=TODAY(),"NO PRAZO",SE))))</f>
        <v>PAGO</v>
      </c>
      <c r="R549" s="259" t="str">
        <f t="shared" ca="1" si="8"/>
        <v/>
      </c>
      <c r="S549" s="932"/>
      <c r="T549" s="929"/>
      <c r="U549" s="938">
        <f ca="1">SUBTOTAL(3,Tabela13[[#This Row],[STATUS]])</f>
        <v>1</v>
      </c>
    </row>
    <row r="550" spans="1:21" ht="24" customHeight="1">
      <c r="A550" s="926">
        <v>45994</v>
      </c>
      <c r="B550" s="927">
        <v>54615</v>
      </c>
      <c r="C550" s="928" t="str">
        <f>IFERROR(VLOOKUP(Tabela13[[#This Row],[CÓD. EMPRESA]],Tabela3[[CÓDIGO
 EMPRESA ]:[EMPRESA]],2,FALSE),"")</f>
        <v>NEO-TAGUS COMERCIO E ASSISTENCIA TECNICA LTDA</v>
      </c>
      <c r="D550" s="112" t="s">
        <v>738</v>
      </c>
      <c r="E550" s="112" t="s">
        <v>686</v>
      </c>
      <c r="F550" s="930">
        <v>23488</v>
      </c>
      <c r="G550" s="931">
        <v>9736</v>
      </c>
      <c r="H550" s="165" t="s">
        <v>54</v>
      </c>
      <c r="I550" s="932">
        <v>45958</v>
      </c>
      <c r="J550" s="926">
        <v>45988</v>
      </c>
      <c r="K550" s="933">
        <v>1743</v>
      </c>
      <c r="L550" s="934">
        <f>Tabela13[[#This Row],[VALOR
 BRUTO ]]-Tabela13[[#This Row],[VALOR 
LIQUIDO ]]</f>
        <v>0</v>
      </c>
      <c r="M550" s="935">
        <f>Tabela13[[#This Row],[VALORES PAGOS 
(FORMA PAGTO)]]</f>
        <v>1743</v>
      </c>
      <c r="N550" s="926">
        <v>46018</v>
      </c>
      <c r="O550" s="936">
        <v>1743</v>
      </c>
      <c r="P550" s="932">
        <v>46023</v>
      </c>
      <c r="Q550" s="937" t="str" cm="1">
        <f t="array" aca="1" ref="Q550" ca="1">IF($P550&lt;&gt;"","PAGO",IF($N550&lt;TODAY(),"ATRASADO",IF($N550&gt;TODAY(),"NO PRAZO",IF($N550=TODAY(),"NO PRAZO",SE))))</f>
        <v>PAGO</v>
      </c>
      <c r="R550" s="259" t="str">
        <f t="shared" ca="1" si="8"/>
        <v/>
      </c>
      <c r="S550" s="932"/>
      <c r="T550" s="929"/>
      <c r="U550" s="938">
        <f ca="1">SUBTOTAL(3,Tabela13[[#This Row],[STATUS]])</f>
        <v>1</v>
      </c>
    </row>
    <row r="551" spans="1:21" ht="24" customHeight="1">
      <c r="A551" s="926">
        <v>46002</v>
      </c>
      <c r="B551" s="927">
        <v>2808</v>
      </c>
      <c r="C551" s="928" t="str">
        <f>IFERROR(VLOOKUP(Tabela13[[#This Row],[CÓD. EMPRESA]],Tabela3[[CÓDIGO
 EMPRESA ]:[EMPRESA]],2,FALSE),"")</f>
        <v>EMPRESA BRASILEIRA DE CORREIOS E TELEGRAFOS</v>
      </c>
      <c r="D551" s="112" t="s">
        <v>761</v>
      </c>
      <c r="E551" s="112" t="s">
        <v>443</v>
      </c>
      <c r="F551" s="930">
        <v>17981</v>
      </c>
      <c r="G551" s="931">
        <v>3751301</v>
      </c>
      <c r="H551" s="165" t="s">
        <v>54</v>
      </c>
      <c r="I551" s="932">
        <v>45968</v>
      </c>
      <c r="J551" s="926">
        <v>45980</v>
      </c>
      <c r="K551" s="933">
        <v>1325.13</v>
      </c>
      <c r="L551" s="934">
        <f>Tabela13[[#This Row],[VALOR
 BRUTO ]]-Tabela13[[#This Row],[VALOR 
LIQUIDO ]]</f>
        <v>0</v>
      </c>
      <c r="M551" s="935">
        <f>Tabela13[[#This Row],[VALORES PAGOS 
(FORMA PAGTO)]]</f>
        <v>1325.13</v>
      </c>
      <c r="N551" s="926">
        <v>46012</v>
      </c>
      <c r="O551" s="936">
        <v>1325.13</v>
      </c>
      <c r="P551" s="932">
        <v>38708</v>
      </c>
      <c r="Q551" s="937" t="str" cm="1">
        <f t="array" aca="1" ref="Q551" ca="1">IF($P551&lt;&gt;"","PAGO",IF($N551&lt;TODAY(),"ATRASADO",IF($N551&gt;TODAY(),"NO PRAZO",IF($N551=TODAY(),"NO PRAZO",SE))))</f>
        <v>PAGO</v>
      </c>
      <c r="R551" s="259" t="str">
        <f t="shared" ca="1" si="8"/>
        <v/>
      </c>
      <c r="S551" s="929"/>
      <c r="T551" s="929"/>
      <c r="U551" s="938">
        <f ca="1">SUBTOTAL(3,Tabela13[[#This Row],[STATUS]])</f>
        <v>1</v>
      </c>
    </row>
    <row r="552" spans="1:21" ht="24" customHeight="1">
      <c r="A552" s="926">
        <v>46003</v>
      </c>
      <c r="B552" s="927">
        <v>121426</v>
      </c>
      <c r="C552" s="928" t="str">
        <f>IFERROR(VLOOKUP(Tabela13[[#This Row],[CÓD. EMPRESA]],Tabela3[[CÓDIGO
 EMPRESA ]:[EMPRESA]],2,FALSE),"")</f>
        <v>ALFA-X COMERCIO E SERVIÇOS LTDA</v>
      </c>
      <c r="D552" s="112" t="s">
        <v>333</v>
      </c>
      <c r="E552" s="112" t="s">
        <v>740</v>
      </c>
      <c r="F552" s="930">
        <v>20419</v>
      </c>
      <c r="G552" s="411">
        <v>20250000012</v>
      </c>
      <c r="H552" s="165" t="s">
        <v>54</v>
      </c>
      <c r="I552" s="932"/>
      <c r="J552" s="926"/>
      <c r="K552" s="933">
        <v>121245.3</v>
      </c>
      <c r="L552" s="934">
        <f>Tabela13[[#This Row],[VALOR
 BRUTO ]]-Tabela13[[#This Row],[VALOR 
LIQUIDO ]]</f>
        <v>2424.91</v>
      </c>
      <c r="M552" s="935">
        <f>Tabela13[[#This Row],[VALORES PAGOS 
(FORMA PAGTO)]]</f>
        <v>118820.39</v>
      </c>
      <c r="N552" s="926">
        <v>46008</v>
      </c>
      <c r="O552" s="936">
        <v>118820.39</v>
      </c>
      <c r="P552" s="932">
        <v>46056</v>
      </c>
      <c r="Q552" s="937" t="str" cm="1">
        <f t="array" aca="1" ref="Q552" ca="1">IF($P552&lt;&gt;"","PAGO",IF($N552&lt;TODAY(),"ATRASADO",IF($N552&gt;TODAY(),"NO PRAZO",IF($N552=TODAY(),"NO PRAZO",SE))))</f>
        <v>PAGO</v>
      </c>
      <c r="R552" s="259" t="str">
        <f t="shared" ca="1" si="8"/>
        <v/>
      </c>
      <c r="S552" s="932"/>
      <c r="T552" s="929"/>
      <c r="U552" s="938">
        <f ca="1">SUBTOTAL(3,Tabela13[[#This Row],[STATUS]])</f>
        <v>1</v>
      </c>
    </row>
    <row r="553" spans="1:21" ht="24" customHeight="1">
      <c r="A553" s="926">
        <v>46006</v>
      </c>
      <c r="B553" s="927">
        <v>58778</v>
      </c>
      <c r="C553" s="928" t="str">
        <f>IFERROR(VLOOKUP(Tabela13[[#This Row],[CÓD. EMPRESA]],Tabela3[[CÓDIGO
 EMPRESA ]:[EMPRESA]],2,FALSE),"")</f>
        <v>ATTEND AMBIENTAL S.A</v>
      </c>
      <c r="D553" s="112" t="s">
        <v>335</v>
      </c>
      <c r="E553" s="112" t="s">
        <v>741</v>
      </c>
      <c r="F553" s="930">
        <v>6826</v>
      </c>
      <c r="G553" s="931">
        <v>50510</v>
      </c>
      <c r="H553" s="165" t="s">
        <v>54</v>
      </c>
      <c r="I553" s="932">
        <v>45962</v>
      </c>
      <c r="J553" s="926">
        <v>45991</v>
      </c>
      <c r="K553" s="933">
        <v>83797.119999999995</v>
      </c>
      <c r="L553" s="934">
        <f>Tabela13[[#This Row],[VALOR
 BRUTO ]]-Tabela13[[#This Row],[VALOR 
LIQUIDO ]]</f>
        <v>4999.6400000000003</v>
      </c>
      <c r="M553" s="935">
        <f>Tabela13[[#This Row],[VALORES PAGOS 
(FORMA PAGTO)]]</f>
        <v>78797.48</v>
      </c>
      <c r="N553" s="926">
        <v>46023</v>
      </c>
      <c r="O553" s="936">
        <v>78797.48</v>
      </c>
      <c r="P553" s="932">
        <v>46056</v>
      </c>
      <c r="Q553" s="937" t="str" cm="1">
        <f t="array" aca="1" ref="Q553" ca="1">IF($P553&lt;&gt;"","PAGO",IF($N553&lt;TODAY(),"ATRASADO",IF($N553&gt;TODAY(),"NO PRAZO",IF($N553=TODAY(),"NO PRAZO",SE))))</f>
        <v>PAGO</v>
      </c>
      <c r="R553" s="259" t="str">
        <f t="shared" ca="1" si="8"/>
        <v/>
      </c>
      <c r="S553" s="932"/>
      <c r="T553" s="929"/>
      <c r="U553" s="938">
        <f ca="1">SUBTOTAL(3,Tabela13[[#This Row],[STATUS]])</f>
        <v>1</v>
      </c>
    </row>
    <row r="554" spans="1:21" ht="24" customHeight="1">
      <c r="A554" s="926">
        <v>46006</v>
      </c>
      <c r="B554" s="927">
        <v>58778</v>
      </c>
      <c r="C554" s="928" t="str">
        <f>IFERROR(VLOOKUP(Tabela13[[#This Row],[CÓD. EMPRESA]],Tabela3[[CÓDIGO
 EMPRESA ]:[EMPRESA]],2,FALSE),"")</f>
        <v>ATTEND AMBIENTAL S.A</v>
      </c>
      <c r="D554" s="112" t="s">
        <v>335</v>
      </c>
      <c r="E554" s="112" t="s">
        <v>741</v>
      </c>
      <c r="F554" s="930">
        <v>13606</v>
      </c>
      <c r="G554" s="931">
        <v>50510</v>
      </c>
      <c r="H554" s="165" t="s">
        <v>54</v>
      </c>
      <c r="I554" s="932">
        <v>45962</v>
      </c>
      <c r="J554" s="926">
        <v>45991</v>
      </c>
      <c r="K554" s="933">
        <v>20362.169999999998</v>
      </c>
      <c r="L554" s="934">
        <f>Tabela13[[#This Row],[VALOR
 BRUTO ]]-Tabela13[[#This Row],[VALOR 
LIQUIDO ]]</f>
        <v>0</v>
      </c>
      <c r="M554" s="935">
        <f>Tabela13[[#This Row],[VALORES PAGOS 
(FORMA PAGTO)]]</f>
        <v>20362.169999999998</v>
      </c>
      <c r="N554" s="926">
        <v>46023</v>
      </c>
      <c r="O554" s="936">
        <v>20362.169999999998</v>
      </c>
      <c r="P554" s="932">
        <v>46056</v>
      </c>
      <c r="Q554" s="937" t="str" cm="1">
        <f t="array" aca="1" ref="Q554" ca="1">IF($P554&lt;&gt;"","PAGO",IF($N554&lt;TODAY(),"ATRASADO",IF($N554&gt;TODAY(),"NO PRAZO",IF($N554=TODAY(),"NO PRAZO",SE))))</f>
        <v>PAGO</v>
      </c>
      <c r="R554" s="259" t="str">
        <f t="shared" ca="1" si="8"/>
        <v/>
      </c>
      <c r="S554" s="932"/>
      <c r="T554" s="929"/>
      <c r="U554" s="938">
        <f ca="1">SUBTOTAL(3,Tabela13[[#This Row],[STATUS]])</f>
        <v>1</v>
      </c>
    </row>
    <row r="555" spans="1:21" ht="24" customHeight="1">
      <c r="A555" s="926">
        <v>46006</v>
      </c>
      <c r="B555" s="927">
        <v>67538</v>
      </c>
      <c r="C555" s="928" t="str">
        <f>IFERROR(VLOOKUP(Tabela13[[#This Row],[CÓD. EMPRESA]],Tabela3[[CÓDIGO
 EMPRESA ]:[EMPRESA]],2,FALSE),"")</f>
        <v>IGM2 METROLOGIA E MANUTENCAO LTDA</v>
      </c>
      <c r="D555" s="112" t="s">
        <v>344</v>
      </c>
      <c r="E555" s="112" t="s">
        <v>614</v>
      </c>
      <c r="F555" s="930">
        <v>11819</v>
      </c>
      <c r="G555" s="931">
        <v>17</v>
      </c>
      <c r="H555" s="165" t="s">
        <v>54</v>
      </c>
      <c r="I555" s="932"/>
      <c r="J555" s="926"/>
      <c r="K555" s="933">
        <v>1535.16</v>
      </c>
      <c r="L555" s="934">
        <f>Tabela13[[#This Row],[VALOR
 BRUTO ]]-Tabela13[[#This Row],[VALOR 
LIQUIDO ]]</f>
        <v>0</v>
      </c>
      <c r="M555" s="935">
        <f>Tabela13[[#This Row],[VALORES PAGOS 
(FORMA PAGTO)]]</f>
        <v>1535.16</v>
      </c>
      <c r="N555" s="926">
        <v>46026</v>
      </c>
      <c r="O555" s="936">
        <v>1535.16</v>
      </c>
      <c r="P555" s="932"/>
      <c r="Q555" s="937" t="str" cm="1">
        <f t="array" aca="1" ref="Q555" ca="1">IF($P555&lt;&gt;"","PAGO",IF($N555&lt;TODAY(),"ATRASADO",IF($N555&gt;TODAY(),"NO PRAZO",IF($N555=TODAY(),"NO PRAZO",SE))))</f>
        <v>ATRASADO</v>
      </c>
      <c r="R555" s="259">
        <f t="shared" ca="1" si="8"/>
        <v>-37</v>
      </c>
      <c r="S555" s="932">
        <v>46063</v>
      </c>
      <c r="T555" s="929"/>
      <c r="U555" s="938">
        <f ca="1">SUBTOTAL(3,Tabela13[[#This Row],[STATUS]])</f>
        <v>1</v>
      </c>
    </row>
    <row r="556" spans="1:21" ht="24" customHeight="1">
      <c r="A556" s="926">
        <v>46006</v>
      </c>
      <c r="B556" s="927">
        <v>69169</v>
      </c>
      <c r="C556" s="928" t="str">
        <f>IFERROR(VLOOKUP(Tabela13[[#This Row],[CÓD. EMPRESA]],Tabela3[[CÓDIGO
 EMPRESA ]:[EMPRESA]],2,FALSE),"")</f>
        <v>CECM PÂES LTDA</v>
      </c>
      <c r="D556" s="112" t="s">
        <v>429</v>
      </c>
      <c r="E556" s="112" t="s">
        <v>450</v>
      </c>
      <c r="F556" s="930">
        <v>21704</v>
      </c>
      <c r="G556" s="931">
        <v>19937</v>
      </c>
      <c r="H556" s="165" t="s">
        <v>44</v>
      </c>
      <c r="I556" s="932"/>
      <c r="J556" s="926"/>
      <c r="K556" s="933">
        <v>6663.6</v>
      </c>
      <c r="L556" s="934">
        <f>Tabela13[[#This Row],[VALOR
 BRUTO ]]-Tabela13[[#This Row],[VALOR 
LIQUIDO ]]</f>
        <v>0</v>
      </c>
      <c r="M556" s="935">
        <f>Tabela13[[#This Row],[VALORES PAGOS 
(FORMA PAGTO)]]</f>
        <v>6663.6</v>
      </c>
      <c r="N556" s="926">
        <v>46030</v>
      </c>
      <c r="O556" s="936">
        <v>6663.6</v>
      </c>
      <c r="P556" s="932"/>
      <c r="Q556" s="937" t="str" cm="1">
        <f t="array" aca="1" ref="Q556" ca="1">IF($P556&lt;&gt;"","PAGO",IF($N556&lt;TODAY(),"ATRASADO",IF($N556&gt;TODAY(),"NO PRAZO",IF($N556=TODAY(),"NO PRAZO",SE))))</f>
        <v>ATRASADO</v>
      </c>
      <c r="R556" s="259">
        <f t="shared" ca="1" si="8"/>
        <v>-33</v>
      </c>
      <c r="S556" s="932">
        <v>46063</v>
      </c>
      <c r="T556" s="929"/>
      <c r="U556" s="938">
        <f ca="1">SUBTOTAL(3,Tabela13[[#This Row],[STATUS]])</f>
        <v>1</v>
      </c>
    </row>
    <row r="557" spans="1:21" ht="24" customHeight="1">
      <c r="A557" s="926">
        <v>46007</v>
      </c>
      <c r="B557" s="927">
        <v>123524</v>
      </c>
      <c r="C557" s="928" t="str">
        <f>IFERROR(VLOOKUP(Tabela13[[#This Row],[CÓD. EMPRESA]],Tabela3[[CÓDIGO
 EMPRESA ]:[EMPRESA]],2,FALSE),"")</f>
        <v>HARMONY FOOD SOLUTIONS LTDA</v>
      </c>
      <c r="D557" s="112" t="s">
        <v>742</v>
      </c>
      <c r="E557" s="112" t="s">
        <v>743</v>
      </c>
      <c r="F557" s="930">
        <v>24258</v>
      </c>
      <c r="G557" s="931">
        <v>1318</v>
      </c>
      <c r="H557" s="165" t="s">
        <v>54</v>
      </c>
      <c r="I557" s="932"/>
      <c r="J557" s="926"/>
      <c r="K557" s="933">
        <v>1814.4</v>
      </c>
      <c r="L557" s="934">
        <f>Tabela13[[#This Row],[VALOR
 BRUTO ]]-Tabela13[[#This Row],[VALOR 
LIQUIDO ]]</f>
        <v>0</v>
      </c>
      <c r="M557" s="935">
        <f>Tabela13[[#This Row],[VALORES PAGOS 
(FORMA PAGTO)]]</f>
        <v>1814.4</v>
      </c>
      <c r="N557" s="926">
        <v>46007</v>
      </c>
      <c r="O557" s="936">
        <v>1814.4</v>
      </c>
      <c r="P557" s="932">
        <v>46023</v>
      </c>
      <c r="Q557" s="937" t="str" cm="1">
        <f t="array" aca="1" ref="Q557" ca="1">IF($P557&lt;&gt;"","PAGO",IF($N557&lt;TODAY(),"ATRASADO",IF($N557&gt;TODAY(),"NO PRAZO",IF($N557=TODAY(),"NO PRAZO",SE))))</f>
        <v>PAGO</v>
      </c>
      <c r="R557" s="259" t="str">
        <f t="shared" ca="1" si="8"/>
        <v/>
      </c>
      <c r="S557" s="932"/>
      <c r="T557" s="929"/>
      <c r="U557" s="938">
        <f ca="1">SUBTOTAL(3,Tabela13[[#This Row],[STATUS]])</f>
        <v>1</v>
      </c>
    </row>
    <row r="558" spans="1:21" ht="24" customHeight="1">
      <c r="A558" s="926">
        <v>46007</v>
      </c>
      <c r="B558" s="927">
        <v>119149</v>
      </c>
      <c r="C558" s="928" t="str">
        <f>IFERROR(VLOOKUP(Tabela13[[#This Row],[CÓD. EMPRESA]],Tabela3[[CÓDIGO
 EMPRESA ]:[EMPRESA]],2,FALSE),"")</f>
        <v>COOPERATIVA DE TRABALHO NOVO BAMBI</v>
      </c>
      <c r="D558" s="112" t="s">
        <v>348</v>
      </c>
      <c r="E558" s="112" t="s">
        <v>501</v>
      </c>
      <c r="F558" s="930">
        <v>21209</v>
      </c>
      <c r="G558" s="931">
        <v>16</v>
      </c>
      <c r="H558" s="165" t="s">
        <v>53</v>
      </c>
      <c r="I558" s="932">
        <v>45931</v>
      </c>
      <c r="J558" s="926">
        <v>45961</v>
      </c>
      <c r="K558" s="933">
        <v>16000.49</v>
      </c>
      <c r="L558" s="934">
        <f>Tabela13[[#This Row],[VALOR
 BRUTO ]]-Tabela13[[#This Row],[VALOR 
LIQUIDO ]]</f>
        <v>854.07</v>
      </c>
      <c r="M558" s="935">
        <f>Tabela13[[#This Row],[VALORES PAGOS 
(FORMA PAGTO)]]</f>
        <v>15146.42</v>
      </c>
      <c r="N558" s="926">
        <v>45988</v>
      </c>
      <c r="O558" s="936">
        <v>15146.42</v>
      </c>
      <c r="P558" s="147" t="s">
        <v>776</v>
      </c>
      <c r="Q558" s="937" t="str" cm="1">
        <f t="array" aca="1" ref="Q558" ca="1">IF($P558&lt;&gt;"","PAGO",IF($N558&lt;TODAY(),"ATRASADO",IF($N558&gt;TODAY(),"NO PRAZO",IF($N558=TODAY(),"NO PRAZO",SE))))</f>
        <v>PAGO</v>
      </c>
      <c r="R558" s="259" t="str">
        <f t="shared" ca="1" si="8"/>
        <v/>
      </c>
      <c r="S558" s="932"/>
      <c r="T558" s="929"/>
      <c r="U558" s="938">
        <f ca="1">SUBTOTAL(3,Tabela13[[#This Row],[STATUS]])</f>
        <v>1</v>
      </c>
    </row>
    <row r="559" spans="1:21" ht="24" customHeight="1">
      <c r="A559" s="926">
        <v>46007</v>
      </c>
      <c r="B559" s="927">
        <v>119149</v>
      </c>
      <c r="C559" s="928" t="str">
        <f>IFERROR(VLOOKUP(Tabela13[[#This Row],[CÓD. EMPRESA]],Tabela3[[CÓDIGO
 EMPRESA ]:[EMPRESA]],2,FALSE),"")</f>
        <v>COOPERATIVA DE TRABALHO NOVO BAMBI</v>
      </c>
      <c r="D559" s="112" t="s">
        <v>348</v>
      </c>
      <c r="E559" s="112" t="s">
        <v>501</v>
      </c>
      <c r="F559" s="930">
        <v>23501</v>
      </c>
      <c r="G559" s="931">
        <v>16</v>
      </c>
      <c r="H559" s="165" t="s">
        <v>53</v>
      </c>
      <c r="I559" s="932">
        <v>45931</v>
      </c>
      <c r="J559" s="926">
        <v>45961</v>
      </c>
      <c r="K559" s="933">
        <v>1080.95</v>
      </c>
      <c r="L559" s="934">
        <f>Tabela13[[#This Row],[VALOR
 BRUTO ]]-Tabela13[[#This Row],[VALOR 
LIQUIDO ]]</f>
        <v>0</v>
      </c>
      <c r="M559" s="935">
        <f>Tabela13[[#This Row],[VALORES PAGOS 
(FORMA PAGTO)]]</f>
        <v>1080.95</v>
      </c>
      <c r="N559" s="926">
        <v>45968</v>
      </c>
      <c r="O559" s="936">
        <v>1080.95</v>
      </c>
      <c r="P559" s="932">
        <v>46014</v>
      </c>
      <c r="Q559" s="937" t="str" cm="1">
        <f t="array" aca="1" ref="Q559" ca="1">IF($P559&lt;&gt;"","PAGO",IF($N559&lt;TODAY(),"ATRASADO",IF($N559&gt;TODAY(),"NO PRAZO",IF($N559=TODAY(),"NO PRAZO",SE))))</f>
        <v>PAGO</v>
      </c>
      <c r="R559" s="259" t="str">
        <f t="shared" ca="1" si="8"/>
        <v/>
      </c>
      <c r="S559" s="932"/>
      <c r="T559" s="929"/>
      <c r="U559" s="938">
        <f ca="1">SUBTOTAL(3,Tabela13[[#This Row],[STATUS]])</f>
        <v>1</v>
      </c>
    </row>
    <row r="560" spans="1:21" ht="24" customHeight="1">
      <c r="A560" s="926">
        <v>46007</v>
      </c>
      <c r="B560" s="927">
        <v>119151</v>
      </c>
      <c r="C560" s="928" t="str">
        <f>IFERROR(VLOOKUP(Tabela13[[#This Row],[CÓD. EMPRESA]],Tabela3[[CÓDIGO
 EMPRESA ]:[EMPRESA]],2,FALSE),"")</f>
        <v>COOPERATIVA DE TRABALHO DE CATADORAS E CATADORES DE MATERIAIS RECICLAVEIS NOVA VIDA</v>
      </c>
      <c r="D560" s="112" t="s">
        <v>332</v>
      </c>
      <c r="E560" s="112" t="s">
        <v>497</v>
      </c>
      <c r="F560" s="930">
        <v>21938</v>
      </c>
      <c r="G560" s="931">
        <v>16</v>
      </c>
      <c r="H560" s="165" t="s">
        <v>53</v>
      </c>
      <c r="I560" s="932">
        <v>45931</v>
      </c>
      <c r="J560" s="926">
        <v>45961</v>
      </c>
      <c r="K560" s="933">
        <v>19122.72</v>
      </c>
      <c r="L560" s="934">
        <f>Tabela13[[#This Row],[VALOR
 BRUTO ]]-Tabela13[[#This Row],[VALOR 
LIQUIDO ]]</f>
        <v>956.14</v>
      </c>
      <c r="M560" s="935">
        <f>Tabela13[[#This Row],[VALORES PAGOS 
(FORMA PAGTO)]]</f>
        <v>18166.580000000002</v>
      </c>
      <c r="N560" s="926">
        <v>45988</v>
      </c>
      <c r="O560" s="936">
        <v>18166.580000000002</v>
      </c>
      <c r="P560" s="932">
        <v>46014</v>
      </c>
      <c r="Q560" s="937" t="str" cm="1">
        <f t="array" aca="1" ref="Q560" ca="1">IF($P560&lt;&gt;"","PAGO",IF($N560&lt;TODAY(),"ATRASADO",IF($N560&gt;TODAY(),"NO PRAZO",IF($N560=TODAY(),"NO PRAZO",SE))))</f>
        <v>PAGO</v>
      </c>
      <c r="R560" s="259" t="str">
        <f t="shared" ca="1" si="8"/>
        <v/>
      </c>
      <c r="S560" s="932"/>
      <c r="T560" s="929"/>
      <c r="U560" s="938">
        <f ca="1">SUBTOTAL(3,Tabela13[[#This Row],[STATUS]])</f>
        <v>1</v>
      </c>
    </row>
    <row r="561" spans="1:21" ht="24" customHeight="1">
      <c r="A561" s="926">
        <v>46007</v>
      </c>
      <c r="B561" s="927">
        <v>119166</v>
      </c>
      <c r="C561" s="688" t="str">
        <f>IFERROR(VLOOKUP(Tabela13[[#This Row],[CÓD. EMPRESA]],Tabela3[[CÓDIGO
 EMPRESA ]:[EMPRESA]],2,FALSE),"")</f>
        <v>COOPERATIVA DE TRABALHO DE CATADORES E CATADORAS DE MATERIAL DE RECICLAGEM VILA RENATA CRV</v>
      </c>
      <c r="D561" s="112" t="s">
        <v>347</v>
      </c>
      <c r="E561" s="112" t="s">
        <v>536</v>
      </c>
      <c r="F561" s="930">
        <v>26445</v>
      </c>
      <c r="G561" s="931">
        <v>12</v>
      </c>
      <c r="H561" s="165" t="s">
        <v>44</v>
      </c>
      <c r="I561" s="932">
        <v>45931</v>
      </c>
      <c r="J561" s="926">
        <v>45961</v>
      </c>
      <c r="K561" s="933">
        <v>23191.25</v>
      </c>
      <c r="L561" s="934">
        <f>Tabela13[[#This Row],[VALOR
 BRUTO ]]-Tabela13[[#This Row],[VALOR 
LIQUIDO ]]</f>
        <v>1159.56</v>
      </c>
      <c r="M561" s="935">
        <f>Tabela13[[#This Row],[VALORES PAGOS 
(FORMA PAGTO)]]</f>
        <v>22031.69</v>
      </c>
      <c r="N561" s="926">
        <v>46026</v>
      </c>
      <c r="O561" s="936">
        <v>22031.69</v>
      </c>
      <c r="P561" s="932"/>
      <c r="Q561" s="937" t="str" cm="1">
        <f t="array" aca="1" ref="Q561" ca="1">IF($P561&lt;&gt;"","PAGO",IF($N561&lt;TODAY(),"ATRASADO",IF($N561&gt;TODAY(),"NO PRAZO",IF($N561=TODAY(),"NO PRAZO",SE))))</f>
        <v>ATRASADO</v>
      </c>
      <c r="R561" s="259">
        <f t="shared" ca="1" si="8"/>
        <v>-37</v>
      </c>
      <c r="S561" s="932">
        <v>46063</v>
      </c>
      <c r="T561" s="929"/>
      <c r="U561" s="938">
        <f ca="1">SUBTOTAL(3,Tabela13[[#This Row],[STATUS]])</f>
        <v>1</v>
      </c>
    </row>
    <row r="562" spans="1:21" ht="24" customHeight="1">
      <c r="A562" s="926">
        <v>46008</v>
      </c>
      <c r="B562" s="927">
        <v>51481</v>
      </c>
      <c r="C562" s="928" t="str">
        <f>IFERROR(VLOOKUP(Tabela13[[#This Row],[CÓD. EMPRESA]],Tabela3[[CÓDIGO
 EMPRESA ]:[EMPRESA]],2,FALSE),"")</f>
        <v>LIGA INDUSTRIA E COMÉRCIO DE MATERIAL PARA CONSTRUÇÃO LTDA .</v>
      </c>
      <c r="D562" s="112" t="s">
        <v>744</v>
      </c>
      <c r="E562" s="112" t="s">
        <v>731</v>
      </c>
      <c r="F562" s="930">
        <v>21558</v>
      </c>
      <c r="G562" s="109" t="s">
        <v>820</v>
      </c>
      <c r="H562" s="165" t="s">
        <v>44</v>
      </c>
      <c r="I562" s="932"/>
      <c r="J562" s="926"/>
      <c r="K562" s="933">
        <v>5600</v>
      </c>
      <c r="L562" s="934">
        <f>Tabela13[[#This Row],[VALOR
 BRUTO ]]-Tabela13[[#This Row],[VALOR 
LIQUIDO ]]</f>
        <v>112</v>
      </c>
      <c r="M562" s="935">
        <f>Tabela13[[#This Row],[VALORES PAGOS 
(FORMA PAGTO)]]</f>
        <v>5488</v>
      </c>
      <c r="N562" s="926">
        <v>46026</v>
      </c>
      <c r="O562" s="936">
        <v>5488</v>
      </c>
      <c r="P562" s="932">
        <v>46056</v>
      </c>
      <c r="Q562" s="937" t="str" cm="1">
        <f t="array" aca="1" ref="Q562" ca="1">IF($P562&lt;&gt;"","PAGO",IF($N562&lt;TODAY(),"ATRASADO",IF($N562&gt;TODAY(),"NO PRAZO",IF($N562=TODAY(),"NO PRAZO",SE))))</f>
        <v>PAGO</v>
      </c>
      <c r="R562" s="259" t="str">
        <f t="shared" ca="1" si="8"/>
        <v/>
      </c>
      <c r="S562" s="932"/>
      <c r="T562" s="929"/>
      <c r="U562" s="938">
        <f ca="1">SUBTOTAL(3,Tabela13[[#This Row],[STATUS]])</f>
        <v>1</v>
      </c>
    </row>
    <row r="563" spans="1:21" ht="24" customHeight="1">
      <c r="A563" s="926">
        <v>46008</v>
      </c>
      <c r="B563" s="927">
        <v>51481</v>
      </c>
      <c r="C563" s="928" t="str">
        <f>IFERROR(VLOOKUP(Tabela13[[#This Row],[CÓD. EMPRESA]],Tabela3[[CÓDIGO
 EMPRESA ]:[EMPRESA]],2,FALSE),"")</f>
        <v>LIGA INDUSTRIA E COMÉRCIO DE MATERIAL PARA CONSTRUÇÃO LTDA .</v>
      </c>
      <c r="D563" s="112" t="s">
        <v>744</v>
      </c>
      <c r="E563" s="112" t="s">
        <v>731</v>
      </c>
      <c r="F563" s="930">
        <v>21558</v>
      </c>
      <c r="G563" s="931">
        <v>112</v>
      </c>
      <c r="H563" s="165" t="s">
        <v>44</v>
      </c>
      <c r="I563" s="932"/>
      <c r="J563" s="926"/>
      <c r="K563" s="933">
        <v>5600</v>
      </c>
      <c r="L563" s="934">
        <f>Tabela13[[#This Row],[VALOR
 BRUTO ]]-Tabela13[[#This Row],[VALOR 
LIQUIDO ]]</f>
        <v>112</v>
      </c>
      <c r="M563" s="935">
        <f>Tabela13[[#This Row],[VALORES PAGOS 
(FORMA PAGTO)]]</f>
        <v>5488</v>
      </c>
      <c r="N563" s="926">
        <v>46030</v>
      </c>
      <c r="O563" s="936">
        <v>5488</v>
      </c>
      <c r="P563" s="932">
        <v>46056</v>
      </c>
      <c r="Q563" s="937" t="str" cm="1">
        <f t="array" aca="1" ref="Q563" ca="1">IF($P563&lt;&gt;"","PAGO",IF($N563&lt;TODAY(),"ATRASADO",IF($N563&gt;TODAY(),"NO PRAZO",IF($N563=TODAY(),"NO PRAZO",SE))))</f>
        <v>PAGO</v>
      </c>
      <c r="R563" s="259" t="str">
        <f t="shared" ca="1" si="8"/>
        <v/>
      </c>
      <c r="S563" s="932"/>
      <c r="T563" s="929"/>
      <c r="U563" s="938">
        <f ca="1">SUBTOTAL(3,Tabela13[[#This Row],[STATUS]])</f>
        <v>1</v>
      </c>
    </row>
    <row r="564" spans="1:21" ht="24" customHeight="1">
      <c r="A564" s="926">
        <v>46008</v>
      </c>
      <c r="B564" s="927">
        <v>76116</v>
      </c>
      <c r="C564" s="928" t="str">
        <f>IFERROR(VLOOKUP(Tabela13[[#This Row],[CÓD. EMPRESA]],Tabela3[[CÓDIGO
 EMPRESA ]:[EMPRESA]],2,FALSE),"")</f>
        <v>ALVORADA SISTEMA AMBIENTAL EIRELI</v>
      </c>
      <c r="D564" s="112" t="s">
        <v>342</v>
      </c>
      <c r="E564" s="112" t="s">
        <v>460</v>
      </c>
      <c r="F564" s="930">
        <v>6835</v>
      </c>
      <c r="G564" s="931">
        <v>15649</v>
      </c>
      <c r="H564" s="165" t="s">
        <v>44</v>
      </c>
      <c r="I564" s="932">
        <v>45962</v>
      </c>
      <c r="J564" s="926">
        <v>45991</v>
      </c>
      <c r="K564" s="933">
        <v>112910.53</v>
      </c>
      <c r="L564" s="934">
        <f>Tabela13[[#This Row],[VALOR
 BRUTO ]]-Tabela13[[#This Row],[VALOR 
LIQUIDO ]]</f>
        <v>0</v>
      </c>
      <c r="M564" s="935">
        <f>Tabela13[[#This Row],[VALORES PAGOS 
(FORMA PAGTO)]]</f>
        <v>112910.53</v>
      </c>
      <c r="N564" s="926">
        <v>46030</v>
      </c>
      <c r="O564" s="936">
        <v>112910.53</v>
      </c>
      <c r="P564" s="932"/>
      <c r="Q564" s="937" t="str" cm="1">
        <f t="array" aca="1" ref="Q564" ca="1">IF($P564&lt;&gt;"","PAGO",IF($N564&lt;TODAY(),"ATRASADO",IF($N564&gt;TODAY(),"NO PRAZO",IF($N564=TODAY(),"NO PRAZO",SE))))</f>
        <v>ATRASADO</v>
      </c>
      <c r="R564" s="259">
        <f t="shared" ca="1" si="8"/>
        <v>-33</v>
      </c>
      <c r="S564" s="929"/>
      <c r="T564" s="929"/>
      <c r="U564" s="938">
        <f ca="1">SUBTOTAL(3,Tabela13[[#This Row],[STATUS]])</f>
        <v>1</v>
      </c>
    </row>
    <row r="565" spans="1:21" ht="24" customHeight="1">
      <c r="A565" s="926">
        <v>46008</v>
      </c>
      <c r="B565" s="927">
        <v>76116</v>
      </c>
      <c r="C565" s="928" t="str">
        <f>IFERROR(VLOOKUP(Tabela13[[#This Row],[CÓD. EMPRESA]],Tabela3[[CÓDIGO
 EMPRESA ]:[EMPRESA]],2,FALSE),"")</f>
        <v>ALVORADA SISTEMA AMBIENTAL EIRELI</v>
      </c>
      <c r="D565" s="112" t="s">
        <v>342</v>
      </c>
      <c r="E565" s="112" t="s">
        <v>460</v>
      </c>
      <c r="F565" s="930">
        <v>6835</v>
      </c>
      <c r="G565" s="931">
        <v>15650</v>
      </c>
      <c r="H565" s="165" t="s">
        <v>44</v>
      </c>
      <c r="I565" s="932">
        <v>45891</v>
      </c>
      <c r="J565" s="926">
        <v>45961</v>
      </c>
      <c r="K565" s="933">
        <v>14076.3</v>
      </c>
      <c r="L565" s="934">
        <f>Tabela13[[#This Row],[VALOR
 BRUTO ]]-Tabela13[[#This Row],[VALOR 
LIQUIDO ]]</f>
        <v>1379.48</v>
      </c>
      <c r="M565" s="935">
        <f>Tabela13[[#This Row],[VALORES PAGOS 
(FORMA PAGTO)]]</f>
        <v>12696.82</v>
      </c>
      <c r="N565" s="926">
        <v>46030</v>
      </c>
      <c r="O565" s="936">
        <v>12696.82</v>
      </c>
      <c r="P565" s="932"/>
      <c r="Q565" s="937" t="str" cm="1">
        <f t="array" aca="1" ref="Q565" ca="1">IF($P565&lt;&gt;"","PAGO",IF($N565&lt;TODAY(),"ATRASADO",IF($N565&gt;TODAY(),"NO PRAZO",IF($N565=TODAY(),"NO PRAZO",SE))))</f>
        <v>ATRASADO</v>
      </c>
      <c r="R565" s="259">
        <f t="shared" ca="1" si="8"/>
        <v>-33</v>
      </c>
      <c r="S565" s="932">
        <v>46063</v>
      </c>
      <c r="T565" s="929"/>
      <c r="U565" s="938">
        <f ca="1">SUBTOTAL(3,Tabela13[[#This Row],[STATUS]])</f>
        <v>1</v>
      </c>
    </row>
    <row r="566" spans="1:21" ht="24" customHeight="1">
      <c r="A566" s="926">
        <v>46009</v>
      </c>
      <c r="B566" s="927">
        <v>119152</v>
      </c>
      <c r="C566" s="928" t="str">
        <f>IFERROR(VLOOKUP(Tabela13[[#This Row],[CÓD. EMPRESA]],Tabela3[[CÓDIGO
 EMPRESA ]:[EMPRESA]],2,FALSE),"")</f>
        <v>COOPERATIVA DE TRABALHO DE CATADORAS E CATADORES DE MATERIAIS RECICLAVEIS SINERGIA BRASIL</v>
      </c>
      <c r="D566" s="112" t="s">
        <v>346</v>
      </c>
      <c r="E566" s="112" t="s">
        <v>499</v>
      </c>
      <c r="F566" s="930">
        <v>26772</v>
      </c>
      <c r="G566" s="931">
        <v>17</v>
      </c>
      <c r="H566" s="165" t="s">
        <v>54</v>
      </c>
      <c r="I566" s="932">
        <v>45931</v>
      </c>
      <c r="J566" s="926">
        <v>45961</v>
      </c>
      <c r="K566" s="933">
        <v>25650.04</v>
      </c>
      <c r="L566" s="934">
        <f>Tabela13[[#This Row],[VALOR
 BRUTO ]]-Tabela13[[#This Row],[VALOR 
LIQUIDO ]]</f>
        <v>0</v>
      </c>
      <c r="M566" s="935">
        <f>Tabela13[[#This Row],[VALORES PAGOS 
(FORMA PAGTO)]]</f>
        <v>25650.04</v>
      </c>
      <c r="N566" s="926">
        <v>46009</v>
      </c>
      <c r="O566" s="936">
        <v>25650.04</v>
      </c>
      <c r="P566" s="932">
        <v>46023</v>
      </c>
      <c r="Q566" s="937" t="str" cm="1">
        <f t="array" aca="1" ref="Q566" ca="1">IF($P566&lt;&gt;"","PAGO",IF($N566&lt;TODAY(),"ATRASADO",IF($N566&gt;TODAY(),"NO PRAZO",IF($N566=TODAY(),"NO PRAZO",SE))))</f>
        <v>PAGO</v>
      </c>
      <c r="R566" s="259" t="str">
        <f t="shared" ca="1" si="8"/>
        <v/>
      </c>
      <c r="S566" s="932"/>
      <c r="T566" s="929"/>
      <c r="U566" s="938">
        <f ca="1">SUBTOTAL(3,Tabela13[[#This Row],[STATUS]])</f>
        <v>1</v>
      </c>
    </row>
    <row r="567" spans="1:21" ht="24" customHeight="1">
      <c r="A567" s="926">
        <v>46009</v>
      </c>
      <c r="B567" s="927">
        <v>42326</v>
      </c>
      <c r="C567" s="928" t="str">
        <f>IFERROR(VLOOKUP(Tabela13[[#This Row],[CÓD. EMPRESA]],Tabela3[[CÓDIGO
 EMPRESA ]:[EMPRESA]],2,FALSE),"")</f>
        <v>CASAMAX COMERCIAL E SERVICOS LTDA</v>
      </c>
      <c r="D567" s="112" t="s">
        <v>745</v>
      </c>
      <c r="E567" s="112" t="s">
        <v>746</v>
      </c>
      <c r="F567" s="930">
        <v>23574</v>
      </c>
      <c r="G567" s="931">
        <v>11706</v>
      </c>
      <c r="H567" s="165" t="s">
        <v>44</v>
      </c>
      <c r="I567" s="932">
        <v>45931</v>
      </c>
      <c r="J567" s="926">
        <v>45961</v>
      </c>
      <c r="K567" s="933">
        <v>339151.1</v>
      </c>
      <c r="L567" s="934">
        <f>Tabela13[[#This Row],[VALOR
 BRUTO ]]-Tabela13[[#This Row],[VALOR 
LIQUIDO ]]</f>
        <v>0</v>
      </c>
      <c r="M567" s="935">
        <f>Tabela13[[#This Row],[VALORES PAGOS 
(FORMA PAGTO)]]</f>
        <v>339151.1</v>
      </c>
      <c r="N567" s="926">
        <v>46038</v>
      </c>
      <c r="O567" s="936">
        <v>339151.1</v>
      </c>
      <c r="P567" s="932"/>
      <c r="Q567" s="937" t="str" cm="1">
        <f t="array" aca="1" ref="Q567" ca="1">IF($P567&lt;&gt;"","PAGO",IF($N567&lt;TODAY(),"ATRASADO",IF($N567&gt;TODAY(),"NO PRAZO",IF($N567=TODAY(),"NO PRAZO",SE))))</f>
        <v>ATRASADO</v>
      </c>
      <c r="R567" s="259">
        <f t="shared" ca="1" si="8"/>
        <v>-25</v>
      </c>
      <c r="S567" s="929"/>
      <c r="T567" s="929"/>
      <c r="U567" s="938">
        <f ca="1">SUBTOTAL(3,Tabela13[[#This Row],[STATUS]])</f>
        <v>1</v>
      </c>
    </row>
    <row r="568" spans="1:21" ht="24" customHeight="1">
      <c r="A568" s="926">
        <v>46009</v>
      </c>
      <c r="B568" s="927">
        <v>117936</v>
      </c>
      <c r="C568" s="928" t="str">
        <f>IFERROR(VLOOKUP(Tabela13[[#This Row],[CÓD. EMPRESA]],Tabela3[[CÓDIGO
 EMPRESA ]:[EMPRESA]],2,FALSE),"")</f>
        <v>LOPES SAAB ENGENHARIA LTDA</v>
      </c>
      <c r="D568" s="112" t="s">
        <v>449</v>
      </c>
      <c r="E568" s="112" t="s">
        <v>747</v>
      </c>
      <c r="F568" s="930">
        <v>23500</v>
      </c>
      <c r="G568" s="931">
        <v>182</v>
      </c>
      <c r="H568" s="165" t="s">
        <v>44</v>
      </c>
      <c r="I568" s="932">
        <v>45901</v>
      </c>
      <c r="J568" s="926">
        <v>45930</v>
      </c>
      <c r="K568" s="933">
        <v>18500</v>
      </c>
      <c r="L568" s="934">
        <f>Tabela13[[#This Row],[VALOR
 BRUTO ]]-Tabela13[[#This Row],[VALOR 
LIQUIDO ]]</f>
        <v>0</v>
      </c>
      <c r="M568" s="935">
        <f>Tabela13[[#This Row],[VALORES PAGOS 
(FORMA PAGTO)]]</f>
        <v>18500</v>
      </c>
      <c r="N568" s="926">
        <v>46040</v>
      </c>
      <c r="O568" s="936">
        <v>18500</v>
      </c>
      <c r="P568" s="932"/>
      <c r="Q568" s="937" t="str" cm="1">
        <f t="array" aca="1" ref="Q568" ca="1">IF($P568&lt;&gt;"","PAGO",IF($N568&lt;TODAY(),"ATRASADO",IF($N568&gt;TODAY(),"NO PRAZO",IF($N568=TODAY(),"NO PRAZO",SE))))</f>
        <v>ATRASADO</v>
      </c>
      <c r="R568" s="259">
        <f t="shared" ca="1" si="8"/>
        <v>-23</v>
      </c>
      <c r="S568" s="929"/>
      <c r="T568" s="929"/>
      <c r="U568" s="938">
        <f ca="1">SUBTOTAL(3,Tabela13[[#This Row],[STATUS]])</f>
        <v>1</v>
      </c>
    </row>
    <row r="569" spans="1:21" ht="24" customHeight="1">
      <c r="A569" s="926">
        <v>46009</v>
      </c>
      <c r="B569" s="927">
        <v>117936</v>
      </c>
      <c r="C569" s="928" t="str">
        <f>IFERROR(VLOOKUP(Tabela13[[#This Row],[CÓD. EMPRESA]],Tabela3[[CÓDIGO
 EMPRESA ]:[EMPRESA]],2,FALSE),"")</f>
        <v>LOPES SAAB ENGENHARIA LTDA</v>
      </c>
      <c r="D569" s="112" t="s">
        <v>449</v>
      </c>
      <c r="E569" s="112" t="s">
        <v>747</v>
      </c>
      <c r="F569" s="930">
        <v>26317</v>
      </c>
      <c r="G569" s="931">
        <v>182</v>
      </c>
      <c r="H569" s="165" t="s">
        <v>44</v>
      </c>
      <c r="I569" s="932">
        <v>45901</v>
      </c>
      <c r="J569" s="926">
        <v>45930</v>
      </c>
      <c r="K569" s="933">
        <v>65000</v>
      </c>
      <c r="L569" s="934">
        <f>Tabela13[[#This Row],[VALOR
 BRUTO ]]-Tabela13[[#This Row],[VALOR 
LIQUIDO ]]</f>
        <v>0</v>
      </c>
      <c r="M569" s="935">
        <f>Tabela13[[#This Row],[VALORES PAGOS 
(FORMA PAGTO)]]</f>
        <v>65000</v>
      </c>
      <c r="N569" s="926">
        <v>46040</v>
      </c>
      <c r="O569" s="936">
        <v>65000</v>
      </c>
      <c r="P569" s="932"/>
      <c r="Q569" s="937" t="str" cm="1">
        <f t="array" aca="1" ref="Q569" ca="1">IF($P569&lt;&gt;"","PAGO",IF($N569&lt;TODAY(),"ATRASADO",IF($N569&gt;TODAY(),"NO PRAZO",IF($N569=TODAY(),"NO PRAZO",SE))))</f>
        <v>ATRASADO</v>
      </c>
      <c r="R569" s="259">
        <f t="shared" ca="1" si="8"/>
        <v>-23</v>
      </c>
      <c r="S569" s="929"/>
      <c r="T569" s="929"/>
      <c r="U569" s="938">
        <f ca="1">SUBTOTAL(3,Tabela13[[#This Row],[STATUS]])</f>
        <v>1</v>
      </c>
    </row>
    <row r="570" spans="1:21" ht="24" customHeight="1">
      <c r="A570" s="926">
        <v>46009</v>
      </c>
      <c r="B570" s="927">
        <v>117936</v>
      </c>
      <c r="C570" s="928" t="str">
        <f>IFERROR(VLOOKUP(Tabela13[[#This Row],[CÓD. EMPRESA]],Tabela3[[CÓDIGO
 EMPRESA ]:[EMPRESA]],2,FALSE),"")</f>
        <v>LOPES SAAB ENGENHARIA LTDA</v>
      </c>
      <c r="D570" s="112" t="s">
        <v>612</v>
      </c>
      <c r="E570" s="112" t="s">
        <v>747</v>
      </c>
      <c r="F570" s="930">
        <v>19149</v>
      </c>
      <c r="G570" s="931">
        <v>182</v>
      </c>
      <c r="H570" s="165" t="s">
        <v>44</v>
      </c>
      <c r="I570" s="932">
        <v>45901</v>
      </c>
      <c r="J570" s="926">
        <v>45930</v>
      </c>
      <c r="K570" s="933">
        <v>18500</v>
      </c>
      <c r="L570" s="934">
        <f>Tabela13[[#This Row],[VALOR
 BRUTO ]]-Tabela13[[#This Row],[VALOR 
LIQUIDO ]]</f>
        <v>0</v>
      </c>
      <c r="M570" s="935">
        <f>Tabela13[[#This Row],[VALORES PAGOS 
(FORMA PAGTO)]]</f>
        <v>18500</v>
      </c>
      <c r="N570" s="926">
        <v>46040</v>
      </c>
      <c r="O570" s="936">
        <v>18500</v>
      </c>
      <c r="P570" s="932"/>
      <c r="Q570" s="937" t="str" cm="1">
        <f t="array" aca="1" ref="Q570" ca="1">IF($P570&lt;&gt;"","PAGO",IF($N570&lt;TODAY(),"ATRASADO",IF($N570&gt;TODAY(),"NO PRAZO",IF($N570=TODAY(),"NO PRAZO",SE))))</f>
        <v>ATRASADO</v>
      </c>
      <c r="R570" s="259">
        <f t="shared" ca="1" si="8"/>
        <v>-23</v>
      </c>
      <c r="S570" s="929"/>
      <c r="T570" s="929"/>
      <c r="U570" s="938">
        <f ca="1">SUBTOTAL(3,Tabela13[[#This Row],[STATUS]])</f>
        <v>1</v>
      </c>
    </row>
    <row r="571" spans="1:21" ht="24" customHeight="1">
      <c r="A571" s="926">
        <v>46009</v>
      </c>
      <c r="B571" s="927">
        <v>68004</v>
      </c>
      <c r="C571" s="928" t="str">
        <f>IFERROR(VLOOKUP(Tabela13[[#This Row],[CÓD. EMPRESA]],Tabela3[[CÓDIGO
 EMPRESA ]:[EMPRESA]],2,FALSE),"")</f>
        <v>VB AMBIENTAL CONSULTORIA E PROJETOS LTDA-ME</v>
      </c>
      <c r="D571" s="112" t="s">
        <v>641</v>
      </c>
      <c r="E571" s="112" t="s">
        <v>489</v>
      </c>
      <c r="F571" s="930">
        <v>23489</v>
      </c>
      <c r="G571" s="931">
        <v>2199</v>
      </c>
      <c r="H571" s="165" t="s">
        <v>44</v>
      </c>
      <c r="I571" s="932">
        <v>45962</v>
      </c>
      <c r="J571" s="926">
        <v>45991</v>
      </c>
      <c r="K571" s="933">
        <v>2052.59</v>
      </c>
      <c r="L571" s="934">
        <f>Tabela13[[#This Row],[VALOR
 BRUTO ]]-Tabela13[[#This Row],[VALOR 
LIQUIDO ]]</f>
        <v>0</v>
      </c>
      <c r="M571" s="935">
        <f>Tabela13[[#This Row],[VALORES PAGOS 
(FORMA PAGTO)]]</f>
        <v>2052.59</v>
      </c>
      <c r="N571" s="926">
        <v>46040</v>
      </c>
      <c r="O571" s="936">
        <v>2052.59</v>
      </c>
      <c r="P571" s="932"/>
      <c r="Q571" s="937" t="str" cm="1">
        <f t="array" aca="1" ref="Q571" ca="1">IF($P571&lt;&gt;"","PAGO",IF($N571&lt;TODAY(),"ATRASADO",IF($N571&gt;TODAY(),"NO PRAZO",IF($N571=TODAY(),"NO PRAZO",SE))))</f>
        <v>ATRASADO</v>
      </c>
      <c r="R571" s="259">
        <f t="shared" ca="1" si="8"/>
        <v>-23</v>
      </c>
      <c r="S571" s="932">
        <v>46063</v>
      </c>
      <c r="T571" s="929"/>
      <c r="U571" s="938">
        <f ca="1">SUBTOTAL(3,Tabela13[[#This Row],[STATUS]])</f>
        <v>1</v>
      </c>
    </row>
    <row r="572" spans="1:21" ht="24" customHeight="1">
      <c r="A572" s="926">
        <v>46009</v>
      </c>
      <c r="B572" s="927">
        <v>121162</v>
      </c>
      <c r="C572" s="928" t="str">
        <f>IFERROR(VLOOKUP(Tabela13[[#This Row],[CÓD. EMPRESA]],Tabela3[[CÓDIGO
 EMPRESA ]:[EMPRESA]],2,FALSE),"")</f>
        <v>A&amp;A GOLD PHARMA INDUSTRIA LTDA</v>
      </c>
      <c r="D572" s="112" t="s">
        <v>749</v>
      </c>
      <c r="E572" s="112" t="s">
        <v>750</v>
      </c>
      <c r="F572" s="930">
        <v>24247</v>
      </c>
      <c r="G572" s="931">
        <v>13866</v>
      </c>
      <c r="H572" s="165" t="s">
        <v>44</v>
      </c>
      <c r="I572" s="932"/>
      <c r="J572" s="926"/>
      <c r="K572" s="933">
        <v>4914</v>
      </c>
      <c r="L572" s="934">
        <f>Tabela13[[#This Row],[VALOR
 BRUTO ]]-Tabela13[[#This Row],[VALOR 
LIQUIDO ]]</f>
        <v>58.97</v>
      </c>
      <c r="M572" s="935">
        <f>Tabela13[[#This Row],[VALORES PAGOS 
(FORMA PAGTO)]]</f>
        <v>4855.03</v>
      </c>
      <c r="N572" s="926">
        <v>46037</v>
      </c>
      <c r="O572" s="936">
        <v>4855.03</v>
      </c>
      <c r="P572" s="932"/>
      <c r="Q572" s="937" t="str" cm="1">
        <f t="array" aca="1" ref="Q572" ca="1">IF($P572&lt;&gt;"","PAGO",IF($N572&lt;TODAY(),"ATRASADO",IF($N572&gt;TODAY(),"NO PRAZO",IF($N572=TODAY(),"NO PRAZO",SE))))</f>
        <v>ATRASADO</v>
      </c>
      <c r="R572" s="259">
        <f t="shared" ca="1" si="8"/>
        <v>-26</v>
      </c>
      <c r="S572" s="932">
        <v>46063</v>
      </c>
      <c r="T572" s="929"/>
      <c r="U572" s="938">
        <f ca="1">SUBTOTAL(3,Tabela13[[#This Row],[STATUS]])</f>
        <v>1</v>
      </c>
    </row>
    <row r="573" spans="1:21" ht="24" customHeight="1">
      <c r="A573" s="113">
        <v>46009</v>
      </c>
      <c r="B573" s="114">
        <v>46674</v>
      </c>
      <c r="C573" s="688" t="str">
        <f>IFERROR(VLOOKUP(Tabela13[[#This Row],[CÓD. EMPRESA]],Tabela3[[CÓDIGO
 EMPRESA ]:[EMPRESA]],2,FALSE),"")</f>
        <v>NOA SERVICOS E LOCACAO LTDA</v>
      </c>
      <c r="D573" s="112" t="s">
        <v>324</v>
      </c>
      <c r="E573" s="112" t="s">
        <v>419</v>
      </c>
      <c r="F573" s="196">
        <v>26782</v>
      </c>
      <c r="G573" s="109">
        <v>1857</v>
      </c>
      <c r="H573" s="165" t="s">
        <v>44</v>
      </c>
      <c r="I573" s="147">
        <v>45962</v>
      </c>
      <c r="J573" s="113">
        <v>45991</v>
      </c>
      <c r="K573" s="401">
        <v>131343.99</v>
      </c>
      <c r="L573" s="398">
        <f>Tabela13[[#This Row],[VALOR
 BRUTO ]]-Tabela13[[#This Row],[VALOR 
LIQUIDO ]]</f>
        <v>0</v>
      </c>
      <c r="M573" s="703">
        <f>Tabela13[[#This Row],[VALORES PAGOS 
(FORMA PAGTO)]]</f>
        <v>131343.99</v>
      </c>
      <c r="N573" s="113">
        <v>46039</v>
      </c>
      <c r="O573" s="385">
        <v>131343.99</v>
      </c>
      <c r="P573" s="147"/>
      <c r="Q573" s="197" t="str" cm="1">
        <f t="array" aca="1" ref="Q573" ca="1">IF($P573&lt;&gt;"","PAGO",IF($N573&lt;TODAY(),"ATRASADO",IF($N573&gt;TODAY(),"NO PRAZO",IF($N573=TODAY(),"NO PRAZO",SE))))</f>
        <v>ATRASADO</v>
      </c>
      <c r="R573" s="259">
        <f t="shared" ca="1" si="8"/>
        <v>-24</v>
      </c>
      <c r="S573" s="112"/>
      <c r="T573" s="112"/>
      <c r="U573" s="259">
        <f ca="1">SUBTOTAL(3,Tabela13[[#This Row],[STATUS]])</f>
        <v>1</v>
      </c>
    </row>
    <row r="574" spans="1:21" ht="24" customHeight="1">
      <c r="A574" s="113">
        <v>46009</v>
      </c>
      <c r="B574" s="114">
        <v>46674</v>
      </c>
      <c r="C574" s="688" t="str">
        <f>IFERROR(VLOOKUP(Tabela13[[#This Row],[CÓD. EMPRESA]],Tabela3[[CÓDIGO
 EMPRESA ]:[EMPRESA]],2,FALSE),"")</f>
        <v>NOA SERVICOS E LOCACAO LTDA</v>
      </c>
      <c r="D574" s="112" t="s">
        <v>324</v>
      </c>
      <c r="E574" s="112" t="s">
        <v>419</v>
      </c>
      <c r="F574" s="196">
        <v>21703</v>
      </c>
      <c r="G574" s="109">
        <v>1857</v>
      </c>
      <c r="H574" s="165" t="s">
        <v>44</v>
      </c>
      <c r="I574" s="147">
        <v>45962</v>
      </c>
      <c r="J574" s="113">
        <v>45991</v>
      </c>
      <c r="K574" s="401">
        <v>48994.05</v>
      </c>
      <c r="L574" s="398">
        <f>Tabela13[[#This Row],[VALOR
 BRUTO ]]-Tabela13[[#This Row],[VALOR 
LIQUIDO ]]</f>
        <v>0</v>
      </c>
      <c r="M574" s="703">
        <f>Tabela13[[#This Row],[VALORES PAGOS 
(FORMA PAGTO)]]</f>
        <v>48994.05</v>
      </c>
      <c r="N574" s="113">
        <v>46039</v>
      </c>
      <c r="O574" s="385">
        <v>48994.05</v>
      </c>
      <c r="P574" s="147"/>
      <c r="Q574" s="197" t="str" cm="1">
        <f t="array" aca="1" ref="Q574" ca="1">IF($P574&lt;&gt;"","PAGO",IF($N574&lt;TODAY(),"ATRASADO",IF($N574&gt;TODAY(),"NO PRAZO",IF($N574=TODAY(),"NO PRAZO",SE))))</f>
        <v>ATRASADO</v>
      </c>
      <c r="R574" s="259">
        <f t="shared" ca="1" si="8"/>
        <v>-24</v>
      </c>
      <c r="S574" s="112"/>
      <c r="T574" s="112"/>
      <c r="U574" s="259">
        <f ca="1">SUBTOTAL(3,Tabela13[[#This Row],[STATUS]])</f>
        <v>1</v>
      </c>
    </row>
    <row r="575" spans="1:21" ht="24" customHeight="1">
      <c r="A575" s="926">
        <v>46010</v>
      </c>
      <c r="B575" s="927">
        <v>73112</v>
      </c>
      <c r="C575" s="928" t="str">
        <f>IFERROR(VLOOKUP(Tabela13[[#This Row],[CÓD. EMPRESA]],Tabela3[[CÓDIGO
 EMPRESA ]:[EMPRESA]],2,FALSE),"")</f>
        <v>M CONSTRUÇÕES &amp; SERVIÇOS LTDA</v>
      </c>
      <c r="D575" s="112" t="s">
        <v>350</v>
      </c>
      <c r="E575" s="112" t="s">
        <v>494</v>
      </c>
      <c r="F575" s="930">
        <v>27143</v>
      </c>
      <c r="G575" s="931">
        <v>2543</v>
      </c>
      <c r="H575" s="165" t="s">
        <v>54</v>
      </c>
      <c r="I575" s="932">
        <v>45901</v>
      </c>
      <c r="J575" s="926">
        <v>45960</v>
      </c>
      <c r="K575" s="933">
        <v>16568.53</v>
      </c>
      <c r="L575" s="934">
        <f>Tabela13[[#This Row],[VALOR
 BRUTO ]]-Tabela13[[#This Row],[VALOR 
LIQUIDO ]]</f>
        <v>0</v>
      </c>
      <c r="M575" s="935">
        <f>Tabela13[[#This Row],[VALORES PAGOS 
(FORMA PAGTO)]]</f>
        <v>16568.53</v>
      </c>
      <c r="N575" s="926">
        <v>46010</v>
      </c>
      <c r="O575" s="936">
        <v>16568.53</v>
      </c>
      <c r="P575" s="932">
        <v>46021</v>
      </c>
      <c r="Q575" s="937" t="str" cm="1">
        <f t="array" aca="1" ref="Q575" ca="1">IF($P575&lt;&gt;"","PAGO",IF($N575&lt;TODAY(),"ATRASADO",IF($N575&gt;TODAY(),"NO PRAZO",IF($N575=TODAY(),"NO PRAZO",SE))))</f>
        <v>PAGO</v>
      </c>
      <c r="R575" s="259" t="str">
        <f t="shared" ca="1" si="8"/>
        <v/>
      </c>
      <c r="S575" s="932"/>
      <c r="T575" s="929"/>
      <c r="U575" s="938">
        <f ca="1">SUBTOTAL(3,Tabela13[[#This Row],[STATUS]])</f>
        <v>1</v>
      </c>
    </row>
    <row r="576" spans="1:21" ht="24" customHeight="1">
      <c r="A576" s="926">
        <v>46010</v>
      </c>
      <c r="B576" s="927">
        <v>73112</v>
      </c>
      <c r="C576" s="928" t="str">
        <f>IFERROR(VLOOKUP(Tabela13[[#This Row],[CÓD. EMPRESA]],Tabela3[[CÓDIGO
 EMPRESA ]:[EMPRESA]],2,FALSE),"")</f>
        <v>M CONSTRUÇÕES &amp; SERVIÇOS LTDA</v>
      </c>
      <c r="D576" s="112" t="s">
        <v>350</v>
      </c>
      <c r="E576" s="112" t="s">
        <v>494</v>
      </c>
      <c r="F576" s="930">
        <v>27146</v>
      </c>
      <c r="G576" s="931">
        <v>2543</v>
      </c>
      <c r="H576" s="165" t="s">
        <v>54</v>
      </c>
      <c r="I576" s="932">
        <v>45901</v>
      </c>
      <c r="J576" s="926">
        <v>45960</v>
      </c>
      <c r="K576" s="933">
        <v>835321.1</v>
      </c>
      <c r="L576" s="934">
        <f>Tabela13[[#This Row],[VALOR
 BRUTO ]]-Tabela13[[#This Row],[VALOR 
LIQUIDO ]]</f>
        <v>146525.01999999999</v>
      </c>
      <c r="M576" s="935">
        <f>Tabela13[[#This Row],[VALORES PAGOS 
(FORMA PAGTO)]]</f>
        <v>688796.08</v>
      </c>
      <c r="N576" s="926">
        <v>46010</v>
      </c>
      <c r="O576" s="936">
        <v>688796.08</v>
      </c>
      <c r="P576" s="932">
        <v>46021</v>
      </c>
      <c r="Q576" s="937" t="str" cm="1">
        <f t="array" aca="1" ref="Q576" ca="1">IF($P576&lt;&gt;"","PAGO",IF($N576&lt;TODAY(),"ATRASADO",IF($N576&gt;TODAY(),"NO PRAZO",IF($N576=TODAY(),"NO PRAZO",SE))))</f>
        <v>PAGO</v>
      </c>
      <c r="R576" s="259" t="str">
        <f t="shared" ca="1" si="8"/>
        <v/>
      </c>
      <c r="S576" s="932"/>
      <c r="T576" s="929"/>
      <c r="U576" s="938">
        <f ca="1">SUBTOTAL(3,Tabela13[[#This Row],[STATUS]])</f>
        <v>1</v>
      </c>
    </row>
    <row r="577" spans="1:21" ht="24" customHeight="1">
      <c r="A577" s="926">
        <v>46010</v>
      </c>
      <c r="B577" s="927">
        <v>73112</v>
      </c>
      <c r="C577" s="928" t="str">
        <f>IFERROR(VLOOKUP(Tabela13[[#This Row],[CÓD. EMPRESA]],Tabela3[[CÓDIGO
 EMPRESA ]:[EMPRESA]],2,FALSE),"")</f>
        <v>M CONSTRUÇÕES &amp; SERVIÇOS LTDA</v>
      </c>
      <c r="D577" s="112" t="s">
        <v>350</v>
      </c>
      <c r="E577" s="112" t="s">
        <v>494</v>
      </c>
      <c r="F577" s="930">
        <v>24102</v>
      </c>
      <c r="G577" s="931">
        <v>2542</v>
      </c>
      <c r="H577" s="165" t="s">
        <v>54</v>
      </c>
      <c r="I577" s="932">
        <v>45962</v>
      </c>
      <c r="J577" s="926">
        <v>45991</v>
      </c>
      <c r="K577" s="933">
        <v>622841.19999999995</v>
      </c>
      <c r="L577" s="934">
        <f>Tabela13[[#This Row],[VALOR
 BRUTO ]]-Tabela13[[#This Row],[VALOR 
LIQUIDO ]]</f>
        <v>0</v>
      </c>
      <c r="M577" s="935">
        <f>Tabela13[[#This Row],[VALORES PAGOS 
(FORMA PAGTO)]]</f>
        <v>622841.19999999995</v>
      </c>
      <c r="N577" s="926">
        <v>46010</v>
      </c>
      <c r="O577" s="936">
        <v>622841.19999999995</v>
      </c>
      <c r="P577" s="932">
        <v>46052</v>
      </c>
      <c r="Q577" s="937" t="str" cm="1">
        <f t="array" aca="1" ref="Q577" ca="1">IF($P577&lt;&gt;"","PAGO",IF($N577&lt;TODAY(),"ATRASADO",IF($N577&gt;TODAY(),"NO PRAZO",IF($N577=TODAY(),"NO PRAZO",SE))))</f>
        <v>PAGO</v>
      </c>
      <c r="R577" s="259" t="str">
        <f t="shared" ca="1" si="8"/>
        <v/>
      </c>
      <c r="S577" s="929"/>
      <c r="T577" s="929"/>
      <c r="U577" s="938">
        <f ca="1">SUBTOTAL(3,Tabela13[[#This Row],[STATUS]])</f>
        <v>1</v>
      </c>
    </row>
    <row r="578" spans="1:21" ht="24" customHeight="1">
      <c r="A578" s="926">
        <v>46010</v>
      </c>
      <c r="B578" s="927">
        <v>73112</v>
      </c>
      <c r="C578" s="928" t="str">
        <f>IFERROR(VLOOKUP(Tabela13[[#This Row],[CÓD. EMPRESA]],Tabela3[[CÓDIGO
 EMPRESA ]:[EMPRESA]],2,FALSE),"")</f>
        <v>M CONSTRUÇÕES &amp; SERVIÇOS LTDA</v>
      </c>
      <c r="D578" s="112" t="s">
        <v>350</v>
      </c>
      <c r="E578" s="112" t="s">
        <v>494</v>
      </c>
      <c r="F578" s="930">
        <v>27143</v>
      </c>
      <c r="G578" s="931">
        <v>2542</v>
      </c>
      <c r="H578" s="165" t="s">
        <v>54</v>
      </c>
      <c r="I578" s="932">
        <v>45962</v>
      </c>
      <c r="J578" s="926">
        <v>45991</v>
      </c>
      <c r="K578" s="933">
        <v>7883431.4699999997</v>
      </c>
      <c r="L578" s="934">
        <f>Tabela13[[#This Row],[VALOR
 BRUTO ]]-Tabela13[[#This Row],[VALORES PAGOS 
(FORMA PAGTO)]]-O579</f>
        <v>1463078.89</v>
      </c>
      <c r="M578" s="935">
        <f>Tabela13[[#This Row],[VALORES PAGOS 
(FORMA PAGTO)]]</f>
        <v>3521596.89</v>
      </c>
      <c r="N578" s="926">
        <v>46010</v>
      </c>
      <c r="O578" s="936">
        <v>3521596.89</v>
      </c>
      <c r="P578" s="932">
        <v>46037</v>
      </c>
      <c r="Q578" s="937" t="str" cm="1">
        <f t="array" aca="1" ref="Q578" ca="1">IF($P578&lt;&gt;"","PAGO",IF($N578&lt;TODAY(),"ATRASADO",IF($N578&gt;TODAY(),"NO PRAZO",IF($N578=TODAY(),"NO PRAZO",SE))))</f>
        <v>PAGO</v>
      </c>
      <c r="R578" s="259" t="str">
        <f t="shared" ca="1" si="8"/>
        <v/>
      </c>
      <c r="S578" s="147"/>
      <c r="T578" s="929"/>
      <c r="U578" s="938">
        <f ca="1">SUBTOTAL(3,Tabela13[[#This Row],[STATUS]])</f>
        <v>1</v>
      </c>
    </row>
    <row r="579" spans="1:21" ht="24" customHeight="1">
      <c r="A579" s="926">
        <v>46010</v>
      </c>
      <c r="B579" s="927">
        <v>73112</v>
      </c>
      <c r="C579" s="1012" t="str">
        <f>IFERROR(VLOOKUP(Tabela13[[#This Row],[CÓD. EMPRESA]],Tabela3[[CÓDIGO
 EMPRESA ]:[EMPRESA]],2,FALSE),"")</f>
        <v>M CONSTRUÇÕES &amp; SERVIÇOS LTDA</v>
      </c>
      <c r="D579" s="112" t="s">
        <v>350</v>
      </c>
      <c r="E579" s="112" t="s">
        <v>494</v>
      </c>
      <c r="F579" s="930">
        <v>27143</v>
      </c>
      <c r="G579" s="931">
        <v>2542</v>
      </c>
      <c r="H579" s="165" t="s">
        <v>54</v>
      </c>
      <c r="I579" s="932">
        <v>45962</v>
      </c>
      <c r="J579" s="926">
        <v>45991</v>
      </c>
      <c r="K579" s="1017"/>
      <c r="L579" s="1018"/>
      <c r="M579" s="1019">
        <f>Tabela13[[#This Row],[VALORES PAGOS 
(FORMA PAGTO)]]</f>
        <v>2898755.69</v>
      </c>
      <c r="N579" s="1010">
        <v>46010</v>
      </c>
      <c r="O579" s="1020">
        <v>2898755.69</v>
      </c>
      <c r="P579" s="1016">
        <v>46052</v>
      </c>
      <c r="Q579" s="1021" t="str" cm="1">
        <f t="array" aca="1" ref="Q579" ca="1">IF($P579&lt;&gt;"","PAGO",IF($N579&lt;TODAY(),"ATRASADO",IF($N579&gt;TODAY(),"NO PRAZO",IF($N579=TODAY(),"NO PRAZO",SE))))</f>
        <v>PAGO</v>
      </c>
      <c r="R579" s="259" t="str">
        <f t="shared" ca="1" si="8"/>
        <v/>
      </c>
      <c r="S579" s="1013"/>
      <c r="T579" s="1013"/>
      <c r="U579" s="1022">
        <f ca="1">SUBTOTAL(3,Tabela13[[#This Row],[STATUS]])</f>
        <v>1</v>
      </c>
    </row>
    <row r="580" spans="1:21" ht="24" customHeight="1">
      <c r="A580" s="926">
        <v>46010</v>
      </c>
      <c r="B580" s="927">
        <v>58778</v>
      </c>
      <c r="C580" s="928" t="str">
        <f>IFERROR(VLOOKUP(Tabela13[[#This Row],[CÓD. EMPRESA]],Tabela3[[CÓDIGO
 EMPRESA ]:[EMPRESA]],2,FALSE),"")</f>
        <v>ATTEND AMBIENTAL S.A</v>
      </c>
      <c r="D580" s="112" t="s">
        <v>335</v>
      </c>
      <c r="E580" s="112" t="s">
        <v>741</v>
      </c>
      <c r="F580" s="930">
        <v>28362</v>
      </c>
      <c r="G580" s="931">
        <v>45028</v>
      </c>
      <c r="H580" s="165" t="s">
        <v>54</v>
      </c>
      <c r="I580" s="932">
        <v>45627</v>
      </c>
      <c r="J580" s="926">
        <v>45656</v>
      </c>
      <c r="K580" s="933">
        <v>194154.62</v>
      </c>
      <c r="L580" s="934">
        <f>Tabela13[[#This Row],[VALOR
 BRUTO ]]-Tabela13[[#This Row],[VALOR 
LIQUIDO ]]</f>
        <v>9319.42</v>
      </c>
      <c r="M580" s="935">
        <f>Tabela13[[#This Row],[VALORES PAGOS 
(FORMA PAGTO)]]</f>
        <v>184835.20000000001</v>
      </c>
      <c r="N580" s="926">
        <v>46010</v>
      </c>
      <c r="O580" s="936">
        <v>184835.20000000001</v>
      </c>
      <c r="P580" s="932">
        <v>46010</v>
      </c>
      <c r="Q580" s="937" t="str" cm="1">
        <f t="array" aca="1" ref="Q580" ca="1">IF($P580&lt;&gt;"","PAGO",IF($N580&lt;TODAY(),"ATRASADO",IF($N580&gt;TODAY(),"NO PRAZO",IF($N580=TODAY(),"NO PRAZO",SE))))</f>
        <v>PAGO</v>
      </c>
      <c r="R580" s="259" t="str">
        <f t="shared" ca="1" si="8"/>
        <v/>
      </c>
      <c r="S580" s="929"/>
      <c r="T580" s="929"/>
      <c r="U580" s="938">
        <f ca="1">SUBTOTAL(3,Tabela13[[#This Row],[STATUS]])</f>
        <v>1</v>
      </c>
    </row>
    <row r="581" spans="1:21" ht="24" customHeight="1">
      <c r="A581" s="926">
        <v>46013</v>
      </c>
      <c r="B581" s="927">
        <v>60979</v>
      </c>
      <c r="C581" s="928" t="str">
        <f>IFERROR(VLOOKUP(Tabela13[[#This Row],[CÓD. EMPRESA]],Tabela3[[CÓDIGO
 EMPRESA ]:[EMPRESA]],2,FALSE),"")</f>
        <v>SILCON AMBIENTAL S/A</v>
      </c>
      <c r="D581" s="112" t="s">
        <v>355</v>
      </c>
      <c r="E581" s="112" t="s">
        <v>490</v>
      </c>
      <c r="F581" s="930">
        <v>23577</v>
      </c>
      <c r="G581" s="931">
        <v>41589</v>
      </c>
      <c r="H581" s="165" t="s">
        <v>44</v>
      </c>
      <c r="I581" s="932">
        <v>45962</v>
      </c>
      <c r="J581" s="926">
        <v>45991</v>
      </c>
      <c r="K581" s="933">
        <v>2949.27</v>
      </c>
      <c r="L581" s="934">
        <f>Tabela13[[#This Row],[VALOR
 BRUTO ]]-Tabela13[[#This Row],[VALOR 
LIQUIDO ]]</f>
        <v>613.44000000000005</v>
      </c>
      <c r="M581" s="935">
        <f>Tabela13[[#This Row],[VALORES PAGOS 
(FORMA PAGTO)]]</f>
        <v>2335.83</v>
      </c>
      <c r="N581" s="926">
        <v>46044</v>
      </c>
      <c r="O581" s="936">
        <v>2335.83</v>
      </c>
      <c r="P581" s="932"/>
      <c r="Q581" s="937" t="str" cm="1">
        <f t="array" aca="1" ref="Q581" ca="1">IF($P581&lt;&gt;"","PAGO",IF($N581&lt;TODAY(),"ATRASADO",IF($N581&gt;TODAY(),"NO PRAZO",IF($N581=TODAY(),"NO PRAZO",SE))))</f>
        <v>ATRASADO</v>
      </c>
      <c r="R581" s="259">
        <f t="shared" ca="1" si="8"/>
        <v>-19</v>
      </c>
      <c r="S581" s="932">
        <v>46063</v>
      </c>
      <c r="T581" s="929"/>
      <c r="U581" s="938">
        <f ca="1">SUBTOTAL(3,Tabela13[[#This Row],[STATUS]])</f>
        <v>1</v>
      </c>
    </row>
    <row r="582" spans="1:21" ht="24" customHeight="1">
      <c r="A582" s="926">
        <v>46013</v>
      </c>
      <c r="B582" s="927">
        <v>60979</v>
      </c>
      <c r="C582" s="928" t="str">
        <f>IFERROR(VLOOKUP(Tabela13[[#This Row],[CÓD. EMPRESA]],Tabela3[[CÓDIGO
 EMPRESA ]:[EMPRESA]],2,FALSE),"")</f>
        <v>SILCON AMBIENTAL S/A</v>
      </c>
      <c r="D582" s="112" t="s">
        <v>355</v>
      </c>
      <c r="E582" s="112" t="s">
        <v>490</v>
      </c>
      <c r="F582" s="930">
        <v>23577</v>
      </c>
      <c r="G582" s="931">
        <v>41591</v>
      </c>
      <c r="H582" s="165" t="s">
        <v>44</v>
      </c>
      <c r="I582" s="932">
        <v>45962</v>
      </c>
      <c r="J582" s="926">
        <v>45991</v>
      </c>
      <c r="K582" s="933">
        <v>4423.91</v>
      </c>
      <c r="L582" s="934">
        <f>Tabela13[[#This Row],[VALOR
 BRUTO ]]-Tabela13[[#This Row],[VALOR 
LIQUIDO ]]</f>
        <v>212.35</v>
      </c>
      <c r="M582" s="935">
        <f>Tabela13[[#This Row],[VALORES PAGOS 
(FORMA PAGTO)]]</f>
        <v>4211.5600000000004</v>
      </c>
      <c r="N582" s="926">
        <v>46044</v>
      </c>
      <c r="O582" s="936">
        <v>4211.5600000000004</v>
      </c>
      <c r="P582" s="932"/>
      <c r="Q582" s="937" t="str" cm="1">
        <f t="array" aca="1" ref="Q582" ca="1">IF($P582&lt;&gt;"","PAGO",IF($N582&lt;TODAY(),"ATRASADO",IF($N582&gt;TODAY(),"NO PRAZO",IF($N582=TODAY(),"NO PRAZO",SE))))</f>
        <v>ATRASADO</v>
      </c>
      <c r="R582" s="259">
        <f t="shared" ref="R582:R635" ca="1" si="9">IF(Q582="ATRASADO",N582-TODAY(),IF(Q582="NO PRAZO",N582-TODAY(),IF(Q582="PAGO","")))</f>
        <v>-19</v>
      </c>
      <c r="S582" s="932">
        <v>46063</v>
      </c>
      <c r="T582" s="929"/>
      <c r="U582" s="938">
        <f ca="1">SUBTOTAL(3,Tabela13[[#This Row],[STATUS]])</f>
        <v>1</v>
      </c>
    </row>
    <row r="583" spans="1:21" ht="24" customHeight="1">
      <c r="A583" s="926">
        <v>46013</v>
      </c>
      <c r="B583" s="927">
        <v>60979</v>
      </c>
      <c r="C583" s="928" t="str">
        <f>IFERROR(VLOOKUP(Tabela13[[#This Row],[CÓD. EMPRESA]],Tabela3[[CÓDIGO
 EMPRESA ]:[EMPRESA]],2,FALSE),"")</f>
        <v>SILCON AMBIENTAL S/A</v>
      </c>
      <c r="D583" s="112" t="s">
        <v>355</v>
      </c>
      <c r="E583" s="112" t="s">
        <v>490</v>
      </c>
      <c r="F583" s="930">
        <v>23577</v>
      </c>
      <c r="G583" s="931">
        <v>41594</v>
      </c>
      <c r="H583" s="165" t="s">
        <v>44</v>
      </c>
      <c r="I583" s="932">
        <v>45962</v>
      </c>
      <c r="J583" s="926">
        <v>45991</v>
      </c>
      <c r="K583" s="933">
        <v>203895.65</v>
      </c>
      <c r="L583" s="934">
        <f>Tabela13[[#This Row],[VALOR
 BRUTO ]]-Tabela13[[#This Row],[VALOR 
LIQUIDO ]]</f>
        <v>0</v>
      </c>
      <c r="M583" s="935">
        <f>Tabela13[[#This Row],[VALORES PAGOS 
(FORMA PAGTO)]]</f>
        <v>203895.65</v>
      </c>
      <c r="N583" s="926">
        <v>46044</v>
      </c>
      <c r="O583" s="936">
        <v>203895.65</v>
      </c>
      <c r="P583" s="932"/>
      <c r="Q583" s="937" t="str" cm="1">
        <f t="array" aca="1" ref="Q583" ca="1">IF($P583&lt;&gt;"","PAGO",IF($N583&lt;TODAY(),"ATRASADO",IF($N583&gt;TODAY(),"NO PRAZO",IF($N583=TODAY(),"NO PRAZO",SE))))</f>
        <v>ATRASADO</v>
      </c>
      <c r="R583" s="259">
        <f t="shared" ca="1" si="9"/>
        <v>-19</v>
      </c>
      <c r="S583" s="929">
        <v>10</v>
      </c>
      <c r="T583" s="929"/>
      <c r="U583" s="938">
        <f ca="1">SUBTOTAL(3,Tabela13[[#This Row],[STATUS]])</f>
        <v>1</v>
      </c>
    </row>
    <row r="584" spans="1:21" ht="24" customHeight="1">
      <c r="A584" s="926">
        <v>46013</v>
      </c>
      <c r="B584" s="927">
        <v>60979</v>
      </c>
      <c r="C584" s="928" t="str">
        <f>IFERROR(VLOOKUP(Tabela13[[#This Row],[CÓD. EMPRESA]],Tabela3[[CÓDIGO
 EMPRESA ]:[EMPRESA]],2,FALSE),"")</f>
        <v>SILCON AMBIENTAL S/A</v>
      </c>
      <c r="D584" s="112" t="s">
        <v>355</v>
      </c>
      <c r="E584" s="112" t="s">
        <v>490</v>
      </c>
      <c r="F584" s="930">
        <v>26775</v>
      </c>
      <c r="G584" s="931">
        <v>41594</v>
      </c>
      <c r="H584" s="165" t="s">
        <v>44</v>
      </c>
      <c r="I584" s="932">
        <v>45962</v>
      </c>
      <c r="J584" s="926">
        <v>45991</v>
      </c>
      <c r="K584" s="933">
        <v>26803.18</v>
      </c>
      <c r="L584" s="934">
        <f>Tabela13[[#This Row],[VALOR
 BRUTO ]]-Tabela13[[#This Row],[VALOR 
LIQUIDO ]]</f>
        <v>0</v>
      </c>
      <c r="M584" s="935">
        <f>Tabela13[[#This Row],[VALORES PAGOS 
(FORMA PAGTO)]]</f>
        <v>26803.18</v>
      </c>
      <c r="N584" s="926">
        <v>46044</v>
      </c>
      <c r="O584" s="936">
        <v>26803.18</v>
      </c>
      <c r="P584" s="932"/>
      <c r="Q584" s="937" t="str" cm="1">
        <f t="array" aca="1" ref="Q584" ca="1">IF($P584&lt;&gt;"","PAGO",IF($N584&lt;TODAY(),"ATRASADO",IF($N584&gt;TODAY(),"NO PRAZO",IF($N584=TODAY(),"NO PRAZO",SE))))</f>
        <v>ATRASADO</v>
      </c>
      <c r="R584" s="259">
        <f t="shared" ca="1" si="9"/>
        <v>-19</v>
      </c>
      <c r="S584" s="929"/>
      <c r="T584" s="929"/>
      <c r="U584" s="938">
        <f ca="1">SUBTOTAL(3,Tabela13[[#This Row],[STATUS]])</f>
        <v>1</v>
      </c>
    </row>
    <row r="585" spans="1:21" ht="24" customHeight="1">
      <c r="A585" s="926">
        <v>46013</v>
      </c>
      <c r="B585" s="927">
        <v>60979</v>
      </c>
      <c r="C585" s="928" t="str">
        <f>IFERROR(VLOOKUP(Tabela13[[#This Row],[CÓD. EMPRESA]],Tabela3[[CÓDIGO
 EMPRESA ]:[EMPRESA]],2,FALSE),"")</f>
        <v>SILCON AMBIENTAL S/A</v>
      </c>
      <c r="D585" s="112" t="s">
        <v>355</v>
      </c>
      <c r="E585" s="112" t="s">
        <v>490</v>
      </c>
      <c r="F585" s="930">
        <v>26775</v>
      </c>
      <c r="G585" s="931">
        <v>41595</v>
      </c>
      <c r="H585" s="165" t="s">
        <v>44</v>
      </c>
      <c r="I585" s="932">
        <v>45962</v>
      </c>
      <c r="J585" s="926">
        <v>45991</v>
      </c>
      <c r="K585" s="933">
        <v>346047.82</v>
      </c>
      <c r="L585" s="934">
        <f>Tabela13[[#This Row],[VALOR
 BRUTO ]]-Tabela13[[#This Row],[VALOR 
LIQUIDO ]]</f>
        <v>0</v>
      </c>
      <c r="M585" s="935">
        <f>Tabela13[[#This Row],[VALORES PAGOS 
(FORMA PAGTO)]]</f>
        <v>346047.82</v>
      </c>
      <c r="N585" s="926">
        <v>46044</v>
      </c>
      <c r="O585" s="936">
        <v>346047.82</v>
      </c>
      <c r="P585" s="932"/>
      <c r="Q585" s="937" t="str" cm="1">
        <f t="array" aca="1" ref="Q585" ca="1">IF($P585&lt;&gt;"","PAGO",IF($N585&lt;TODAY(),"ATRASADO",IF($N585&gt;TODAY(),"NO PRAZO",IF($N585=TODAY(),"NO PRAZO",SE))))</f>
        <v>ATRASADO</v>
      </c>
      <c r="R585" s="259">
        <f t="shared" ca="1" si="9"/>
        <v>-19</v>
      </c>
      <c r="S585" s="929"/>
      <c r="T585" s="929"/>
      <c r="U585" s="938">
        <f ca="1">SUBTOTAL(3,Tabela13[[#This Row],[STATUS]])</f>
        <v>1</v>
      </c>
    </row>
    <row r="586" spans="1:21" ht="24" customHeight="1">
      <c r="A586" s="926">
        <v>46013</v>
      </c>
      <c r="B586" s="927">
        <v>121973</v>
      </c>
      <c r="C586" s="928" t="str">
        <f>IFERROR(VLOOKUP(Tabela13[[#This Row],[CÓD. EMPRESA]],Tabela3[[CÓDIGO
 EMPRESA ]:[EMPRESA]],2,FALSE),"")</f>
        <v>CONSORCIO CENTRO DE TRATAMENTO DE RESIDUOS GUARULHOS</v>
      </c>
      <c r="D586" s="112" t="s">
        <v>362</v>
      </c>
      <c r="E586" s="112" t="s">
        <v>564</v>
      </c>
      <c r="F586" s="930">
        <v>21911</v>
      </c>
      <c r="G586" s="931">
        <v>12</v>
      </c>
      <c r="H586" s="165" t="s">
        <v>44</v>
      </c>
      <c r="I586" s="932">
        <v>45962</v>
      </c>
      <c r="J586" s="926">
        <v>45991</v>
      </c>
      <c r="K586" s="933">
        <v>1033833.92</v>
      </c>
      <c r="L586" s="934">
        <f>Tabela13[[#This Row],[VALOR
 BRUTO ]]-Tabela13[[#This Row],[VALOR 
LIQUIDO ]]</f>
        <v>158176.6</v>
      </c>
      <c r="M586" s="935">
        <f>Tabela13[[#This Row],[VALORES PAGOS 
(FORMA PAGTO)]]</f>
        <v>875657.32</v>
      </c>
      <c r="N586" s="926">
        <v>46044</v>
      </c>
      <c r="O586" s="936">
        <v>875657.32</v>
      </c>
      <c r="P586" s="932">
        <v>46052</v>
      </c>
      <c r="Q586" s="937" t="str" cm="1">
        <f t="array" aca="1" ref="Q586" ca="1">IF($P586&lt;&gt;"","PAGO",IF($N586&lt;TODAY(),"ATRASADO",IF($N586&gt;TODAY(),"NO PRAZO",IF($N586=TODAY(),"NO PRAZO",SE))))</f>
        <v>PAGO</v>
      </c>
      <c r="R586" s="259" t="str">
        <f t="shared" ca="1" si="9"/>
        <v/>
      </c>
      <c r="S586" s="932"/>
      <c r="T586" s="929"/>
      <c r="U586" s="938">
        <f ca="1">SUBTOTAL(3,Tabela13[[#This Row],[STATUS]])</f>
        <v>1</v>
      </c>
    </row>
    <row r="587" spans="1:21" ht="24" customHeight="1">
      <c r="A587" s="926">
        <v>46014</v>
      </c>
      <c r="B587" s="927">
        <v>51481</v>
      </c>
      <c r="C587" s="928" t="str">
        <f>IFERROR(VLOOKUP(Tabela13[[#This Row],[CÓD. EMPRESA]],Tabela3[[CÓDIGO
 EMPRESA ]:[EMPRESA]],2,FALSE),"")</f>
        <v>LIGA INDUSTRIA E COMÉRCIO DE MATERIAL PARA CONSTRUÇÃO LTDA .</v>
      </c>
      <c r="D587" s="112" t="s">
        <v>730</v>
      </c>
      <c r="E587" s="112" t="s">
        <v>756</v>
      </c>
      <c r="F587" s="930">
        <v>24095</v>
      </c>
      <c r="G587" s="931">
        <v>123</v>
      </c>
      <c r="H587" s="165" t="s">
        <v>44</v>
      </c>
      <c r="I587" s="932"/>
      <c r="J587" s="926"/>
      <c r="K587" s="933">
        <v>35580</v>
      </c>
      <c r="L587" s="934">
        <f>Tabela13[[#This Row],[VALOR
 BRUTO ]]-Tabela13[[#This Row],[VALOR 
LIQUIDO ]]</f>
        <v>0</v>
      </c>
      <c r="M587" s="935">
        <f>Tabela13[[#This Row],[VALORES PAGOS 
(FORMA PAGTO)]]</f>
        <v>35580</v>
      </c>
      <c r="N587" s="926">
        <v>46059</v>
      </c>
      <c r="O587" s="936">
        <v>35580</v>
      </c>
      <c r="P587" s="932"/>
      <c r="Q587" s="937" t="str" cm="1">
        <f t="array" aca="1" ref="Q587" ca="1">IF($P587&lt;&gt;"","PAGO",IF($N587&lt;TODAY(),"ATRASADO",IF($N587&gt;TODAY(),"NO PRAZO",IF($N587=TODAY(),"NO PRAZO",SE))))</f>
        <v>ATRASADO</v>
      </c>
      <c r="R587" s="259">
        <f t="shared" ca="1" si="9"/>
        <v>-4</v>
      </c>
      <c r="S587" s="929"/>
      <c r="T587" s="929"/>
      <c r="U587" s="938">
        <f ca="1">SUBTOTAL(3,Tabela13[[#This Row],[STATUS]])</f>
        <v>1</v>
      </c>
    </row>
    <row r="588" spans="1:21" ht="24" customHeight="1">
      <c r="A588" s="926">
        <v>46014</v>
      </c>
      <c r="B588" s="927">
        <v>51481</v>
      </c>
      <c r="C588" s="928" t="str">
        <f>IFERROR(VLOOKUP(Tabela13[[#This Row],[CÓD. EMPRESA]],Tabela3[[CÓDIGO
 EMPRESA ]:[EMPRESA]],2,FALSE),"")</f>
        <v>LIGA INDUSTRIA E COMÉRCIO DE MATERIAL PARA CONSTRUÇÃO LTDA .</v>
      </c>
      <c r="D588" s="112" t="s">
        <v>730</v>
      </c>
      <c r="E588" s="112" t="s">
        <v>637</v>
      </c>
      <c r="F588" s="930">
        <v>24095</v>
      </c>
      <c r="G588" s="931">
        <v>124</v>
      </c>
      <c r="H588" s="165" t="s">
        <v>44</v>
      </c>
      <c r="I588" s="932"/>
      <c r="J588" s="926"/>
      <c r="K588" s="933">
        <v>51570</v>
      </c>
      <c r="L588" s="934">
        <f>Tabela13[[#This Row],[VALOR
 BRUTO ]]-Tabela13[[#This Row],[VALOR 
LIQUIDO ]]</f>
        <v>1650.24</v>
      </c>
      <c r="M588" s="935">
        <f>Tabela13[[#This Row],[VALORES PAGOS 
(FORMA PAGTO)]]</f>
        <v>49919.76</v>
      </c>
      <c r="N588" s="926">
        <v>46044</v>
      </c>
      <c r="O588" s="936">
        <v>49919.76</v>
      </c>
      <c r="P588" s="932"/>
      <c r="Q588" s="937" t="str" cm="1">
        <f t="array" aca="1" ref="Q588" ca="1">IF($P588&lt;&gt;"","PAGO",IF($N588&lt;TODAY(),"ATRASADO",IF($N588&gt;TODAY(),"NO PRAZO",IF($N588=TODAY(),"NO PRAZO",SE))))</f>
        <v>ATRASADO</v>
      </c>
      <c r="R588" s="259">
        <f t="shared" ca="1" si="9"/>
        <v>-19</v>
      </c>
      <c r="S588" s="932">
        <v>46063</v>
      </c>
      <c r="T588" s="929"/>
      <c r="U588" s="938">
        <f ca="1">SUBTOTAL(3,Tabela13[[#This Row],[STATUS]])</f>
        <v>1</v>
      </c>
    </row>
    <row r="589" spans="1:21" ht="24" customHeight="1">
      <c r="A589" s="926">
        <v>46014</v>
      </c>
      <c r="B589" s="927">
        <v>51481</v>
      </c>
      <c r="C589" s="928" t="str">
        <f>IFERROR(VLOOKUP(Tabela13[[#This Row],[CÓD. EMPRESA]],Tabela3[[CÓDIGO
 EMPRESA ]:[EMPRESA]],2,FALSE),"")</f>
        <v>LIGA INDUSTRIA E COMÉRCIO DE MATERIAL PARA CONSTRUÇÃO LTDA .</v>
      </c>
      <c r="D589" s="112" t="s">
        <v>730</v>
      </c>
      <c r="E589" s="112" t="s">
        <v>637</v>
      </c>
      <c r="F589" s="930">
        <v>24095</v>
      </c>
      <c r="G589" s="931">
        <v>125</v>
      </c>
      <c r="H589" s="165" t="s">
        <v>44</v>
      </c>
      <c r="I589" s="932"/>
      <c r="J589" s="926"/>
      <c r="K589" s="933">
        <v>60480</v>
      </c>
      <c r="L589" s="934">
        <f>Tabela13[[#This Row],[VALOR
 BRUTO ]]-Tabela13[[#This Row],[VALOR 
LIQUIDO ]]</f>
        <v>1935.36</v>
      </c>
      <c r="M589" s="935">
        <f>Tabela13[[#This Row],[VALORES PAGOS 
(FORMA PAGTO)]]</f>
        <v>58544.639999999999</v>
      </c>
      <c r="N589" s="926">
        <v>46044</v>
      </c>
      <c r="O589" s="936">
        <v>58544.639999999999</v>
      </c>
      <c r="P589" s="932"/>
      <c r="Q589" s="937" t="str" cm="1">
        <f t="array" aca="1" ref="Q589" ca="1">IF($P589&lt;&gt;"","PAGO",IF($N589&lt;TODAY(),"ATRASADO",IF($N589&gt;TODAY(),"NO PRAZO",IF($N589=TODAY(),"NO PRAZO",SE))))</f>
        <v>ATRASADO</v>
      </c>
      <c r="R589" s="259">
        <f t="shared" ca="1" si="9"/>
        <v>-19</v>
      </c>
      <c r="S589" s="932">
        <v>46063</v>
      </c>
      <c r="T589" s="929"/>
      <c r="U589" s="938">
        <f ca="1">SUBTOTAL(3,Tabela13[[#This Row],[STATUS]])</f>
        <v>1</v>
      </c>
    </row>
    <row r="590" spans="1:21" ht="24" customHeight="1">
      <c r="A590" s="113">
        <v>46014</v>
      </c>
      <c r="B590" s="927">
        <v>69181</v>
      </c>
      <c r="C590" s="928" t="str">
        <f>IFERROR(VLOOKUP(Tabela13[[#This Row],[CÓD. EMPRESA]],Tabela3[[CÓDIGO
 EMPRESA ]:[EMPRESA]],2,FALSE),"")</f>
        <v>N.S. KARYDI INDUSTRIA E COMERCIO LTDA</v>
      </c>
      <c r="D590" s="112" t="s">
        <v>752</v>
      </c>
      <c r="E590" s="112" t="s">
        <v>753</v>
      </c>
      <c r="F590" s="930">
        <v>24299</v>
      </c>
      <c r="G590" s="931">
        <v>2937</v>
      </c>
      <c r="H590" s="165" t="s">
        <v>44</v>
      </c>
      <c r="I590" s="932"/>
      <c r="J590" s="926"/>
      <c r="K590" s="933">
        <v>102300</v>
      </c>
      <c r="L590" s="934">
        <f>Tabela13[[#This Row],[VALOR
 BRUTO ]]-Tabela13[[#This Row],[VALOR 
LIQUIDO ]]</f>
        <v>0</v>
      </c>
      <c r="M590" s="935">
        <f>Tabela13[[#This Row],[VALORES PAGOS 
(FORMA PAGTO)]]</f>
        <v>102300</v>
      </c>
      <c r="N590" s="926">
        <v>46044</v>
      </c>
      <c r="O590" s="936">
        <v>102300</v>
      </c>
      <c r="P590" s="932"/>
      <c r="Q590" s="937" t="str" cm="1">
        <f t="array" aca="1" ref="Q590" ca="1">IF($P590&lt;&gt;"","PAGO",IF($N590&lt;TODAY(),"ATRASADO",IF($N590&gt;TODAY(),"NO PRAZO",IF($N590=TODAY(),"NO PRAZO",SE))))</f>
        <v>ATRASADO</v>
      </c>
      <c r="R590" s="259">
        <f t="shared" ca="1" si="9"/>
        <v>-19</v>
      </c>
      <c r="S590" s="929"/>
      <c r="T590" s="929"/>
      <c r="U590" s="938">
        <f ca="1">SUBTOTAL(3,Tabela13[[#This Row],[STATUS]])</f>
        <v>1</v>
      </c>
    </row>
    <row r="591" spans="1:21" ht="24" customHeight="1">
      <c r="A591" s="926">
        <v>46014</v>
      </c>
      <c r="B591" s="927">
        <v>739</v>
      </c>
      <c r="C591" s="928" t="str">
        <f>IFERROR(VLOOKUP(Tabela13[[#This Row],[CÓD. EMPRESA]],Tabela3[[CÓDIGO
 EMPRESA ]:[EMPRESA]],2,FALSE),"")</f>
        <v>PAUPEDRA PEDREIRAS PAVIMENTAÇÕES E CONSTRUÇÕES LTDA</v>
      </c>
      <c r="D591" s="112" t="s">
        <v>754</v>
      </c>
      <c r="E591" s="112" t="s">
        <v>755</v>
      </c>
      <c r="F591" s="930">
        <v>12288</v>
      </c>
      <c r="G591" s="931">
        <v>1136303</v>
      </c>
      <c r="H591" s="165" t="s">
        <v>44</v>
      </c>
      <c r="I591" s="932"/>
      <c r="J591" s="926"/>
      <c r="K591" s="933">
        <v>23730</v>
      </c>
      <c r="L591" s="934">
        <f>Tabela13[[#This Row],[VALOR
 BRUTO ]]-Tabela13[[#This Row],[VALOR 
LIQUIDO ]]</f>
        <v>0</v>
      </c>
      <c r="M591" s="935">
        <f>Tabela13[[#This Row],[VALORES PAGOS 
(FORMA PAGTO)]]</f>
        <v>23730</v>
      </c>
      <c r="N591" s="926">
        <v>46044</v>
      </c>
      <c r="O591" s="936">
        <v>23730</v>
      </c>
      <c r="P591" s="932"/>
      <c r="Q591" s="937" t="str" cm="1">
        <f t="array" aca="1" ref="Q591" ca="1">IF($P591&lt;&gt;"","PAGO",IF($N591&lt;TODAY(),"ATRASADO",IF($N591&gt;TODAY(),"NO PRAZO",IF($N591=TODAY(),"NO PRAZO",SE))))</f>
        <v>ATRASADO</v>
      </c>
      <c r="R591" s="259">
        <f t="shared" ca="1" si="9"/>
        <v>-19</v>
      </c>
      <c r="S591" s="929"/>
      <c r="T591" s="929"/>
      <c r="U591" s="938">
        <f ca="1">SUBTOTAL(3,Tabela13[[#This Row],[STATUS]])</f>
        <v>1</v>
      </c>
    </row>
    <row r="592" spans="1:21" ht="24" customHeight="1">
      <c r="A592" s="926">
        <v>46014</v>
      </c>
      <c r="B592" s="927">
        <v>68004</v>
      </c>
      <c r="C592" s="928" t="str">
        <f>IFERROR(VLOOKUP(Tabela13[[#This Row],[CÓD. EMPRESA]],Tabela3[[CÓDIGO
 EMPRESA ]:[EMPRESA]],2,FALSE),"")</f>
        <v>VB AMBIENTAL CONSULTORIA E PROJETOS LTDA-ME</v>
      </c>
      <c r="D592" s="112" t="s">
        <v>349</v>
      </c>
      <c r="E592" s="112" t="s">
        <v>489</v>
      </c>
      <c r="F592" s="930">
        <v>26316</v>
      </c>
      <c r="G592" s="931">
        <v>2200</v>
      </c>
      <c r="H592" s="165" t="s">
        <v>44</v>
      </c>
      <c r="I592" s="932">
        <v>45809</v>
      </c>
      <c r="J592" s="926">
        <v>45991</v>
      </c>
      <c r="K592" s="933">
        <v>11886.54</v>
      </c>
      <c r="L592" s="934">
        <f>Tabela13[[#This Row],[VALOR
 BRUTO ]]-Tabela13[[#This Row],[VALOR 
LIQUIDO ]]</f>
        <v>570.54999999999995</v>
      </c>
      <c r="M592" s="935">
        <f>Tabela13[[#This Row],[VALORES PAGOS 
(FORMA PAGTO)]]</f>
        <v>11315.99</v>
      </c>
      <c r="N592" s="926">
        <v>46040</v>
      </c>
      <c r="O592" s="936">
        <v>11315.99</v>
      </c>
      <c r="P592" s="932"/>
      <c r="Q592" s="937" t="str" cm="1">
        <f t="array" aca="1" ref="Q592" ca="1">IF($P592&lt;&gt;"","PAGO",IF($N592&lt;TODAY(),"ATRASADO",IF($N592&gt;TODAY(),"NO PRAZO",IF($N592=TODAY(),"NO PRAZO",SE))))</f>
        <v>ATRASADO</v>
      </c>
      <c r="R592" s="259">
        <f t="shared" ca="1" si="9"/>
        <v>-23</v>
      </c>
      <c r="S592" s="932">
        <v>46063</v>
      </c>
      <c r="T592" s="929"/>
      <c r="U592" s="938">
        <f ca="1">SUBTOTAL(3,Tabela13[[#This Row],[STATUS]])</f>
        <v>1</v>
      </c>
    </row>
    <row r="593" spans="1:21" ht="24" customHeight="1">
      <c r="A593" s="926">
        <v>46014</v>
      </c>
      <c r="B593" s="927">
        <v>68004</v>
      </c>
      <c r="C593" s="928" t="str">
        <f>IFERROR(VLOOKUP(Tabela13[[#This Row],[CÓD. EMPRESA]],Tabela3[[CÓDIGO
 EMPRESA ]:[EMPRESA]],2,FALSE),"")</f>
        <v>VB AMBIENTAL CONSULTORIA E PROJETOS LTDA-ME</v>
      </c>
      <c r="D593" s="112" t="s">
        <v>349</v>
      </c>
      <c r="E593" s="112" t="s">
        <v>489</v>
      </c>
      <c r="F593" s="930">
        <v>26316</v>
      </c>
      <c r="G593" s="931">
        <v>2199</v>
      </c>
      <c r="H593" s="165" t="s">
        <v>44</v>
      </c>
      <c r="I593" s="932">
        <v>45962</v>
      </c>
      <c r="J593" s="926">
        <v>45991</v>
      </c>
      <c r="K593" s="933">
        <v>3890.74</v>
      </c>
      <c r="L593" s="934">
        <f>Tabela13[[#This Row],[VALOR
 BRUTO ]]-Tabela13[[#This Row],[VALOR 
LIQUIDO ]]</f>
        <v>285.27999999999997</v>
      </c>
      <c r="M593" s="935">
        <f>Tabela13[[#This Row],[VALORES PAGOS 
(FORMA PAGTO)]]</f>
        <v>3605.46</v>
      </c>
      <c r="N593" s="926">
        <v>46040</v>
      </c>
      <c r="O593" s="936">
        <v>3605.46</v>
      </c>
      <c r="P593" s="932"/>
      <c r="Q593" s="937" t="str" cm="1">
        <f t="array" aca="1" ref="Q593" ca="1">IF($P593&lt;&gt;"","PAGO",IF($N593&lt;TODAY(),"ATRASADO",IF($N593&gt;TODAY(),"NO PRAZO",IF($N593=TODAY(),"NO PRAZO",SE))))</f>
        <v>ATRASADO</v>
      </c>
      <c r="R593" s="259">
        <f t="shared" ca="1" si="9"/>
        <v>-23</v>
      </c>
      <c r="S593" s="932">
        <v>46063</v>
      </c>
      <c r="T593" s="929"/>
      <c r="U593" s="938">
        <f ca="1">SUBTOTAL(3,Tabela13[[#This Row],[STATUS]])</f>
        <v>1</v>
      </c>
    </row>
    <row r="594" spans="1:21" ht="24" customHeight="1">
      <c r="A594" s="926">
        <v>46014</v>
      </c>
      <c r="B594" s="927">
        <v>51481</v>
      </c>
      <c r="C594" s="928" t="str">
        <f>IFERROR(VLOOKUP(Tabela13[[#This Row],[CÓD. EMPRESA]],Tabela3[[CÓDIGO
 EMPRESA ]:[EMPRESA]],2,FALSE),"")</f>
        <v>LIGA INDUSTRIA E COMÉRCIO DE MATERIAL PARA CONSTRUÇÃO LTDA .</v>
      </c>
      <c r="D594" s="112" t="s">
        <v>730</v>
      </c>
      <c r="E594" s="112" t="s">
        <v>758</v>
      </c>
      <c r="F594" s="930">
        <v>24095</v>
      </c>
      <c r="G594" s="931">
        <v>127</v>
      </c>
      <c r="H594" s="165" t="s">
        <v>44</v>
      </c>
      <c r="I594" s="932"/>
      <c r="J594" s="926"/>
      <c r="K594" s="933">
        <v>35580</v>
      </c>
      <c r="L594" s="934">
        <f>Tabela13[[#This Row],[VALOR
 BRUTO ]]-Tabela13[[#This Row],[VALOR 
LIQUIDO ]]</f>
        <v>3985</v>
      </c>
      <c r="M594" s="935">
        <f>Tabela13[[#This Row],[VALORES PAGOS 
(FORMA PAGTO)]]</f>
        <v>31595</v>
      </c>
      <c r="N594" s="926">
        <v>46059</v>
      </c>
      <c r="O594" s="936">
        <v>31595</v>
      </c>
      <c r="P594" s="932"/>
      <c r="Q594" s="937" t="str" cm="1">
        <f t="array" aca="1" ref="Q594" ca="1">IF($P594&lt;&gt;"","PAGO",IF($N594&lt;TODAY(),"ATRASADO",IF($N594&gt;TODAY(),"NO PRAZO",IF($N594=TODAY(),"NO PRAZO",SE))))</f>
        <v>ATRASADO</v>
      </c>
      <c r="R594" s="259">
        <f t="shared" ca="1" si="9"/>
        <v>-4</v>
      </c>
      <c r="S594" s="929"/>
      <c r="T594" s="929"/>
      <c r="U594" s="938">
        <f ca="1">SUBTOTAL(3,Tabela13[[#This Row],[STATUS]])</f>
        <v>1</v>
      </c>
    </row>
    <row r="595" spans="1:21" ht="24" customHeight="1">
      <c r="A595" s="926">
        <v>46014</v>
      </c>
      <c r="B595" s="927">
        <v>51481</v>
      </c>
      <c r="C595" s="928" t="str">
        <f>IFERROR(VLOOKUP(Tabela13[[#This Row],[CÓD. EMPRESA]],Tabela3[[CÓDIGO
 EMPRESA ]:[EMPRESA]],2,FALSE),"")</f>
        <v>LIGA INDUSTRIA E COMÉRCIO DE MATERIAL PARA CONSTRUÇÃO LTDA .</v>
      </c>
      <c r="D595" s="112" t="s">
        <v>730</v>
      </c>
      <c r="E595" s="112" t="s">
        <v>637</v>
      </c>
      <c r="F595" s="930">
        <v>24095</v>
      </c>
      <c r="G595" s="931">
        <v>128</v>
      </c>
      <c r="H595" s="165" t="s">
        <v>44</v>
      </c>
      <c r="I595" s="932"/>
      <c r="J595" s="926"/>
      <c r="K595" s="933">
        <v>51570</v>
      </c>
      <c r="L595" s="934">
        <f>Tabela13[[#This Row],[VALOR
 BRUTO ]]-Tabela13[[#This Row],[VALOR 
LIQUIDO ]]</f>
        <v>1650.24</v>
      </c>
      <c r="M595" s="935">
        <f>Tabela13[[#This Row],[VALORES PAGOS 
(FORMA PAGTO)]]</f>
        <v>49919.76</v>
      </c>
      <c r="N595" s="926">
        <v>46044</v>
      </c>
      <c r="O595" s="936">
        <v>49919.76</v>
      </c>
      <c r="P595" s="932"/>
      <c r="Q595" s="937" t="str" cm="1">
        <f t="array" aca="1" ref="Q595" ca="1">IF($P595&lt;&gt;"","PAGO",IF($N595&lt;TODAY(),"ATRASADO",IF($N595&gt;TODAY(),"NO PRAZO",IF($N595=TODAY(),"NO PRAZO",SE))))</f>
        <v>ATRASADO</v>
      </c>
      <c r="R595" s="259">
        <f t="shared" ca="1" si="9"/>
        <v>-19</v>
      </c>
      <c r="S595" s="932">
        <v>46063</v>
      </c>
      <c r="T595" s="929"/>
      <c r="U595" s="938">
        <f ca="1">SUBTOTAL(3,Tabela13[[#This Row],[STATUS]])</f>
        <v>1</v>
      </c>
    </row>
    <row r="596" spans="1:21" ht="24" customHeight="1">
      <c r="A596" s="926">
        <v>46014</v>
      </c>
      <c r="B596" s="927">
        <v>51481</v>
      </c>
      <c r="C596" s="928" t="str">
        <f>IFERROR(VLOOKUP(Tabela13[[#This Row],[CÓD. EMPRESA]],Tabela3[[CÓDIGO
 EMPRESA ]:[EMPRESA]],2,FALSE),"")</f>
        <v>LIGA INDUSTRIA E COMÉRCIO DE MATERIAL PARA CONSTRUÇÃO LTDA .</v>
      </c>
      <c r="D596" s="112" t="s">
        <v>730</v>
      </c>
      <c r="E596" s="112" t="s">
        <v>637</v>
      </c>
      <c r="F596" s="930">
        <v>24095</v>
      </c>
      <c r="G596" s="931">
        <v>129</v>
      </c>
      <c r="H596" s="165" t="s">
        <v>44</v>
      </c>
      <c r="I596" s="932"/>
      <c r="J596" s="926"/>
      <c r="K596" s="933">
        <v>60480</v>
      </c>
      <c r="L596" s="934">
        <f>Tabela13[[#This Row],[VALOR
 BRUTO ]]-Tabela13[[#This Row],[VALOR 
LIQUIDO ]]</f>
        <v>1935.36</v>
      </c>
      <c r="M596" s="935">
        <f>Tabela13[[#This Row],[VALORES PAGOS 
(FORMA PAGTO)]]</f>
        <v>58544.639999999999</v>
      </c>
      <c r="N596" s="926">
        <v>46044</v>
      </c>
      <c r="O596" s="936">
        <v>58544.639999999999</v>
      </c>
      <c r="P596" s="932"/>
      <c r="Q596" s="937" t="str" cm="1">
        <f t="array" aca="1" ref="Q596" ca="1">IF($P596&lt;&gt;"","PAGO",IF($N596&lt;TODAY(),"ATRASADO",IF($N596&gt;TODAY(),"NO PRAZO",IF($N596=TODAY(),"NO PRAZO",SE))))</f>
        <v>ATRASADO</v>
      </c>
      <c r="R596" s="259">
        <f t="shared" ca="1" si="9"/>
        <v>-19</v>
      </c>
      <c r="S596" s="932">
        <v>46063</v>
      </c>
      <c r="T596" s="929"/>
      <c r="U596" s="938">
        <f ca="1">SUBTOTAL(3,Tabela13[[#This Row],[STATUS]])</f>
        <v>1</v>
      </c>
    </row>
    <row r="597" spans="1:21" ht="24" customHeight="1">
      <c r="A597" s="926">
        <v>46014</v>
      </c>
      <c r="B597" s="927">
        <v>51481</v>
      </c>
      <c r="C597" s="928" t="str">
        <f>IFERROR(VLOOKUP(Tabela13[[#This Row],[CÓD. EMPRESA]],Tabela3[[CÓDIGO
 EMPRESA ]:[EMPRESA]],2,FALSE),"")</f>
        <v>LIGA INDUSTRIA E COMÉRCIO DE MATERIAL PARA CONSTRUÇÃO LTDA .</v>
      </c>
      <c r="D597" s="112" t="s">
        <v>730</v>
      </c>
      <c r="E597" s="112" t="s">
        <v>731</v>
      </c>
      <c r="F597" s="930">
        <v>21558</v>
      </c>
      <c r="G597" s="931">
        <v>19696</v>
      </c>
      <c r="H597" s="165" t="s">
        <v>44</v>
      </c>
      <c r="I597" s="932"/>
      <c r="J597" s="926"/>
      <c r="K597" s="933">
        <v>5040</v>
      </c>
      <c r="L597" s="934">
        <f>Tabela13[[#This Row],[VALOR
 BRUTO ]]-Tabela13[[#This Row],[VALOR 
LIQUIDO ]]</f>
        <v>0</v>
      </c>
      <c r="M597" s="935">
        <f>Tabela13[[#This Row],[VALORES PAGOS 
(FORMA PAGTO)]]</f>
        <v>5040</v>
      </c>
      <c r="N597" s="926">
        <v>46044</v>
      </c>
      <c r="O597" s="936">
        <v>5040</v>
      </c>
      <c r="P597" s="932"/>
      <c r="Q597" s="937" t="str" cm="1">
        <f t="array" aca="1" ref="Q597" ca="1">IF($P597&lt;&gt;"","PAGO",IF($N597&lt;TODAY(),"ATRASADO",IF($N597&gt;TODAY(),"NO PRAZO",IF($N597=TODAY(),"NO PRAZO",SE))))</f>
        <v>ATRASADO</v>
      </c>
      <c r="R597" s="259">
        <f t="shared" ca="1" si="9"/>
        <v>-19</v>
      </c>
      <c r="S597" s="929"/>
      <c r="T597" s="929"/>
      <c r="U597" s="938">
        <f ca="1">SUBTOTAL(3,Tabela13[[#This Row],[STATUS]])</f>
        <v>1</v>
      </c>
    </row>
    <row r="598" spans="1:21" ht="24" customHeight="1">
      <c r="A598" s="926">
        <v>46014</v>
      </c>
      <c r="B598" s="927">
        <v>51481</v>
      </c>
      <c r="C598" s="928" t="str">
        <f>IFERROR(VLOOKUP(Tabela13[[#This Row],[CÓD. EMPRESA]],Tabela3[[CÓDIGO
 EMPRESA ]:[EMPRESA]],2,FALSE),"")</f>
        <v>LIGA INDUSTRIA E COMÉRCIO DE MATERIAL PARA CONSTRUÇÃO LTDA .</v>
      </c>
      <c r="D598" s="112" t="s">
        <v>730</v>
      </c>
      <c r="E598" s="112" t="s">
        <v>757</v>
      </c>
      <c r="F598" s="930">
        <v>24088</v>
      </c>
      <c r="G598" s="931">
        <v>19696</v>
      </c>
      <c r="H598" s="165" t="s">
        <v>44</v>
      </c>
      <c r="I598" s="932"/>
      <c r="J598" s="926"/>
      <c r="K598" s="933">
        <v>8325</v>
      </c>
      <c r="L598" s="934">
        <f>Tabela13[[#This Row],[VALOR
 BRUTO ]]-Tabela13[[#This Row],[VALOR 
LIQUIDO ]]</f>
        <v>0</v>
      </c>
      <c r="M598" s="935">
        <f>Tabela13[[#This Row],[VALORES PAGOS 
(FORMA PAGTO)]]</f>
        <v>8325</v>
      </c>
      <c r="N598" s="926">
        <v>46044</v>
      </c>
      <c r="O598" s="936">
        <v>8325</v>
      </c>
      <c r="P598" s="932"/>
      <c r="Q598" s="937" t="str" cm="1">
        <f t="array" aca="1" ref="Q598" ca="1">IF($P598&lt;&gt;"","PAGO",IF($N598&lt;TODAY(),"ATRASADO",IF($N598&gt;TODAY(),"NO PRAZO",IF($N598=TODAY(),"NO PRAZO",SE))))</f>
        <v>ATRASADO</v>
      </c>
      <c r="R598" s="259">
        <f t="shared" ca="1" si="9"/>
        <v>-19</v>
      </c>
      <c r="S598" s="929"/>
      <c r="T598" s="929"/>
      <c r="U598" s="938">
        <f ca="1">SUBTOTAL(3,Tabela13[[#This Row],[STATUS]])</f>
        <v>1</v>
      </c>
    </row>
    <row r="599" spans="1:21" ht="24" customHeight="1">
      <c r="A599" s="926">
        <v>46014</v>
      </c>
      <c r="B599" s="927">
        <v>32404</v>
      </c>
      <c r="C599" s="928" t="str">
        <f>IFERROR(VLOOKUP(Tabela13[[#This Row],[CÓD. EMPRESA]],Tabela3[[CÓDIGO
 EMPRESA ]:[EMPRESA]],2,FALSE),"")</f>
        <v>CBTS COMERCIAL BRASILEIRA DE TUBOS E SANEAMENTO LTDA</v>
      </c>
      <c r="D599" s="112" t="s">
        <v>759</v>
      </c>
      <c r="E599" s="112" t="s">
        <v>760</v>
      </c>
      <c r="F599" s="930">
        <v>24079</v>
      </c>
      <c r="G599" s="931">
        <v>13828</v>
      </c>
      <c r="H599" s="165" t="s">
        <v>44</v>
      </c>
      <c r="I599" s="932"/>
      <c r="J599" s="926"/>
      <c r="K599" s="933">
        <v>12750</v>
      </c>
      <c r="L599" s="934">
        <f>Tabela13[[#This Row],[VALOR
 BRUTO ]]-Tabela13[[#This Row],[VALOR 
LIQUIDO ]]</f>
        <v>0</v>
      </c>
      <c r="M599" s="935">
        <f>Tabela13[[#This Row],[VALORES PAGOS 
(FORMA PAGTO)]]</f>
        <v>12750</v>
      </c>
      <c r="N599" s="926">
        <v>46044</v>
      </c>
      <c r="O599" s="936">
        <v>12750</v>
      </c>
      <c r="P599" s="932"/>
      <c r="Q599" s="937" t="str" cm="1">
        <f t="array" aca="1" ref="Q599" ca="1">IF($P599&lt;&gt;"","PAGO",IF($N599&lt;TODAY(),"ATRASADO",IF($N599&gt;TODAY(),"NO PRAZO",IF($N599=TODAY(),"NO PRAZO",SE))))</f>
        <v>ATRASADO</v>
      </c>
      <c r="R599" s="259">
        <f t="shared" ca="1" si="9"/>
        <v>-19</v>
      </c>
      <c r="S599" s="932">
        <v>46063</v>
      </c>
      <c r="T599" s="929"/>
      <c r="U599" s="938">
        <f ca="1">SUBTOTAL(3,Tabela13[[#This Row],[STATUS]])</f>
        <v>1</v>
      </c>
    </row>
    <row r="600" spans="1:21" ht="24" customHeight="1">
      <c r="A600" s="926">
        <v>46014</v>
      </c>
      <c r="B600" s="927">
        <v>51481</v>
      </c>
      <c r="C600" s="928" t="str">
        <f>IFERROR(VLOOKUP(Tabela13[[#This Row],[CÓD. EMPRESA]],Tabela3[[CÓDIGO
 EMPRESA ]:[EMPRESA]],2,FALSE),"")</f>
        <v>LIGA INDUSTRIA E COMÉRCIO DE MATERIAL PARA CONSTRUÇÃO LTDA .</v>
      </c>
      <c r="D600" s="112" t="s">
        <v>730</v>
      </c>
      <c r="E600" s="112" t="s">
        <v>637</v>
      </c>
      <c r="F600" s="930">
        <v>24095</v>
      </c>
      <c r="G600" s="931">
        <v>19728</v>
      </c>
      <c r="H600" s="165" t="s">
        <v>44</v>
      </c>
      <c r="I600" s="932"/>
      <c r="J600" s="926"/>
      <c r="K600" s="933">
        <v>13365</v>
      </c>
      <c r="L600" s="934">
        <f>Tabela13[[#This Row],[VALOR
 BRUTO ]]-Tabela13[[#This Row],[VALOR 
LIQUIDO ]]</f>
        <v>0</v>
      </c>
      <c r="M600" s="935">
        <f>Tabela13[[#This Row],[VALORES PAGOS 
(FORMA PAGTO)]]</f>
        <v>13365</v>
      </c>
      <c r="N600" s="926">
        <v>46044</v>
      </c>
      <c r="O600" s="936">
        <v>13365</v>
      </c>
      <c r="P600" s="932"/>
      <c r="Q600" s="937" t="str" cm="1">
        <f t="array" aca="1" ref="Q600" ca="1">IF($P600&lt;&gt;"","PAGO",IF($N600&lt;TODAY(),"ATRASADO",IF($N600&gt;TODAY(),"NO PRAZO",IF($N600=TODAY(),"NO PRAZO",SE))))</f>
        <v>ATRASADO</v>
      </c>
      <c r="R600" s="259">
        <f t="shared" ca="1" si="9"/>
        <v>-19</v>
      </c>
      <c r="S600" s="929"/>
      <c r="T600" s="929"/>
      <c r="U600" s="938">
        <f ca="1">SUBTOTAL(3,Tabela13[[#This Row],[STATUS]])</f>
        <v>1</v>
      </c>
    </row>
    <row r="601" spans="1:21" ht="24" customHeight="1">
      <c r="A601" s="926">
        <v>46020</v>
      </c>
      <c r="B601" s="927">
        <v>103747</v>
      </c>
      <c r="C601" s="928" t="str">
        <f>IFERROR(VLOOKUP(Tabela13[[#This Row],[CÓD. EMPRESA]],Tabela3[[CÓDIGO
 EMPRESA ]:[EMPRESA]],2,FALSE),"")</f>
        <v>CDR PEDREIRA CENTRO DE DISPOSIÇÃO DE RESÍDUOS LTDA</v>
      </c>
      <c r="D601" s="112" t="s">
        <v>334</v>
      </c>
      <c r="E601" s="112" t="s">
        <v>431</v>
      </c>
      <c r="F601" s="930">
        <v>28596</v>
      </c>
      <c r="G601" s="931">
        <v>4149</v>
      </c>
      <c r="H601" s="165" t="s">
        <v>44</v>
      </c>
      <c r="I601" s="932">
        <v>45962</v>
      </c>
      <c r="J601" s="926">
        <v>45991</v>
      </c>
      <c r="K601" s="933">
        <v>3597688.6</v>
      </c>
      <c r="L601" s="934">
        <f>Tabela13[[#This Row],[VALOR
 BRUTO ]]-Tabela13[[#This Row],[VALOR 
LIQUIDO ]]</f>
        <v>352573.48</v>
      </c>
      <c r="M601" s="935">
        <f>Tabela13[[#This Row],[VALORES PAGOS 
(FORMA PAGTO)]]</f>
        <v>3245115.12</v>
      </c>
      <c r="N601" s="926">
        <v>46050</v>
      </c>
      <c r="O601" s="936">
        <v>3245115.12</v>
      </c>
      <c r="P601" s="932">
        <v>46052</v>
      </c>
      <c r="Q601" s="937" t="str" cm="1">
        <f t="array" aca="1" ref="Q601" ca="1">IF($P601&lt;&gt;"","PAGO",IF($N601&lt;TODAY(),"ATRASADO",IF($N601&gt;TODAY(),"NO PRAZO",IF($N601=TODAY(),"NO PRAZO",SE))))</f>
        <v>PAGO</v>
      </c>
      <c r="R601" s="259" t="str">
        <f t="shared" ca="1" si="9"/>
        <v/>
      </c>
      <c r="S601" s="932"/>
      <c r="T601" s="929"/>
      <c r="U601" s="938">
        <f ca="1">SUBTOTAL(3,Tabela13[[#This Row],[STATUS]])</f>
        <v>1</v>
      </c>
    </row>
    <row r="602" spans="1:21" ht="24" customHeight="1">
      <c r="A602" s="926">
        <v>46021</v>
      </c>
      <c r="B602" s="927">
        <v>48442</v>
      </c>
      <c r="C602" s="928" t="str">
        <f>IFERROR(VLOOKUP(Tabela13[[#This Row],[CÓD. EMPRESA]],Tabela3[[CÓDIGO
 EMPRESA ]:[EMPRESA]],2,FALSE),"")</f>
        <v>SANTA INÊS EQUIPAMENTOS CONTRA INCENDIO LTDA</v>
      </c>
      <c r="D602" s="112" t="s">
        <v>763</v>
      </c>
      <c r="E602" s="112" t="s">
        <v>762</v>
      </c>
      <c r="F602" s="930">
        <v>18502</v>
      </c>
      <c r="G602" s="931">
        <v>13271</v>
      </c>
      <c r="H602" s="165" t="s">
        <v>44</v>
      </c>
      <c r="I602" s="932"/>
      <c r="J602" s="926"/>
      <c r="K602" s="933">
        <v>14921.75</v>
      </c>
      <c r="L602" s="934">
        <f>Tabela13[[#This Row],[VALOR
 BRUTO ]]-Tabela13[[#This Row],[VALOR 
LIQUIDO ]]</f>
        <v>746.09</v>
      </c>
      <c r="M602" s="935">
        <f>Tabela13[[#This Row],[VALORES PAGOS 
(FORMA PAGTO)]]</f>
        <v>14175.66</v>
      </c>
      <c r="N602" s="926">
        <v>46047</v>
      </c>
      <c r="O602" s="936">
        <v>14175.66</v>
      </c>
      <c r="P602" s="932"/>
      <c r="Q602" s="937" t="str" cm="1">
        <f t="array" aca="1" ref="Q602" ca="1">IF($P602&lt;&gt;"","PAGO",IF($N602&lt;TODAY(),"ATRASADO",IF($N602&gt;TODAY(),"NO PRAZO",IF($N602=TODAY(),"NO PRAZO",SE))))</f>
        <v>ATRASADO</v>
      </c>
      <c r="R602" s="259">
        <f t="shared" ca="1" si="9"/>
        <v>-16</v>
      </c>
      <c r="S602" s="932">
        <v>46063</v>
      </c>
      <c r="T602" s="929"/>
      <c r="U602" s="938">
        <f ca="1">SUBTOTAL(3,Tabela13[[#This Row],[STATUS]])</f>
        <v>1</v>
      </c>
    </row>
    <row r="603" spans="1:21" ht="24" customHeight="1">
      <c r="A603" s="926">
        <v>46021</v>
      </c>
      <c r="B603" s="927">
        <v>48442</v>
      </c>
      <c r="C603" s="928" t="str">
        <f>IFERROR(VLOOKUP(Tabela13[[#This Row],[CÓD. EMPRESA]],Tabela3[[CÓDIGO
 EMPRESA ]:[EMPRESA]],2,FALSE),"")</f>
        <v>SANTA INÊS EQUIPAMENTOS CONTRA INCENDIO LTDA</v>
      </c>
      <c r="D603" s="112" t="s">
        <v>763</v>
      </c>
      <c r="E603" s="112" t="s">
        <v>762</v>
      </c>
      <c r="F603" s="930">
        <v>18500</v>
      </c>
      <c r="G603" s="931">
        <v>22303</v>
      </c>
      <c r="H603" s="165" t="s">
        <v>44</v>
      </c>
      <c r="I603" s="932"/>
      <c r="J603" s="926"/>
      <c r="K603" s="933">
        <v>5720.76</v>
      </c>
      <c r="L603" s="934">
        <f>Tabela13[[#This Row],[VALOR
 BRUTO ]]-Tabela13[[#This Row],[VALOR 
LIQUIDO ]]</f>
        <v>0</v>
      </c>
      <c r="M603" s="935">
        <f>Tabela13[[#This Row],[VALORES PAGOS 
(FORMA PAGTO)]]</f>
        <v>5720.76</v>
      </c>
      <c r="N603" s="926">
        <v>46047</v>
      </c>
      <c r="O603" s="936">
        <v>5720.76</v>
      </c>
      <c r="P603" s="932"/>
      <c r="Q603" s="937" t="str" cm="1">
        <f t="array" aca="1" ref="Q603" ca="1">IF($P603&lt;&gt;"","PAGO",IF($N603&lt;TODAY(),"ATRASADO",IF($N603&gt;TODAY(),"NO PRAZO",IF($N603=TODAY(),"NO PRAZO",SE))))</f>
        <v>ATRASADO</v>
      </c>
      <c r="R603" s="259">
        <f t="shared" ca="1" si="9"/>
        <v>-16</v>
      </c>
      <c r="S603" s="932">
        <v>46063</v>
      </c>
      <c r="T603" s="929"/>
      <c r="U603" s="938">
        <f ca="1">SUBTOTAL(3,Tabela13[[#This Row],[STATUS]])</f>
        <v>1</v>
      </c>
    </row>
    <row r="604" spans="1:21" ht="24" customHeight="1">
      <c r="A604" s="926">
        <v>46021</v>
      </c>
      <c r="B604" s="927">
        <v>120671</v>
      </c>
      <c r="C604" s="928" t="str">
        <f>IFERROR(VLOOKUP(Tabela13[[#This Row],[CÓD. EMPRESA]],Tabela3[[CÓDIGO
 EMPRESA ]:[EMPRESA]],2,FALSE),"")</f>
        <v>LICITARE PRODUTOS NATERIAIS E SERVIÇOS LTDA</v>
      </c>
      <c r="D604" s="112" t="s">
        <v>764</v>
      </c>
      <c r="E604" s="112" t="s">
        <v>765</v>
      </c>
      <c r="F604" s="930">
        <v>24383</v>
      </c>
      <c r="G604" s="931">
        <v>19639</v>
      </c>
      <c r="H604" s="165" t="s">
        <v>44</v>
      </c>
      <c r="I604" s="932"/>
      <c r="J604" s="926"/>
      <c r="K604" s="933">
        <v>5203.2</v>
      </c>
      <c r="L604" s="934">
        <f>Tabela13[[#This Row],[VALOR
 BRUTO ]]-Tabela13[[#This Row],[VALOR 
LIQUIDO ]]</f>
        <v>0</v>
      </c>
      <c r="M604" s="935">
        <f>Tabela13[[#This Row],[VALORES PAGOS 
(FORMA PAGTO)]]</f>
        <v>5203.2</v>
      </c>
      <c r="N604" s="926">
        <v>46051</v>
      </c>
      <c r="O604" s="385">
        <v>5203.2</v>
      </c>
      <c r="P604" s="932"/>
      <c r="Q604" s="937" t="str" cm="1">
        <f t="array" aca="1" ref="Q604" ca="1">IF($P604&lt;&gt;"","PAGO",IF($N604&lt;TODAY(),"ATRASADO",IF($N604&gt;TODAY(),"NO PRAZO",IF($N604=TODAY(),"NO PRAZO",SE))))</f>
        <v>ATRASADO</v>
      </c>
      <c r="R604" s="259">
        <f t="shared" ca="1" si="9"/>
        <v>-12</v>
      </c>
      <c r="S604" s="932">
        <v>46063</v>
      </c>
      <c r="T604" s="929"/>
      <c r="U604" s="938">
        <f ca="1">SUBTOTAL(3,Tabela13[[#This Row],[STATUS]])</f>
        <v>1</v>
      </c>
    </row>
    <row r="605" spans="1:21" ht="24" customHeight="1">
      <c r="A605" s="926">
        <v>46021</v>
      </c>
      <c r="B605" s="927">
        <v>123524</v>
      </c>
      <c r="C605" s="928" t="str">
        <f>IFERROR(VLOOKUP(Tabela13[[#This Row],[CÓD. EMPRESA]],Tabela3[[CÓDIGO
 EMPRESA ]:[EMPRESA]],2,FALSE),"")</f>
        <v>HARMONY FOOD SOLUTIONS LTDA</v>
      </c>
      <c r="D605" s="112" t="s">
        <v>766</v>
      </c>
      <c r="E605" s="112" t="s">
        <v>743</v>
      </c>
      <c r="F605" s="930">
        <v>24258</v>
      </c>
      <c r="G605" s="931">
        <v>1338</v>
      </c>
      <c r="H605" s="165" t="s">
        <v>44</v>
      </c>
      <c r="I605" s="932"/>
      <c r="J605" s="926"/>
      <c r="K605" s="933">
        <v>3369.6</v>
      </c>
      <c r="L605" s="934">
        <f>Tabela13[[#This Row],[VALOR
 BRUTO ]]-Tabela13[[#This Row],[VALOR 
LIQUIDO ]]</f>
        <v>0</v>
      </c>
      <c r="M605" s="935">
        <f>Tabela13[[#This Row],[VALORES PAGOS 
(FORMA PAGTO)]]</f>
        <v>3369.6</v>
      </c>
      <c r="N605" s="926">
        <v>46051</v>
      </c>
      <c r="O605" s="936">
        <v>3369.6</v>
      </c>
      <c r="P605" s="932"/>
      <c r="Q605" s="937" t="str" cm="1">
        <f t="array" aca="1" ref="Q605" ca="1">IF($P605&lt;&gt;"","PAGO",IF($N605&lt;TODAY(),"ATRASADO",IF($N605&gt;TODAY(),"NO PRAZO",IF($N605=TODAY(),"NO PRAZO",SE))))</f>
        <v>ATRASADO</v>
      </c>
      <c r="R605" s="259">
        <f t="shared" ca="1" si="9"/>
        <v>-12</v>
      </c>
      <c r="S605" s="932">
        <v>46063</v>
      </c>
      <c r="T605" s="929"/>
      <c r="U605" s="938">
        <f ca="1">SUBTOTAL(3,Tabela13[[#This Row],[STATUS]])</f>
        <v>1</v>
      </c>
    </row>
    <row r="606" spans="1:21" ht="24" customHeight="1">
      <c r="A606" s="926">
        <v>46021</v>
      </c>
      <c r="B606" s="927">
        <v>125999</v>
      </c>
      <c r="C606" s="928" t="str">
        <f>IFERROR(VLOOKUP(Tabela13[[#This Row],[CÓD. EMPRESA]],Tabela3[[CÓDIGO
 EMPRESA ]:[EMPRESA]],2,FALSE),"")</f>
        <v>WILLIAM FEIJO DIAS</v>
      </c>
      <c r="D606" s="112" t="s">
        <v>767</v>
      </c>
      <c r="E606" s="112" t="s">
        <v>768</v>
      </c>
      <c r="F606" s="930">
        <v>23212</v>
      </c>
      <c r="G606" s="931">
        <v>38</v>
      </c>
      <c r="H606" s="165" t="s">
        <v>44</v>
      </c>
      <c r="I606" s="932"/>
      <c r="J606" s="926"/>
      <c r="K606" s="933">
        <v>1279.68</v>
      </c>
      <c r="L606" s="934">
        <f>Tabela13[[#This Row],[VALOR
 BRUTO ]]-Tabela13[[#This Row],[VALOR 
LIQUIDO ]]</f>
        <v>0</v>
      </c>
      <c r="M606" s="935">
        <f>Tabela13[[#This Row],[VALORES PAGOS 
(FORMA PAGTO)]]</f>
        <v>1279.68</v>
      </c>
      <c r="N606" s="926">
        <v>46051</v>
      </c>
      <c r="O606" s="936">
        <v>1279.68</v>
      </c>
      <c r="P606" s="932"/>
      <c r="Q606" s="937" t="str" cm="1">
        <f t="array" aca="1" ref="Q606" ca="1">IF($P606&lt;&gt;"","PAGO",IF($N606&lt;TODAY(),"ATRASADO",IF($N606&gt;TODAY(),"NO PRAZO",IF($N606=TODAY(),"NO PRAZO",SE))))</f>
        <v>ATRASADO</v>
      </c>
      <c r="R606" s="259">
        <f t="shared" ca="1" si="9"/>
        <v>-12</v>
      </c>
      <c r="S606" s="932">
        <v>46063</v>
      </c>
      <c r="T606" s="929"/>
      <c r="U606" s="938">
        <f ca="1">SUBTOTAL(3,Tabela13[[#This Row],[STATUS]])</f>
        <v>1</v>
      </c>
    </row>
    <row r="607" spans="1:21" ht="24" customHeight="1">
      <c r="A607" s="926">
        <v>46021</v>
      </c>
      <c r="B607" s="927">
        <v>120671</v>
      </c>
      <c r="C607" s="928" t="str">
        <f>IFERROR(VLOOKUP(Tabela13[[#This Row],[CÓD. EMPRESA]],Tabela3[[CÓDIGO
 EMPRESA ]:[EMPRESA]],2,FALSE),"")</f>
        <v>LICITARE PRODUTOS NATERIAIS E SERVIÇOS LTDA</v>
      </c>
      <c r="D607" s="112" t="s">
        <v>764</v>
      </c>
      <c r="E607" s="112" t="s">
        <v>769</v>
      </c>
      <c r="F607" s="930">
        <v>24383</v>
      </c>
      <c r="G607" s="931">
        <v>19671</v>
      </c>
      <c r="H607" s="165" t="s">
        <v>44</v>
      </c>
      <c r="I607" s="932"/>
      <c r="J607" s="926"/>
      <c r="K607" s="933">
        <v>669.1</v>
      </c>
      <c r="L607" s="934">
        <f>Tabela13[[#This Row],[VALOR
 BRUTO ]]-Tabela13[[#This Row],[VALOR 
LIQUIDO ]]</f>
        <v>0</v>
      </c>
      <c r="M607" s="935">
        <f>Tabela13[[#This Row],[VALORES PAGOS 
(FORMA PAGTO)]]</f>
        <v>669.1</v>
      </c>
      <c r="N607" s="926">
        <v>46051</v>
      </c>
      <c r="O607" s="936">
        <v>669.1</v>
      </c>
      <c r="P607" s="932"/>
      <c r="Q607" s="937" t="str" cm="1">
        <f t="array" aca="1" ref="Q607" ca="1">IF($P607&lt;&gt;"","PAGO",IF($N607&lt;TODAY(),"ATRASADO",IF($N607&gt;TODAY(),"NO PRAZO",IF($N607=TODAY(),"NO PRAZO",SE))))</f>
        <v>ATRASADO</v>
      </c>
      <c r="R607" s="259">
        <f t="shared" ca="1" si="9"/>
        <v>-12</v>
      </c>
      <c r="S607" s="932">
        <v>46063</v>
      </c>
      <c r="T607" s="929"/>
      <c r="U607" s="938">
        <f ca="1">SUBTOTAL(3,Tabela13[[#This Row],[STATUS]])</f>
        <v>1</v>
      </c>
    </row>
    <row r="608" spans="1:21" ht="24" customHeight="1">
      <c r="A608" s="113">
        <v>46021</v>
      </c>
      <c r="B608" s="114">
        <v>69169</v>
      </c>
      <c r="C608" s="688" t="str">
        <f>IFERROR(VLOOKUP(Tabela13[[#This Row],[CÓD. EMPRESA]],Tabela3[[CÓDIGO
 EMPRESA ]:[EMPRESA]],2,FALSE),"")</f>
        <v>CECM PÂES LTDA</v>
      </c>
      <c r="D608" s="112" t="s">
        <v>429</v>
      </c>
      <c r="E608" s="112" t="s">
        <v>450</v>
      </c>
      <c r="F608" s="196">
        <v>21704</v>
      </c>
      <c r="G608" s="109">
        <v>19977</v>
      </c>
      <c r="H608" s="165" t="s">
        <v>44</v>
      </c>
      <c r="I608" s="147"/>
      <c r="J608" s="113"/>
      <c r="K608" s="401">
        <v>7997.4</v>
      </c>
      <c r="L608" s="398">
        <f>Tabela13[[#This Row],[VALOR
 BRUTO ]]-Tabela13[[#This Row],[VALOR 
LIQUIDO ]]</f>
        <v>0</v>
      </c>
      <c r="M608" s="703">
        <f>Tabela13[[#This Row],[VALORES PAGOS 
(FORMA PAGTO)]]</f>
        <v>7997.4</v>
      </c>
      <c r="N608" s="113">
        <v>46044</v>
      </c>
      <c r="O608" s="385">
        <v>7997.4</v>
      </c>
      <c r="P608" s="147"/>
      <c r="Q608" s="197" t="str" cm="1">
        <f t="array" aca="1" ref="Q608" ca="1">IF($P608&lt;&gt;"","PAGO",IF($N608&lt;TODAY(),"ATRASADO",IF($N608&gt;TODAY(),"NO PRAZO",IF($N608=TODAY(),"NO PRAZO",SE))))</f>
        <v>ATRASADO</v>
      </c>
      <c r="R608" s="259">
        <f t="shared" ca="1" si="9"/>
        <v>-19</v>
      </c>
      <c r="S608" s="147">
        <v>46063</v>
      </c>
      <c r="T608" s="112"/>
      <c r="U608" s="259">
        <f ca="1">SUBTOTAL(3,Tabela13[[#This Row],[STATUS]])</f>
        <v>1</v>
      </c>
    </row>
    <row r="609" spans="1:21" ht="24" customHeight="1">
      <c r="A609" s="980">
        <v>46021</v>
      </c>
      <c r="B609" s="1000">
        <v>2808</v>
      </c>
      <c r="C609" s="1001" t="str">
        <f>IFERROR(VLOOKUP(Tabela13[[#This Row],[CÓD. EMPRESA]],Tabela3[[CÓDIGO
 EMPRESA ]:[EMPRESA]],2,FALSE),"")</f>
        <v>EMPRESA BRASILEIRA DE CORREIOS E TELEGRAFOS</v>
      </c>
      <c r="D609" s="112" t="s">
        <v>34</v>
      </c>
      <c r="E609" s="112" t="s">
        <v>443</v>
      </c>
      <c r="F609" s="1002">
        <v>17981</v>
      </c>
      <c r="G609" s="1003">
        <v>3800277</v>
      </c>
      <c r="H609" s="165" t="s">
        <v>44</v>
      </c>
      <c r="I609" s="982">
        <v>46000</v>
      </c>
      <c r="J609" s="980">
        <v>46014</v>
      </c>
      <c r="K609" s="983">
        <v>2830.34</v>
      </c>
      <c r="L609" s="984">
        <f>Tabela13[[#This Row],[VALOR
 BRUTO ]]-Tabela13[[#This Row],[VALOR 
LIQUIDO ]]</f>
        <v>0</v>
      </c>
      <c r="M609" s="985">
        <f>Tabela13[[#This Row],[VALORES PAGOS 
(FORMA PAGTO)]]</f>
        <v>2830.34</v>
      </c>
      <c r="N609" s="980">
        <v>46043</v>
      </c>
      <c r="O609" s="986">
        <v>2830.34</v>
      </c>
      <c r="P609" s="982">
        <v>46043</v>
      </c>
      <c r="Q609" s="987" t="str" cm="1">
        <f t="array" aca="1" ref="Q609" ca="1">IF($P609&lt;&gt;"","PAGO",IF($N609&lt;TODAY(),"ATRASADO",IF($N609&gt;TODAY(),"NO PRAZO",IF($N609=TODAY(),"NO PRAZO",SE))))</f>
        <v>PAGO</v>
      </c>
      <c r="R609" s="259" t="str">
        <f t="shared" ca="1" si="9"/>
        <v/>
      </c>
      <c r="S609" s="982"/>
      <c r="T609" s="981"/>
      <c r="U609" s="988">
        <f ca="1">SUBTOTAL(3,Tabela13[[#This Row],[STATUS]])</f>
        <v>1</v>
      </c>
    </row>
    <row r="610" spans="1:21" ht="24" customHeight="1">
      <c r="A610" s="113">
        <v>46023</v>
      </c>
      <c r="B610" s="1025">
        <v>32404</v>
      </c>
      <c r="C610" s="1026" t="str">
        <f>IFERROR(VLOOKUP(Tabela13[[#This Row],[CÓD. EMPRESA]],Tabela3[[CÓDIGO
 EMPRESA ]:[EMPRESA]],2,FALSE),"")</f>
        <v>CBTS COMERCIAL BRASILEIRA DE TUBOS E SANEAMENTO LTDA</v>
      </c>
      <c r="D610" s="1027" t="s">
        <v>759</v>
      </c>
      <c r="E610" s="1027" t="s">
        <v>760</v>
      </c>
      <c r="F610" s="1028">
        <v>24079</v>
      </c>
      <c r="G610" s="1029">
        <v>13821</v>
      </c>
      <c r="H610" s="165" t="s">
        <v>44</v>
      </c>
      <c r="I610" s="1030"/>
      <c r="J610" s="1024"/>
      <c r="K610" s="1031">
        <v>12750</v>
      </c>
      <c r="L610" s="1032">
        <f>Tabela13[[#This Row],[VALOR
 BRUTO ]]-Tabela13[[#This Row],[VALOR 
LIQUIDO ]]</f>
        <v>0</v>
      </c>
      <c r="M610" s="1033">
        <f>Tabela13[[#This Row],[VALORES PAGOS 
(FORMA PAGTO)]]</f>
        <v>12750</v>
      </c>
      <c r="N610" s="1024">
        <v>46037</v>
      </c>
      <c r="O610" s="1034">
        <v>12750</v>
      </c>
      <c r="P610" s="1030"/>
      <c r="Q610" s="1035" t="str" cm="1">
        <f t="array" aca="1" ref="Q610" ca="1">IF($P610&lt;&gt;"","PAGO",IF($N610&lt;TODAY(),"ATRASADO",IF($N610&gt;TODAY(),"NO PRAZO",IF($N610=TODAY(),"NO PRAZO",SE))))</f>
        <v>ATRASADO</v>
      </c>
      <c r="R610" s="259">
        <f t="shared" ca="1" si="9"/>
        <v>-26</v>
      </c>
      <c r="S610" s="1030">
        <v>46063</v>
      </c>
      <c r="T610" s="1027"/>
      <c r="U610" s="1036">
        <f ca="1">SUBTOTAL(3,Tabela13[[#This Row],[STATUS]])</f>
        <v>1</v>
      </c>
    </row>
    <row r="611" spans="1:21" ht="24" customHeight="1">
      <c r="A611" s="1010">
        <v>46036</v>
      </c>
      <c r="B611" s="1011">
        <v>51481</v>
      </c>
      <c r="C611" s="1012" t="str">
        <f>IFERROR(VLOOKUP(Tabela13[[#This Row],[CÓD. EMPRESA]],Tabela3[[CÓDIGO
 EMPRESA ]:[EMPRESA]],2,FALSE),"")</f>
        <v>LIGA INDUSTRIA E COMÉRCIO DE MATERIAL PARA CONSTRUÇÃO LTDA .</v>
      </c>
      <c r="D611" s="112" t="s">
        <v>744</v>
      </c>
      <c r="E611" s="112" t="s">
        <v>637</v>
      </c>
      <c r="F611" s="1014">
        <v>24095</v>
      </c>
      <c r="G611" s="1015">
        <v>19696</v>
      </c>
      <c r="H611" s="165" t="s">
        <v>44</v>
      </c>
      <c r="I611" s="1016"/>
      <c r="J611" s="1010"/>
      <c r="K611" s="1017">
        <v>8325</v>
      </c>
      <c r="L611" s="1018">
        <f>Tabela13[[#This Row],[VALOR
 BRUTO ]]-Tabela13[[#This Row],[VALOR 
LIQUIDO ]]</f>
        <v>0</v>
      </c>
      <c r="M611" s="1019">
        <f>Tabela13[[#This Row],[VALORES PAGOS 
(FORMA PAGTO)]]</f>
        <v>8325</v>
      </c>
      <c r="N611" s="1010">
        <v>46044</v>
      </c>
      <c r="O611" s="1020">
        <v>8325</v>
      </c>
      <c r="P611" s="1016"/>
      <c r="Q611" s="1021" t="str" cm="1">
        <f t="array" aca="1" ref="Q611" ca="1">IF($P611&lt;&gt;"","PAGO",IF($N611&lt;TODAY(),"ATRASADO",IF($N611&gt;TODAY(),"NO PRAZO",IF($N611=TODAY(),"NO PRAZO",SE))))</f>
        <v>ATRASADO</v>
      </c>
      <c r="R611" s="259">
        <f t="shared" ca="1" si="9"/>
        <v>-19</v>
      </c>
      <c r="S611" s="1013"/>
      <c r="T611" s="1013"/>
      <c r="U611" s="1022">
        <f ca="1">SUBTOTAL(3,Tabela13[[#This Row],[STATUS]])</f>
        <v>1</v>
      </c>
    </row>
    <row r="612" spans="1:21" ht="24" customHeight="1">
      <c r="A612" s="1010">
        <v>46036</v>
      </c>
      <c r="B612" s="1011">
        <v>67538</v>
      </c>
      <c r="C612" s="1012" t="str">
        <f>IFERROR(VLOOKUP(Tabela13[[#This Row],[CÓD. EMPRESA]],Tabela3[[CÓDIGO
 EMPRESA ]:[EMPRESA]],2,FALSE),"")</f>
        <v>IGM2 METROLOGIA E MANUTENCAO LTDA</v>
      </c>
      <c r="D612" s="112" t="s">
        <v>803</v>
      </c>
      <c r="E612" s="1013"/>
      <c r="F612" s="1014">
        <v>11819</v>
      </c>
      <c r="G612" s="1015">
        <v>26</v>
      </c>
      <c r="H612" s="165" t="s">
        <v>43</v>
      </c>
      <c r="I612" s="1016"/>
      <c r="J612" s="1010"/>
      <c r="K612" s="1017">
        <v>1535.16</v>
      </c>
      <c r="L612" s="1018">
        <f>Tabela13[[#This Row],[VALOR
 BRUTO ]]-Tabela13[[#This Row],[VALOR 
LIQUIDO ]]</f>
        <v>0</v>
      </c>
      <c r="M612" s="1019">
        <f>Tabela13[[#This Row],[VALORES PAGOS 
(FORMA PAGTO)]]</f>
        <v>1535.16</v>
      </c>
      <c r="N612" s="1010">
        <v>46060</v>
      </c>
      <c r="O612" s="1020">
        <v>1535.16</v>
      </c>
      <c r="P612" s="1016"/>
      <c r="Q612" s="1021" t="str" cm="1">
        <f t="array" aca="1" ref="Q612" ca="1">IF($P612&lt;&gt;"","PAGO",IF($N612&lt;TODAY(),"ATRASADO",IF($N612&gt;TODAY(),"NO PRAZO",IF($N612=TODAY(),"NO PRAZO",SE))))</f>
        <v>ATRASADO</v>
      </c>
      <c r="R612" s="259">
        <f t="shared" ca="1" si="9"/>
        <v>-3</v>
      </c>
      <c r="S612" s="1013"/>
      <c r="T612" s="1013"/>
      <c r="U612" s="1022">
        <f ca="1">SUBTOTAL(3,Tabela13[[#This Row],[STATUS]])</f>
        <v>1</v>
      </c>
    </row>
    <row r="613" spans="1:21" ht="24" customHeight="1">
      <c r="A613" s="1010">
        <v>46036</v>
      </c>
      <c r="B613" s="1011">
        <v>121020</v>
      </c>
      <c r="C613" s="1012" t="str">
        <f>IFERROR(VLOOKUP(Tabela13[[#This Row],[CÓD. EMPRESA]],Tabela3[[CÓDIGO
 EMPRESA ]:[EMPRESA]],2,FALSE),"")</f>
        <v xml:space="preserve">MICHELE CRISTINA SPITTI LTDA </v>
      </c>
      <c r="D613" s="112" t="s">
        <v>804</v>
      </c>
      <c r="E613" s="112" t="s">
        <v>805</v>
      </c>
      <c r="F613" s="1014">
        <v>17956</v>
      </c>
      <c r="G613" s="1015">
        <v>594</v>
      </c>
      <c r="H613" s="165" t="s">
        <v>44</v>
      </c>
      <c r="I613" s="1016"/>
      <c r="J613" s="1010"/>
      <c r="K613" s="1017">
        <v>20000</v>
      </c>
      <c r="L613" s="1018">
        <f>Tabela13[[#This Row],[VALOR
 BRUTO ]]-Tabela13[[#This Row],[VALOR 
LIQUIDO ]]</f>
        <v>0</v>
      </c>
      <c r="M613" s="1019">
        <f>Tabela13[[#This Row],[VALORES PAGOS 
(FORMA PAGTO)]]</f>
        <v>20000</v>
      </c>
      <c r="N613" s="1010">
        <v>46043</v>
      </c>
      <c r="O613" s="1020">
        <v>20000</v>
      </c>
      <c r="P613" s="1016"/>
      <c r="Q613" s="1021" t="str" cm="1">
        <f t="array" aca="1" ref="Q613" ca="1">IF($P613&lt;&gt;"","PAGO",IF($N613&lt;TODAY(),"ATRASADO",IF($N613&gt;TODAY(),"NO PRAZO",IF($N613=TODAY(),"NO PRAZO",SE))))</f>
        <v>ATRASADO</v>
      </c>
      <c r="R613" s="259">
        <f t="shared" ca="1" si="9"/>
        <v>-20</v>
      </c>
      <c r="S613" s="1016">
        <v>46063</v>
      </c>
      <c r="T613" s="1013"/>
      <c r="U613" s="1022">
        <f ca="1">SUBTOTAL(3,Tabela13[[#This Row],[STATUS]])</f>
        <v>1</v>
      </c>
    </row>
    <row r="614" spans="1:21" ht="24" customHeight="1">
      <c r="A614" s="113">
        <v>46036</v>
      </c>
      <c r="B614" s="1011">
        <v>51481</v>
      </c>
      <c r="C614" s="1012" t="str">
        <f>IFERROR(VLOOKUP(Tabela13[[#This Row],[CÓD. EMPRESA]],Tabela3[[CÓDIGO
 EMPRESA ]:[EMPRESA]],2,FALSE),"")</f>
        <v>LIGA INDUSTRIA E COMÉRCIO DE MATERIAL PARA CONSTRUÇÃO LTDA .</v>
      </c>
      <c r="D614" s="112" t="s">
        <v>744</v>
      </c>
      <c r="E614" s="1013"/>
      <c r="F614" s="1014">
        <v>24095</v>
      </c>
      <c r="G614" s="1015">
        <v>19728</v>
      </c>
      <c r="H614" s="165" t="s">
        <v>44</v>
      </c>
      <c r="I614" s="1016"/>
      <c r="J614" s="1010"/>
      <c r="K614" s="1017">
        <v>13365</v>
      </c>
      <c r="L614" s="1018">
        <f>Tabela13[[#This Row],[VALOR
 BRUTO ]]-Tabela13[[#This Row],[VALOR 
LIQUIDO ]]</f>
        <v>0</v>
      </c>
      <c r="M614" s="1019">
        <f>Tabela13[[#This Row],[VALORES PAGOS 
(FORMA PAGTO)]]</f>
        <v>13365</v>
      </c>
      <c r="N614" s="1010">
        <v>46044</v>
      </c>
      <c r="O614" s="1020">
        <v>13365</v>
      </c>
      <c r="P614" s="1016"/>
      <c r="Q614" s="1021" t="str" cm="1">
        <f t="array" aca="1" ref="Q614" ca="1">IF($P614&lt;&gt;"","PAGO",IF($N614&lt;TODAY(),"ATRASADO",IF($N614&gt;TODAY(),"NO PRAZO",IF($N614=TODAY(),"NO PRAZO",SE))))</f>
        <v>ATRASADO</v>
      </c>
      <c r="R614" s="259">
        <f t="shared" ca="1" si="9"/>
        <v>-19</v>
      </c>
      <c r="S614" s="1013"/>
      <c r="T614" s="1013"/>
      <c r="U614" s="1022">
        <f ca="1">SUBTOTAL(3,Tabela13[[#This Row],[STATUS]])</f>
        <v>1</v>
      </c>
    </row>
    <row r="615" spans="1:21" ht="24" customHeight="1">
      <c r="A615" s="1010">
        <v>46036</v>
      </c>
      <c r="B615" s="1011">
        <v>51481</v>
      </c>
      <c r="C615" s="1012" t="str">
        <f>IFERROR(VLOOKUP(Tabela13[[#This Row],[CÓD. EMPRESA]],Tabela3[[CÓDIGO
 EMPRESA ]:[EMPRESA]],2,FALSE),"")</f>
        <v>LIGA INDUSTRIA E COMÉRCIO DE MATERIAL PARA CONSTRUÇÃO LTDA .</v>
      </c>
      <c r="D615" s="1013" t="s">
        <v>806</v>
      </c>
      <c r="E615" s="1013" t="s">
        <v>637</v>
      </c>
      <c r="F615" s="1014">
        <v>24092.666666666701</v>
      </c>
      <c r="G615" s="1015">
        <v>19739</v>
      </c>
      <c r="H615" s="165" t="s">
        <v>44</v>
      </c>
      <c r="I615" s="1016"/>
      <c r="J615" s="1010"/>
      <c r="K615" s="1017">
        <v>-52510</v>
      </c>
      <c r="L615" s="1018">
        <f>Tabela13[[#This Row],[VALOR
 BRUTO ]]-Tabela13[[#This Row],[VALOR 
LIQUIDO ]]</f>
        <v>0</v>
      </c>
      <c r="M615" s="1019">
        <f>Tabela13[[#This Row],[VALORES PAGOS 
(FORMA PAGTO)]]</f>
        <v>-52510</v>
      </c>
      <c r="N615" s="1010">
        <v>46037</v>
      </c>
      <c r="O615" s="1020">
        <v>-52510</v>
      </c>
      <c r="P615" s="1016"/>
      <c r="Q615" s="1021" t="str" cm="1">
        <f t="array" aca="1" ref="Q615" ca="1">IF($P615&lt;&gt;"","PAGO",IF($N615&lt;TODAY(),"ATRASADO",IF($N615&gt;TODAY(),"NO PRAZO",IF($N615=TODAY(),"NO PRAZO",SE))))</f>
        <v>ATRASADO</v>
      </c>
      <c r="R615" s="259">
        <f t="shared" ca="1" si="9"/>
        <v>-26</v>
      </c>
      <c r="S615" s="1013"/>
      <c r="T615" s="1013"/>
      <c r="U615" s="1022">
        <f ca="1">SUBTOTAL(3,Tabela13[[#This Row],[STATUS]])</f>
        <v>1</v>
      </c>
    </row>
    <row r="616" spans="1:21" ht="24" customHeight="1">
      <c r="A616" s="1010">
        <v>46036</v>
      </c>
      <c r="B616" s="1011">
        <v>69169</v>
      </c>
      <c r="C616" s="1012" t="str">
        <f>IFERROR(VLOOKUP(Tabela13[[#This Row],[CÓD. EMPRESA]],Tabela3[[CÓDIGO
 EMPRESA ]:[EMPRESA]],2,FALSE),"")</f>
        <v>CECM PÂES LTDA</v>
      </c>
      <c r="D616" s="112" t="s">
        <v>429</v>
      </c>
      <c r="E616" s="112" t="s">
        <v>807</v>
      </c>
      <c r="F616" s="1014">
        <v>26731</v>
      </c>
      <c r="G616" s="1015">
        <v>2000</v>
      </c>
      <c r="H616" s="165" t="s">
        <v>44</v>
      </c>
      <c r="I616" s="1016"/>
      <c r="J616" s="1010"/>
      <c r="K616" s="1017">
        <v>28275.3</v>
      </c>
      <c r="L616" s="1018">
        <f>Tabela13[[#This Row],[VALOR
 BRUTO ]]-Tabela13[[#This Row],[VALOR 
LIQUIDO ]]</f>
        <v>0</v>
      </c>
      <c r="M616" s="1019">
        <f>Tabela13[[#This Row],[VALORES PAGOS 
(FORMA PAGTO)]]</f>
        <v>28275.3</v>
      </c>
      <c r="N616" s="1010">
        <v>46028</v>
      </c>
      <c r="O616" s="1020">
        <v>28275.3</v>
      </c>
      <c r="P616" s="1016"/>
      <c r="Q616" s="1021" t="str" cm="1">
        <f t="array" aca="1" ref="Q616" ca="1">IF($P616&lt;&gt;"","PAGO",IF($N616&lt;TODAY(),"ATRASADO",IF($N616&gt;TODAY(),"NO PRAZO",IF($N616=TODAY(),"NO PRAZO",SE))))</f>
        <v>ATRASADO</v>
      </c>
      <c r="R616" s="259">
        <f t="shared" ca="1" si="9"/>
        <v>-35</v>
      </c>
      <c r="S616" s="1016">
        <v>46063</v>
      </c>
      <c r="T616" s="1013"/>
      <c r="U616" s="1022">
        <f ca="1">SUBTOTAL(3,Tabela13[[#This Row],[STATUS]])</f>
        <v>1</v>
      </c>
    </row>
    <row r="617" spans="1:21" ht="24" customHeight="1">
      <c r="A617" s="1010">
        <v>46037</v>
      </c>
      <c r="B617" s="1011">
        <v>58778</v>
      </c>
      <c r="C617" s="1012" t="str">
        <f>IFERROR(VLOOKUP(Tabela13[[#This Row],[CÓD. EMPRESA]],Tabela3[[CÓDIGO
 EMPRESA ]:[EMPRESA]],2,FALSE),"")</f>
        <v>ATTEND AMBIENTAL S.A</v>
      </c>
      <c r="D617" s="112" t="s">
        <v>335</v>
      </c>
      <c r="E617" s="112" t="s">
        <v>419</v>
      </c>
      <c r="F617" s="1014">
        <v>13606</v>
      </c>
      <c r="G617" s="1015">
        <v>51023</v>
      </c>
      <c r="H617" s="165" t="s">
        <v>43</v>
      </c>
      <c r="I617" s="1016">
        <v>45992</v>
      </c>
      <c r="J617" s="1010">
        <v>46022</v>
      </c>
      <c r="K617" s="1017">
        <v>178628.36</v>
      </c>
      <c r="L617" s="1018">
        <f>Tabela13[[#This Row],[VALOR
 BRUTO ]]-Tabela13[[#This Row],[VALOR 
LIQUIDO ]]</f>
        <v>0</v>
      </c>
      <c r="M617" s="1019">
        <f>Tabela13[[#This Row],[VALORES PAGOS 
(FORMA PAGTO)]]</f>
        <v>178628.36</v>
      </c>
      <c r="N617" s="1010">
        <v>46067</v>
      </c>
      <c r="O617" s="1020">
        <v>178628.36</v>
      </c>
      <c r="P617" s="1016"/>
      <c r="Q617" s="1021" t="str" cm="1">
        <f t="array" aca="1" ref="Q617" ca="1">IF($P617&lt;&gt;"","PAGO",IF($N617&lt;TODAY(),"ATRASADO",IF($N617&gt;TODAY(),"NO PRAZO",IF($N617=TODAY(),"NO PRAZO",SE))))</f>
        <v>NO PRAZO</v>
      </c>
      <c r="R617" s="259">
        <f t="shared" ca="1" si="9"/>
        <v>4</v>
      </c>
      <c r="S617" s="1013"/>
      <c r="T617" s="1013"/>
      <c r="U617" s="1022">
        <f ca="1">SUBTOTAL(3,Tabela13[[#This Row],[STATUS]])</f>
        <v>1</v>
      </c>
    </row>
    <row r="618" spans="1:21" ht="24" customHeight="1">
      <c r="A618" s="1010">
        <v>46037</v>
      </c>
      <c r="B618" s="1011">
        <v>46674</v>
      </c>
      <c r="C618" s="1012" t="str">
        <f>IFERROR(VLOOKUP(Tabela13[[#This Row],[CÓD. EMPRESA]],Tabela3[[CÓDIGO
 EMPRESA ]:[EMPRESA]],2,FALSE),"")</f>
        <v>NOA SERVICOS E LOCACAO LTDA</v>
      </c>
      <c r="D618" s="112" t="s">
        <v>324</v>
      </c>
      <c r="E618" s="112" t="s">
        <v>419</v>
      </c>
      <c r="F618" s="1014">
        <v>26782</v>
      </c>
      <c r="G618" s="1015">
        <v>1881</v>
      </c>
      <c r="H618" s="165" t="s">
        <v>43</v>
      </c>
      <c r="I618" s="1016">
        <v>45992</v>
      </c>
      <c r="J618" s="1010">
        <v>46022</v>
      </c>
      <c r="K618" s="1017">
        <v>140005.70000000001</v>
      </c>
      <c r="L618" s="1018">
        <f>Tabela13[[#This Row],[VALOR
 BRUTO ]]-Tabela13[[#This Row],[VALOR 
LIQUIDO ]]</f>
        <v>0</v>
      </c>
      <c r="M618" s="1019">
        <f>Tabela13[[#This Row],[VALORES PAGOS 
(FORMA PAGTO)]]</f>
        <v>140005.70000000001</v>
      </c>
      <c r="N618" s="1010">
        <v>46066</v>
      </c>
      <c r="O618" s="1020">
        <v>140005.70000000001</v>
      </c>
      <c r="P618" s="1016"/>
      <c r="Q618" s="1021" t="str" cm="1">
        <f t="array" aca="1" ref="Q618" ca="1">IF($P618&lt;&gt;"","PAGO",IF($N618&lt;TODAY(),"ATRASADO",IF($N618&gt;TODAY(),"NO PRAZO",IF($N618=TODAY(),"NO PRAZO",SE))))</f>
        <v>NO PRAZO</v>
      </c>
      <c r="R618" s="259">
        <f t="shared" ca="1" si="9"/>
        <v>3</v>
      </c>
      <c r="S618" s="1013"/>
      <c r="T618" s="1013"/>
      <c r="U618" s="1022">
        <f ca="1">SUBTOTAL(3,Tabela13[[#This Row],[STATUS]])</f>
        <v>1</v>
      </c>
    </row>
    <row r="619" spans="1:21" ht="24" customHeight="1">
      <c r="A619" s="1024">
        <v>46037</v>
      </c>
      <c r="B619" s="1025">
        <v>58778</v>
      </c>
      <c r="C619" s="1026" t="str">
        <f>IFERROR(VLOOKUP(Tabela13[[#This Row],[CÓD. EMPRESA]],Tabela3[[CÓDIGO
 EMPRESA ]:[EMPRESA]],2,FALSE),"")</f>
        <v>ATTEND AMBIENTAL S.A</v>
      </c>
      <c r="D619" s="112" t="s">
        <v>335</v>
      </c>
      <c r="E619" s="112" t="s">
        <v>741</v>
      </c>
      <c r="F619" s="1028">
        <v>13606</v>
      </c>
      <c r="G619" s="1029">
        <v>51023</v>
      </c>
      <c r="H619" s="165" t="s">
        <v>43</v>
      </c>
      <c r="I619" s="1030">
        <v>45992</v>
      </c>
      <c r="J619" s="1024">
        <v>46022</v>
      </c>
      <c r="K619" s="1031">
        <v>178628.36</v>
      </c>
      <c r="L619" s="1032">
        <f>Tabela13[[#This Row],[VALOR
 BRUTO ]]-Tabela13[[#This Row],[VALOR 
LIQUIDO ]]</f>
        <v>0</v>
      </c>
      <c r="M619" s="1033">
        <f>Tabela13[[#This Row],[VALORES PAGOS 
(FORMA PAGTO)]]</f>
        <v>178628.36</v>
      </c>
      <c r="N619" s="1024">
        <v>46067</v>
      </c>
      <c r="O619" s="1034">
        <v>178628.36</v>
      </c>
      <c r="P619" s="1030"/>
      <c r="Q619" s="1035" t="str" cm="1">
        <f t="array" aca="1" ref="Q619" ca="1">IF($P619&lt;&gt;"","PAGO",IF($N619&lt;TODAY(),"ATRASADO",IF($N619&gt;TODAY(),"NO PRAZO",IF($N619=TODAY(),"NO PRAZO",SE))))</f>
        <v>NO PRAZO</v>
      </c>
      <c r="R619" s="259">
        <f t="shared" ca="1" si="9"/>
        <v>4</v>
      </c>
      <c r="S619" s="1027"/>
      <c r="T619" s="1027"/>
      <c r="U619" s="1036">
        <f ca="1">SUBTOTAL(3,Tabela13[[#This Row],[STATUS]])</f>
        <v>1</v>
      </c>
    </row>
    <row r="620" spans="1:21" ht="24" customHeight="1">
      <c r="A620" s="1010">
        <v>46041</v>
      </c>
      <c r="B620" s="1011">
        <v>42326</v>
      </c>
      <c r="C620" s="1012" t="str">
        <f>IFERROR(VLOOKUP(Tabela13[[#This Row],[CÓD. EMPRESA]],Tabela3[[CÓDIGO
 EMPRESA ]:[EMPRESA]],2,FALSE),"")</f>
        <v>CASAMAX COMERCIAL E SERVICOS LTDA</v>
      </c>
      <c r="D620" s="112" t="s">
        <v>809</v>
      </c>
      <c r="E620" s="112" t="s">
        <v>418</v>
      </c>
      <c r="F620" s="1014">
        <v>23574</v>
      </c>
      <c r="G620" s="1015">
        <v>11782</v>
      </c>
      <c r="H620" s="165" t="s">
        <v>43</v>
      </c>
      <c r="I620" s="1016">
        <v>45962</v>
      </c>
      <c r="J620" s="1010">
        <v>45991</v>
      </c>
      <c r="K620" s="1017">
        <v>207509.45</v>
      </c>
      <c r="L620" s="1018">
        <f>Tabela13[[#This Row],[VALOR
 BRUTO ]]-Tabela13[[#This Row],[VALOR 
LIQUIDO ]]</f>
        <v>0</v>
      </c>
      <c r="M620" s="1019">
        <f>Tabela13[[#This Row],[VALORES PAGOS 
(FORMA PAGTO)]]</f>
        <v>207509.45</v>
      </c>
      <c r="N620" s="1010">
        <v>46067</v>
      </c>
      <c r="O620" s="1020">
        <v>207509.45</v>
      </c>
      <c r="P620" s="1016"/>
      <c r="Q620" s="1021" t="str" cm="1">
        <f t="array" aca="1" ref="Q620" ca="1">IF($P620&lt;&gt;"","PAGO",IF($N620&lt;TODAY(),"ATRASADO",IF($N620&gt;TODAY(),"NO PRAZO",IF($N620=TODAY(),"NO PRAZO",SE))))</f>
        <v>NO PRAZO</v>
      </c>
      <c r="R620" s="259">
        <f t="shared" ca="1" si="9"/>
        <v>4</v>
      </c>
      <c r="S620" s="1013"/>
      <c r="T620" s="1013"/>
      <c r="U620" s="1022">
        <f ca="1">SUBTOTAL(3,Tabela13[[#This Row],[STATUS]])</f>
        <v>1</v>
      </c>
    </row>
    <row r="621" spans="1:21" ht="24" customHeight="1">
      <c r="A621" s="1010">
        <v>46041</v>
      </c>
      <c r="B621" s="1011">
        <v>42326</v>
      </c>
      <c r="C621" s="1012" t="str">
        <f>IFERROR(VLOOKUP(Tabela13[[#This Row],[CÓD. EMPRESA]],Tabela3[[CÓDIGO
 EMPRESA ]:[EMPRESA]],2,FALSE),"")</f>
        <v>CASAMAX COMERCIAL E SERVICOS LTDA</v>
      </c>
      <c r="D621" s="112" t="s">
        <v>809</v>
      </c>
      <c r="E621" s="112" t="s">
        <v>418</v>
      </c>
      <c r="F621" s="1014">
        <v>26784</v>
      </c>
      <c r="G621" s="1015">
        <v>11782</v>
      </c>
      <c r="H621" s="165" t="s">
        <v>43</v>
      </c>
      <c r="I621" s="1016">
        <v>45962</v>
      </c>
      <c r="J621" s="1010">
        <v>45991</v>
      </c>
      <c r="K621" s="1017">
        <v>31367.26</v>
      </c>
      <c r="L621" s="1018">
        <f>Tabela13[[#This Row],[VALOR
 BRUTO ]]-Tabela13[[#This Row],[VALOR 
LIQUIDO ]]</f>
        <v>0</v>
      </c>
      <c r="M621" s="1019">
        <f>Tabela13[[#This Row],[VALORES PAGOS 
(FORMA PAGTO)]]</f>
        <v>31367.26</v>
      </c>
      <c r="N621" s="1010">
        <v>46067</v>
      </c>
      <c r="O621" s="1020">
        <v>31367.26</v>
      </c>
      <c r="P621" s="1016"/>
      <c r="Q621" s="1021" t="str" cm="1">
        <f t="array" aca="1" ref="Q621" ca="1">IF($P621&lt;&gt;"","PAGO",IF($N621&lt;TODAY(),"ATRASADO",IF($N621&gt;TODAY(),"NO PRAZO",IF($N621=TODAY(),"NO PRAZO",SE))))</f>
        <v>NO PRAZO</v>
      </c>
      <c r="R621" s="259">
        <f t="shared" ca="1" si="9"/>
        <v>4</v>
      </c>
      <c r="S621" s="1013"/>
      <c r="T621" s="1013"/>
      <c r="U621" s="1022">
        <f ca="1">SUBTOTAL(3,Tabela13[[#This Row],[STATUS]])</f>
        <v>1</v>
      </c>
    </row>
    <row r="622" spans="1:21" ht="24" customHeight="1">
      <c r="A622" s="1024">
        <v>46042</v>
      </c>
      <c r="B622" s="1025">
        <v>63516</v>
      </c>
      <c r="C622" s="1026" t="str">
        <f>IFERROR(VLOOKUP(Tabela13[[#This Row],[CÓD. EMPRESA]],Tabela3[[CÓDIGO
 EMPRESA ]:[EMPRESA]],2,FALSE),"")</f>
        <v>GENTE SEGURADORA SA</v>
      </c>
      <c r="D622" s="1027" t="s">
        <v>815</v>
      </c>
      <c r="E622" s="112" t="s">
        <v>419</v>
      </c>
      <c r="F622" s="1028">
        <v>26756</v>
      </c>
      <c r="G622" s="1029">
        <v>9769048</v>
      </c>
      <c r="H622" s="165" t="s">
        <v>43</v>
      </c>
      <c r="I622" s="1030"/>
      <c r="J622" s="1024"/>
      <c r="K622" s="1031">
        <v>8881.33</v>
      </c>
      <c r="L622" s="1032">
        <f>Tabela13[[#This Row],[VALOR
 BRUTO ]]-Tabela13[[#This Row],[VALOR 
LIQUIDO ]]</f>
        <v>213.15</v>
      </c>
      <c r="M622" s="1033">
        <f>Tabela13[[#This Row],[VALORES PAGOS 
(FORMA PAGTO)]]</f>
        <v>8668.18</v>
      </c>
      <c r="N622" s="1024">
        <v>46058</v>
      </c>
      <c r="O622" s="1034">
        <v>8668.18</v>
      </c>
      <c r="P622" s="1030">
        <v>46058</v>
      </c>
      <c r="Q622" s="1035" t="str" cm="1">
        <f t="array" aca="1" ref="Q622" ca="1">IF($P622&lt;&gt;"","PAGO",IF($N622&lt;TODAY(),"ATRASADO",IF($N622&gt;TODAY(),"NO PRAZO",IF($N622=TODAY(),"NO PRAZO",SE))))</f>
        <v>PAGO</v>
      </c>
      <c r="R622" s="259" t="str">
        <f t="shared" ca="1" si="9"/>
        <v/>
      </c>
      <c r="S622" s="1030"/>
      <c r="T622" s="1027"/>
      <c r="U622" s="1036">
        <f ca="1">SUBTOTAL(3,Tabela13[[#This Row],[STATUS]])</f>
        <v>1</v>
      </c>
    </row>
    <row r="623" spans="1:21">
      <c r="A623" s="1024">
        <v>46044</v>
      </c>
      <c r="B623" s="1025">
        <v>73112</v>
      </c>
      <c r="C623" s="1026" t="str">
        <f>IFERROR(VLOOKUP(Tabela13[[#This Row],[CÓD. EMPRESA]],Tabela3[[CÓDIGO
 EMPRESA ]:[EMPRESA]],2,FALSE),"")</f>
        <v>M CONSTRUÇÕES &amp; SERVIÇOS LTDA</v>
      </c>
      <c r="D623" s="112" t="s">
        <v>350</v>
      </c>
      <c r="E623" s="112" t="s">
        <v>494</v>
      </c>
      <c r="F623" s="1028">
        <v>28742</v>
      </c>
      <c r="G623" s="109" t="s">
        <v>814</v>
      </c>
      <c r="H623" s="165" t="s">
        <v>44</v>
      </c>
      <c r="I623" s="1030">
        <v>45992</v>
      </c>
      <c r="J623" s="1024">
        <v>46022</v>
      </c>
      <c r="K623" s="1031">
        <v>7850000</v>
      </c>
      <c r="L623" s="1032">
        <f>Tabela13[[#This Row],[VALOR
 BRUTO ]]-Tabela13[[#This Row],[VALORES PAGOS 
(FORMA PAGTO)]]-O624</f>
        <v>1494033.8</v>
      </c>
      <c r="M623" s="1033">
        <f>Tabela13[[#This Row],[VALORES PAGOS 
(FORMA PAGTO)]]</f>
        <v>3596104.61</v>
      </c>
      <c r="N623" s="1024">
        <v>46044</v>
      </c>
      <c r="O623" s="1034">
        <v>3596104.61</v>
      </c>
      <c r="P623" s="1030">
        <v>46052</v>
      </c>
      <c r="Q623" s="1035" t="str" cm="1">
        <f t="array" aca="1" ref="Q623" ca="1">IF($P623&lt;&gt;"","PAGO",IF($N623&lt;TODAY(),"ATRASADO",IF($N623&gt;TODAY(),"NO PRAZO",IF($N623=TODAY(),"NO PRAZO",SE))))</f>
        <v>PAGO</v>
      </c>
      <c r="R623" s="259" t="str">
        <f t="shared" ca="1" si="9"/>
        <v/>
      </c>
      <c r="S623" s="1030"/>
      <c r="T623" s="1027"/>
      <c r="U623" s="1036">
        <f ca="1">SUBTOTAL(3,Tabela13[[#This Row],[STATUS]])</f>
        <v>1</v>
      </c>
    </row>
    <row r="624" spans="1:21" ht="24" customHeight="1">
      <c r="A624" s="1024">
        <v>46044</v>
      </c>
      <c r="B624" s="1025">
        <v>73112</v>
      </c>
      <c r="C624" s="1026" t="str">
        <f>IFERROR(VLOOKUP(Tabela13[[#This Row],[CÓD. EMPRESA]],Tabela3[[CÓDIGO
 EMPRESA ]:[EMPRESA]],2,FALSE),"")</f>
        <v>M CONSTRUÇÕES &amp; SERVIÇOS LTDA</v>
      </c>
      <c r="D624" s="112" t="s">
        <v>350</v>
      </c>
      <c r="E624" s="112" t="s">
        <v>494</v>
      </c>
      <c r="F624" s="1028">
        <v>28742</v>
      </c>
      <c r="G624" s="109" t="s">
        <v>814</v>
      </c>
      <c r="H624" s="165" t="s">
        <v>44</v>
      </c>
      <c r="I624" s="1030">
        <v>45992</v>
      </c>
      <c r="J624" s="1024">
        <v>46022</v>
      </c>
      <c r="K624" s="1031"/>
      <c r="L624" s="1032"/>
      <c r="M624" s="1033">
        <f>Tabela13[[#This Row],[VALORES PAGOS 
(FORMA PAGTO)]]</f>
        <v>2759861.59</v>
      </c>
      <c r="N624" s="1024">
        <v>46044</v>
      </c>
      <c r="O624" s="1034">
        <v>2759861.59</v>
      </c>
      <c r="P624" s="1030"/>
      <c r="Q624" s="1035" t="str" cm="1">
        <f t="array" aca="1" ref="Q624" ca="1">IF($P624&lt;&gt;"","PAGO",IF($N624&lt;TODAY(),"ATRASADO",IF($N624&gt;TODAY(),"NO PRAZO",IF($N624=TODAY(),"NO PRAZO",SE))))</f>
        <v>ATRASADO</v>
      </c>
      <c r="R624" s="259">
        <f t="shared" ca="1" si="9"/>
        <v>-19</v>
      </c>
      <c r="S624" s="1027"/>
      <c r="T624" s="1027"/>
      <c r="U624" s="1036">
        <f ca="1">SUBTOTAL(3,Tabela13[[#This Row],[STATUS]])</f>
        <v>1</v>
      </c>
    </row>
    <row r="625" spans="1:21" ht="24" customHeight="1">
      <c r="A625" s="1024">
        <v>46049</v>
      </c>
      <c r="B625" s="1025">
        <v>103747</v>
      </c>
      <c r="C625" s="1026" t="str">
        <f>IFERROR(VLOOKUP(Tabela13[[#This Row],[CÓD. EMPRESA]],Tabela3[[CÓDIGO
 EMPRESA ]:[EMPRESA]],2,FALSE),"")</f>
        <v>CDR PEDREIRA CENTRO DE DISPOSIÇÃO DE RESÍDUOS LTDA</v>
      </c>
      <c r="D625" s="112" t="s">
        <v>334</v>
      </c>
      <c r="E625" s="112" t="s">
        <v>472</v>
      </c>
      <c r="F625" s="1028">
        <v>28743</v>
      </c>
      <c r="G625" s="1029">
        <v>4286</v>
      </c>
      <c r="H625" s="165" t="s">
        <v>43</v>
      </c>
      <c r="I625" s="1030">
        <v>45992</v>
      </c>
      <c r="J625" s="1024">
        <v>46022</v>
      </c>
      <c r="K625" s="1031">
        <v>3274621.8</v>
      </c>
      <c r="L625" s="1032">
        <f>Tabela13[[#This Row],[VALOR
 BRUTO ]]-Tabela13[[#This Row],[VALOR 
LIQUIDO ]]</f>
        <v>0</v>
      </c>
      <c r="M625" s="1033">
        <f>Tabela13[[#This Row],[VALORES PAGOS 
(FORMA PAGTO)]]</f>
        <v>3274621.8</v>
      </c>
      <c r="N625" s="1024">
        <v>46060</v>
      </c>
      <c r="O625" s="1034">
        <v>3274621.8</v>
      </c>
      <c r="P625" s="1030"/>
      <c r="Q625" s="1035" t="str" cm="1">
        <f t="array" aca="1" ref="Q625" ca="1">IF($P625&lt;&gt;"","PAGO",IF($N625&lt;TODAY(),"ATRASADO",IF($N625&gt;TODAY(),"NO PRAZO",IF($N625=TODAY(),"NO PRAZO",SE))))</f>
        <v>ATRASADO</v>
      </c>
      <c r="R625" s="259">
        <f t="shared" ca="1" si="9"/>
        <v>-3</v>
      </c>
      <c r="S625" s="1027"/>
      <c r="T625" s="1027"/>
      <c r="U625" s="1036">
        <f ca="1">SUBTOTAL(3,Tabela13[[#This Row],[STATUS]])</f>
        <v>1</v>
      </c>
    </row>
    <row r="626" spans="1:21" ht="24" customHeight="1">
      <c r="A626" s="1024">
        <v>46049</v>
      </c>
      <c r="B626" s="1025">
        <v>103747</v>
      </c>
      <c r="C626" s="1026" t="str">
        <f>IFERROR(VLOOKUP(Tabela13[[#This Row],[CÓD. EMPRESA]],Tabela3[[CÓDIGO
 EMPRESA ]:[EMPRESA]],2,FALSE),"")</f>
        <v>CDR PEDREIRA CENTRO DE DISPOSIÇÃO DE RESÍDUOS LTDA</v>
      </c>
      <c r="D626" s="112" t="s">
        <v>334</v>
      </c>
      <c r="E626" s="112" t="s">
        <v>472</v>
      </c>
      <c r="F626" s="1028">
        <v>28743</v>
      </c>
      <c r="G626" s="1029">
        <v>4286</v>
      </c>
      <c r="H626" s="165" t="s">
        <v>43</v>
      </c>
      <c r="I626" s="1030">
        <v>45992</v>
      </c>
      <c r="J626" s="1024">
        <v>46022</v>
      </c>
      <c r="K626" s="1031">
        <v>51322.8</v>
      </c>
      <c r="L626" s="1032">
        <f>Tabela13[[#This Row],[VALOR
 BRUTO ]]-Tabela13[[#This Row],[VALOR 
LIQUIDO ]]</f>
        <v>0</v>
      </c>
      <c r="M626" s="1033">
        <f>Tabela13[[#This Row],[VALORES PAGOS 
(FORMA PAGTO)]]</f>
        <v>51322.8</v>
      </c>
      <c r="N626" s="1024">
        <v>46060</v>
      </c>
      <c r="O626" s="1034">
        <v>51322.8</v>
      </c>
      <c r="P626" s="1030"/>
      <c r="Q626" s="1035" t="str" cm="1">
        <f t="array" aca="1" ref="Q626" ca="1">IF($P626&lt;&gt;"","PAGO",IF($N626&lt;TODAY(),"ATRASADO",IF($N626&gt;TODAY(),"NO PRAZO",IF($N626=TODAY(),"NO PRAZO",SE))))</f>
        <v>ATRASADO</v>
      </c>
      <c r="R626" s="259">
        <f t="shared" ca="1" si="9"/>
        <v>-3</v>
      </c>
      <c r="S626" s="1027"/>
      <c r="T626" s="1027"/>
      <c r="U626" s="1036">
        <f ca="1">SUBTOTAL(3,Tabela13[[#This Row],[STATUS]])</f>
        <v>1</v>
      </c>
    </row>
    <row r="627" spans="1:21" ht="24" customHeight="1">
      <c r="A627" s="1024">
        <v>46049</v>
      </c>
      <c r="B627" s="1025">
        <v>68004</v>
      </c>
      <c r="C627" s="1026" t="str">
        <f>IFERROR(VLOOKUP(Tabela13[[#This Row],[CÓD. EMPRESA]],Tabela3[[CÓDIGO
 EMPRESA ]:[EMPRESA]],2,FALSE),"")</f>
        <v>VB AMBIENTAL CONSULTORIA E PROJETOS LTDA-ME</v>
      </c>
      <c r="D627" s="112" t="s">
        <v>349</v>
      </c>
      <c r="E627" s="112" t="s">
        <v>489</v>
      </c>
      <c r="F627" s="1028">
        <v>24081</v>
      </c>
      <c r="G627" s="1029">
        <v>7</v>
      </c>
      <c r="H627" s="165" t="s">
        <v>43</v>
      </c>
      <c r="I627" s="1030">
        <v>45992</v>
      </c>
      <c r="J627" s="1024">
        <v>46022</v>
      </c>
      <c r="K627" s="1031">
        <v>5943.33</v>
      </c>
      <c r="L627" s="1032">
        <f>Tabela13[[#This Row],[VALOR
 BRUTO ]]-Tabela13[[#This Row],[VALOR 
LIQUIDO ]]</f>
        <v>0</v>
      </c>
      <c r="M627" s="1033">
        <f>Tabela13[[#This Row],[VALORES PAGOS 
(FORMA PAGTO)]]</f>
        <v>5943.33</v>
      </c>
      <c r="N627" s="1024">
        <v>46066</v>
      </c>
      <c r="O627" s="1034">
        <v>5943.33</v>
      </c>
      <c r="P627" s="1030"/>
      <c r="Q627" s="1035" t="str" cm="1">
        <f t="array" aca="1" ref="Q627" ca="1">IF($P627&lt;&gt;"","PAGO",IF($N627&lt;TODAY(),"ATRASADO",IF($N627&gt;TODAY(),"NO PRAZO",IF($N627=TODAY(),"NO PRAZO",SE))))</f>
        <v>NO PRAZO</v>
      </c>
      <c r="R627" s="259">
        <f t="shared" ca="1" si="9"/>
        <v>3</v>
      </c>
      <c r="S627" s="1027"/>
      <c r="T627" s="1027"/>
      <c r="U627" s="1036">
        <f ca="1">SUBTOTAL(3,Tabela13[[#This Row],[STATUS]])</f>
        <v>1</v>
      </c>
    </row>
    <row r="628" spans="1:21" ht="24" customHeight="1">
      <c r="A628" s="1024">
        <v>46049</v>
      </c>
      <c r="B628" s="1025">
        <v>76116</v>
      </c>
      <c r="C628" s="1026" t="str">
        <f>IFERROR(VLOOKUP(Tabela13[[#This Row],[CÓD. EMPRESA]],Tabela3[[CÓDIGO
 EMPRESA ]:[EMPRESA]],2,FALSE),"")</f>
        <v>ALVORADA SISTEMA AMBIENTAL EIRELI</v>
      </c>
      <c r="D628" s="112" t="s">
        <v>342</v>
      </c>
      <c r="E628" s="112" t="s">
        <v>460</v>
      </c>
      <c r="F628" s="1028">
        <v>12676</v>
      </c>
      <c r="G628" s="1029">
        <v>15755</v>
      </c>
      <c r="H628" s="165" t="s">
        <v>43</v>
      </c>
      <c r="I628" s="1030">
        <v>45992</v>
      </c>
      <c r="J628" s="1024">
        <v>46022</v>
      </c>
      <c r="K628" s="1031">
        <v>193636.33</v>
      </c>
      <c r="L628" s="1032">
        <f>Tabela13[[#This Row],[VALOR
 BRUTO ]]-Tabela13[[#This Row],[VALOR 
LIQUIDO ]]</f>
        <v>0</v>
      </c>
      <c r="M628" s="1033">
        <f>Tabela13[[#This Row],[VALORES PAGOS 
(FORMA PAGTO)]]</f>
        <v>193636.33</v>
      </c>
      <c r="N628" s="1024">
        <v>46072</v>
      </c>
      <c r="O628" s="1034">
        <v>193636.33</v>
      </c>
      <c r="P628" s="1030"/>
      <c r="Q628" s="1035" t="str" cm="1">
        <f t="array" aca="1" ref="Q628" ca="1">IF($P628&lt;&gt;"","PAGO",IF($N628&lt;TODAY(),"ATRASADO",IF($N628&gt;TODAY(),"NO PRAZO",IF($N628=TODAY(),"NO PRAZO",SE))))</f>
        <v>NO PRAZO</v>
      </c>
      <c r="R628" s="259">
        <f t="shared" ca="1" si="9"/>
        <v>9</v>
      </c>
      <c r="S628" s="1027"/>
      <c r="T628" s="1027"/>
      <c r="U628" s="1036">
        <f ca="1">SUBTOTAL(3,Tabela13[[#This Row],[STATUS]])</f>
        <v>1</v>
      </c>
    </row>
    <row r="629" spans="1:21" ht="24" customHeight="1">
      <c r="A629" s="1024">
        <v>46050</v>
      </c>
      <c r="B629" s="1025">
        <v>34074</v>
      </c>
      <c r="C629" s="1026" t="str">
        <f>IFERROR(VLOOKUP(Tabela13[[#This Row],[CÓD. EMPRESA]],Tabela3[[CÓDIGO
 EMPRESA ]:[EMPRESA]],2,FALSE),"")</f>
        <v>SEGUROS SURA S.A</v>
      </c>
      <c r="D629" s="112" t="s">
        <v>811</v>
      </c>
      <c r="E629" s="112" t="s">
        <v>812</v>
      </c>
      <c r="F629" s="1028">
        <v>27636</v>
      </c>
      <c r="G629" s="109" t="s">
        <v>813</v>
      </c>
      <c r="H629" s="165" t="s">
        <v>43</v>
      </c>
      <c r="I629" s="1030"/>
      <c r="J629" s="1024"/>
      <c r="K629" s="1031">
        <v>5798</v>
      </c>
      <c r="L629" s="1032">
        <f>Tabela13[[#This Row],[VALOR
 BRUTO ]]-Tabela13[[#This Row],[VALOR 
LIQUIDO ]]</f>
        <v>0</v>
      </c>
      <c r="M629" s="1033">
        <f>Tabela13[[#This Row],[VALORES PAGOS 
(FORMA PAGTO)]]</f>
        <v>5798</v>
      </c>
      <c r="N629" s="1024">
        <v>46073</v>
      </c>
      <c r="O629" s="1034">
        <v>5798</v>
      </c>
      <c r="P629" s="1030"/>
      <c r="Q629" s="1035" t="str" cm="1">
        <f t="array" aca="1" ref="Q629" ca="1">IF($P629&lt;&gt;"","PAGO",IF($N629&lt;TODAY(),"ATRASADO",IF($N629&gt;TODAY(),"NO PRAZO",IF($N629=TODAY(),"NO PRAZO",SE))))</f>
        <v>NO PRAZO</v>
      </c>
      <c r="R629" s="259">
        <f t="shared" ca="1" si="9"/>
        <v>10</v>
      </c>
      <c r="S629" s="1027"/>
      <c r="T629" s="1027"/>
      <c r="U629" s="1036">
        <f ca="1">SUBTOTAL(3,Tabela13[[#This Row],[STATUS]])</f>
        <v>1</v>
      </c>
    </row>
    <row r="630" spans="1:21" ht="24" customHeight="1">
      <c r="A630" s="1024">
        <v>46051</v>
      </c>
      <c r="B630" s="1025">
        <v>125799</v>
      </c>
      <c r="C630" s="1026" t="str">
        <f>IFERROR(VLOOKUP(Tabela13[[#This Row],[CÓD. EMPRESA]],Tabela3[[CÓDIGO
 EMPRESA ]:[EMPRESA]],2,FALSE),"")</f>
        <v>JCPP MATERIAIS PARA CONSTRUÇÃO LTDA</v>
      </c>
      <c r="D630" s="1027" t="s">
        <v>818</v>
      </c>
      <c r="E630" s="1027" t="s">
        <v>819</v>
      </c>
      <c r="F630" s="1028">
        <v>22206</v>
      </c>
      <c r="G630" s="1029">
        <v>4152</v>
      </c>
      <c r="H630" s="165" t="s">
        <v>44</v>
      </c>
      <c r="I630" s="1030"/>
      <c r="J630" s="1024"/>
      <c r="K630" s="1031">
        <v>4774.5</v>
      </c>
      <c r="L630" s="1032">
        <f>Tabela13[[#This Row],[VALOR
 BRUTO ]]-Tabela13[[#This Row],[VALOR 
LIQUIDO ]]</f>
        <v>0</v>
      </c>
      <c r="M630" s="1033">
        <f>Tabela13[[#This Row],[VALORES PAGOS 
(FORMA PAGTO)]]</f>
        <v>4774.5</v>
      </c>
      <c r="N630" s="1024">
        <v>46051</v>
      </c>
      <c r="O630" s="1034">
        <v>4774.5</v>
      </c>
      <c r="P630" s="1030"/>
      <c r="Q630" s="1035" t="str" cm="1">
        <f t="array" aca="1" ref="Q630" ca="1">IF($P630&lt;&gt;"","PAGO",IF($N630&lt;TODAY(),"ATRASADO",IF($N630&gt;TODAY(),"NO PRAZO",IF($N630=TODAY(),"NO PRAZO",SE))))</f>
        <v>ATRASADO</v>
      </c>
      <c r="R630" s="259">
        <f t="shared" ca="1" si="9"/>
        <v>-12</v>
      </c>
      <c r="S630" s="1030">
        <v>46063</v>
      </c>
      <c r="T630" s="1027"/>
      <c r="U630" s="1036">
        <f ca="1">SUBTOTAL(3,Tabela13[[#This Row],[STATUS]])</f>
        <v>1</v>
      </c>
    </row>
    <row r="631" spans="1:21" ht="24" customHeight="1">
      <c r="A631" s="113">
        <v>46052</v>
      </c>
      <c r="B631" s="1025">
        <v>46674</v>
      </c>
      <c r="C631" s="1026" t="str">
        <f>IFERROR(VLOOKUP(Tabela13[[#This Row],[CÓD. EMPRESA]],Tabela3[[CÓDIGO
 EMPRESA ]:[EMPRESA]],2,FALSE),"")</f>
        <v>NOA SERVICOS E LOCACAO LTDA</v>
      </c>
      <c r="D631" s="112" t="s">
        <v>324</v>
      </c>
      <c r="E631" s="112" t="s">
        <v>419</v>
      </c>
      <c r="F631" s="1028">
        <v>26782</v>
      </c>
      <c r="G631" s="1029">
        <v>1886</v>
      </c>
      <c r="H631" s="165" t="s">
        <v>43</v>
      </c>
      <c r="I631" s="1030">
        <v>45992</v>
      </c>
      <c r="J631" s="1024">
        <v>46022</v>
      </c>
      <c r="K631" s="1031">
        <v>28647.360000000001</v>
      </c>
      <c r="L631" s="1032">
        <f>Tabela13[[#This Row],[VALOR
 BRUTO ]]-Tabela13[[#This Row],[VALOR 
LIQUIDO ]]</f>
        <v>0</v>
      </c>
      <c r="M631" s="1033">
        <f>Tabela13[[#This Row],[VALORES PAGOS 
(FORMA PAGTO)]]</f>
        <v>28647.360000000001</v>
      </c>
      <c r="N631" s="1024">
        <v>46081</v>
      </c>
      <c r="O631" s="1034">
        <v>28647.360000000001</v>
      </c>
      <c r="P631" s="1030"/>
      <c r="Q631" s="1035" t="str" cm="1">
        <f t="array" aca="1" ref="Q631" ca="1">IF($P631&lt;&gt;"","PAGO",IF($N631&lt;TODAY(),"ATRASADO",IF($N631&gt;TODAY(),"NO PRAZO",IF($N631=TODAY(),"NO PRAZO",SE))))</f>
        <v>NO PRAZO</v>
      </c>
      <c r="R631" s="259">
        <f t="shared" ca="1" si="9"/>
        <v>18</v>
      </c>
      <c r="S631" s="1027"/>
      <c r="T631" s="1027"/>
      <c r="U631" s="1050">
        <f ca="1">SUBTOTAL(3,Tabela13[[#This Row],[STATUS]])</f>
        <v>1</v>
      </c>
    </row>
    <row r="632" spans="1:21" ht="24" customHeight="1">
      <c r="A632" s="1038">
        <v>46052</v>
      </c>
      <c r="B632" s="1039">
        <v>42326</v>
      </c>
      <c r="C632" s="1026" t="str">
        <f>IFERROR(VLOOKUP(Tabela13[[#This Row],[CÓD. EMPRESA]],Tabela3[[CÓDIGO
 EMPRESA ]:[EMPRESA]],2,FALSE),"")</f>
        <v>CASAMAX COMERCIAL E SERVICOS LTDA</v>
      </c>
      <c r="D632" s="139" t="s">
        <v>809</v>
      </c>
      <c r="E632" s="139" t="s">
        <v>418</v>
      </c>
      <c r="F632" s="1041">
        <v>26784</v>
      </c>
      <c r="G632" s="1042">
        <v>11813</v>
      </c>
      <c r="H632" s="424" t="s">
        <v>43</v>
      </c>
      <c r="I632" s="1044">
        <v>45992</v>
      </c>
      <c r="J632" s="1038">
        <v>46022</v>
      </c>
      <c r="K632" s="1031">
        <v>249335.15</v>
      </c>
      <c r="L632" s="1045">
        <f>Tabela13[[#This Row],[VALOR
 BRUTO ]]-Tabela13[[#This Row],[VALOR 
LIQUIDO ]]</f>
        <v>0</v>
      </c>
      <c r="M632" s="1046">
        <f>Tabela13[[#This Row],[VALORES PAGOS 
(FORMA PAGTO)]]</f>
        <v>249335.15</v>
      </c>
      <c r="N632" s="1038">
        <v>46082</v>
      </c>
      <c r="O632" s="1047">
        <v>249335.15</v>
      </c>
      <c r="P632" s="1044"/>
      <c r="Q632" s="1035" t="str" cm="1">
        <f t="array" aca="1" ref="Q632" ca="1">IF($P632&lt;&gt;"","PAGO",IF($N632&lt;TODAY(),"ATRASADO",IF($N632&gt;TODAY(),"NO PRAZO",IF($N632=TODAY(),"NO PRAZO",SE))))</f>
        <v>NO PRAZO</v>
      </c>
      <c r="R632" s="259">
        <f t="shared" ca="1" si="9"/>
        <v>19</v>
      </c>
      <c r="S632" s="1040"/>
      <c r="T632" s="1040"/>
      <c r="U632" s="1050">
        <f ca="1">SUBTOTAL(3,Tabela13[[#This Row],[STATUS]])</f>
        <v>1</v>
      </c>
    </row>
    <row r="633" spans="1:21" ht="25.5" customHeight="1">
      <c r="A633" s="1038">
        <v>46058</v>
      </c>
      <c r="B633" s="1039">
        <v>51481</v>
      </c>
      <c r="C633" s="1012" t="str">
        <f>IFERROR(VLOOKUP(Tabela13[[#This Row],[CÓD. EMPRESA]],Tabela3[[CÓDIGO
 EMPRESA ]:[EMPRESA]],2,FALSE),"")</f>
        <v>LIGA INDUSTRIA E COMÉRCIO DE MATERIAL PARA CONSTRUÇÃO LTDA .</v>
      </c>
      <c r="D633" s="139" t="s">
        <v>806</v>
      </c>
      <c r="E633" s="139" t="s">
        <v>758</v>
      </c>
      <c r="F633" s="1041">
        <v>24097</v>
      </c>
      <c r="G633" s="1042">
        <v>19695</v>
      </c>
      <c r="H633" s="1043" t="s">
        <v>44</v>
      </c>
      <c r="I633" s="1044"/>
      <c r="J633" s="1038"/>
      <c r="K633" s="1048">
        <v>118950</v>
      </c>
      <c r="L633" s="1045">
        <v>0</v>
      </c>
      <c r="M633" s="1046">
        <v>118950</v>
      </c>
      <c r="N633" s="1038">
        <v>46059</v>
      </c>
      <c r="O633" s="1047">
        <v>118950</v>
      </c>
      <c r="P633" s="1044"/>
      <c r="Q633" s="1035" t="str" cm="1">
        <f t="array" aca="1" ref="Q633" ca="1">IF($P633&lt;&gt;"","PAGO",IF($N633&lt;TODAY(),"ATRASADO",IF($N633&gt;TODAY(),"NO PRAZO",IF($N633=TODAY(),"NO PRAZO",SE))))</f>
        <v>ATRASADO</v>
      </c>
      <c r="R633" s="259">
        <f t="shared" ca="1" si="9"/>
        <v>-4</v>
      </c>
      <c r="S633" s="1040"/>
      <c r="T633" s="1040"/>
    </row>
    <row r="634" spans="1:21" ht="24" customHeight="1">
      <c r="A634" s="1024">
        <v>46058</v>
      </c>
      <c r="B634" s="1025">
        <v>51481</v>
      </c>
      <c r="C634" s="1012" t="str">
        <f>IFERROR(VLOOKUP(Tabela13[[#This Row],[CÓD. EMPRESA]],Tabela3[[CÓDIGO
 EMPRESA ]:[EMPRESA]],2,FALSE),"")</f>
        <v>LIGA INDUSTRIA E COMÉRCIO DE MATERIAL PARA CONSTRUÇÃO LTDA .</v>
      </c>
      <c r="D634" s="112" t="s">
        <v>806</v>
      </c>
      <c r="E634" s="112" t="s">
        <v>758</v>
      </c>
      <c r="F634" s="1028">
        <v>24092.666666666701</v>
      </c>
      <c r="G634" s="1029">
        <v>19727</v>
      </c>
      <c r="H634" s="1037" t="s">
        <v>44</v>
      </c>
      <c r="I634" s="1030"/>
      <c r="J634" s="1024"/>
      <c r="K634" s="1031">
        <v>118950</v>
      </c>
      <c r="L634" s="1032">
        <v>0</v>
      </c>
      <c r="M634" s="1033">
        <v>118950</v>
      </c>
      <c r="N634" s="1024">
        <v>46059</v>
      </c>
      <c r="O634" s="1034">
        <v>118950</v>
      </c>
      <c r="P634" s="1030"/>
      <c r="Q634" s="1035" t="str" cm="1">
        <f t="array" aca="1" ref="Q634" ca="1">IF($P634&lt;&gt;"","PAGO",IF($N634&lt;TODAY(),"ATRASADO",IF($N634&gt;TODAY(),"NO PRAZO",IF($N634=TODAY(),"NO PRAZO",SE))))</f>
        <v>ATRASADO</v>
      </c>
      <c r="R634" s="259">
        <f t="shared" ca="1" si="9"/>
        <v>-4</v>
      </c>
      <c r="S634" s="1027"/>
      <c r="T634" s="1027"/>
      <c r="U634" s="1049"/>
    </row>
    <row r="635" spans="1:21" ht="24" customHeight="1">
      <c r="A635" s="113">
        <v>46059</v>
      </c>
      <c r="B635" s="114">
        <v>739</v>
      </c>
      <c r="C635" s="928" t="str">
        <f>IFERROR(VLOOKUP(Tabela13[[#This Row],[CÓD. EMPRESA]],Tabela3[[CÓDIGO
 EMPRESA ]:[EMPRESA]],2,FALSE),"")</f>
        <v>PAUPEDRA PEDREIRAS PAVIMENTAÇÕES E CONSTRUÇÕES LTDA</v>
      </c>
      <c r="D635" s="112" t="s">
        <v>816</v>
      </c>
      <c r="E635" s="112" t="s">
        <v>817</v>
      </c>
      <c r="F635" s="196">
        <v>24081</v>
      </c>
      <c r="G635" s="109">
        <v>1136303</v>
      </c>
      <c r="H635" s="165" t="s">
        <v>44</v>
      </c>
      <c r="I635" s="147"/>
      <c r="J635" s="113"/>
      <c r="K635" s="401">
        <v>23730</v>
      </c>
      <c r="L635" s="398">
        <v>0</v>
      </c>
      <c r="M635" s="703">
        <v>23730</v>
      </c>
      <c r="N635" s="113">
        <v>46059</v>
      </c>
      <c r="O635" s="385">
        <v>23730</v>
      </c>
      <c r="P635" s="147"/>
      <c r="Q635" s="1035" t="str" cm="1">
        <f t="array" aca="1" ref="Q635" ca="1">IF($P635&lt;&gt;"","PAGO",IF($N635&lt;TODAY(),"ATRASADO",IF($N635&gt;TODAY(),"NO PRAZO",IF($N635=TODAY(),"NO PRAZO",SE))))</f>
        <v>ATRASADO</v>
      </c>
      <c r="R635" s="259">
        <f t="shared" ca="1" si="9"/>
        <v>-4</v>
      </c>
      <c r="S635" s="112"/>
      <c r="T635" s="112"/>
      <c r="U635" s="1049"/>
    </row>
    <row r="636" spans="1:21">
      <c r="A636" s="1024">
        <v>46062</v>
      </c>
      <c r="B636" s="1025">
        <v>54615</v>
      </c>
      <c r="C636" s="1026" t="str">
        <f>IFERROR(VLOOKUP(Tabela13[[#This Row],[CÓD. EMPRESA]],Tabela3[[CÓDIGO
 EMPRESA ]:[EMPRESA]],2,FALSE),"")</f>
        <v>NEO-TAGUS COMERCIO E ASSISTENCIA TECNICA LTDA</v>
      </c>
      <c r="D636" s="112" t="s">
        <v>821</v>
      </c>
      <c r="E636" s="112" t="s">
        <v>686</v>
      </c>
      <c r="F636" s="1028">
        <v>23488</v>
      </c>
      <c r="G636" s="1029">
        <v>9797</v>
      </c>
      <c r="H636" s="165" t="s">
        <v>43</v>
      </c>
      <c r="I636" s="1030">
        <v>46354</v>
      </c>
      <c r="J636" s="1024">
        <v>46018</v>
      </c>
      <c r="K636" s="1031">
        <v>4233</v>
      </c>
      <c r="L636" s="1032">
        <f>Tabela13[[#This Row],[VALOR
 BRUTO ]]-Tabela13[[#This Row],[VALOR 
LIQUIDO ]]</f>
        <v>0</v>
      </c>
      <c r="M636" s="1033">
        <f>Tabela13[[#This Row],[VALORES PAGOS 
(FORMA PAGTO)]]</f>
        <v>4233</v>
      </c>
      <c r="N636" s="1024">
        <v>46062</v>
      </c>
      <c r="O636" s="1034">
        <v>4233</v>
      </c>
      <c r="P636" s="1030"/>
      <c r="Q636" s="1035" t="str" cm="1">
        <f t="array" aca="1" ref="Q636" ca="1">IF($P636&lt;&gt;"","PAGO",IF($N636&lt;TODAY(),"ATRASADO",IF($N636&gt;TODAY(),"NO PRAZO",IF($N636=TODAY(),"NO PRAZO",SE))))</f>
        <v>ATRASADO</v>
      </c>
      <c r="R636" s="259">
        <f ca="1">IF(Q636="ATRASADO",N636-TODAY(),IF(Q636="NO PRAZO",N636-TODAY(),IF(Q636="PAGO","")))</f>
        <v>-1</v>
      </c>
      <c r="S636" s="1027"/>
      <c r="T636" s="1027"/>
      <c r="U636" s="1036">
        <f ca="1">SUBTOTAL(3,Tabela13[[#This Row],[STATUS]])</f>
        <v>1</v>
      </c>
    </row>
    <row r="637" spans="1:21">
      <c r="D637" s="517"/>
      <c r="E637" s="16"/>
      <c r="I637" s="10"/>
      <c r="J637" s="10"/>
      <c r="K637" s="10"/>
      <c r="L637" s="10"/>
      <c r="M637" s="10"/>
      <c r="N637" s="577"/>
      <c r="O637" s="577"/>
      <c r="P637" s="54"/>
      <c r="Q637" t="s">
        <v>163</v>
      </c>
      <c r="R637" s="10"/>
      <c r="S637" s="10"/>
    </row>
    <row r="638" spans="1:21">
      <c r="E638" s="581"/>
      <c r="I638" s="10"/>
      <c r="J638" s="10"/>
      <c r="K638" s="10"/>
      <c r="L638" s="10"/>
      <c r="M638" s="10"/>
      <c r="N638" s="576"/>
      <c r="O638" s="577"/>
      <c r="R638" s="10"/>
      <c r="S638" s="10"/>
    </row>
    <row r="639" spans="1:21">
      <c r="D639" s="517"/>
      <c r="E639" s="16"/>
      <c r="I639" s="10"/>
      <c r="J639" s="10"/>
      <c r="K639" s="10"/>
      <c r="L639" s="10"/>
      <c r="M639" s="10"/>
      <c r="N639" s="10"/>
    </row>
    <row r="640" spans="1:21">
      <c r="N640" s="10"/>
    </row>
    <row r="648" ht="24" customHeight="1"/>
    <row r="649" ht="24" customHeight="1"/>
    <row r="659" ht="24" customHeight="1"/>
    <row r="660" ht="24" customHeight="1"/>
    <row r="661" ht="24" customHeight="1"/>
  </sheetData>
  <sheetProtection selectLockedCells="1" autoFilter="0" selectUnlockedCells="1"/>
  <dataConsolidate/>
  <mergeCells count="1">
    <mergeCell ref="B4:C4"/>
  </mergeCells>
  <phoneticPr fontId="9" type="noConversion"/>
  <conditionalFormatting sqref="Q6:Q636">
    <cfRule type="containsText" dxfId="359" priority="10" operator="containsText" text="PAGO">
      <formula>NOT(ISERROR(SEARCH("PAGO",Q6)))</formula>
    </cfRule>
    <cfRule type="containsText" dxfId="358" priority="11" operator="containsText" text="ATRASADO">
      <formula>NOT(ISERROR(SEARCH("ATRASADO",Q6)))</formula>
    </cfRule>
  </conditionalFormatting>
  <conditionalFormatting sqref="R6:R636">
    <cfRule type="cellIs" dxfId="357" priority="7" operator="equal">
      <formula>0</formula>
    </cfRule>
    <cfRule type="cellIs" dxfId="356" priority="8" operator="between">
      <formula>0</formula>
      <formula>5</formula>
    </cfRule>
    <cfRule type="cellIs" dxfId="355" priority="9" operator="lessThan">
      <formula>0</formula>
    </cfRule>
  </conditionalFormatting>
  <conditionalFormatting sqref="R6:R636">
    <cfRule type="cellIs" dxfId="354" priority="6" operator="between">
      <formula>0</formula>
      <formula>5</formula>
    </cfRule>
  </conditionalFormatting>
  <conditionalFormatting sqref="R6:R636">
    <cfRule type="cellIs" dxfId="353" priority="5" operator="between">
      <formula>6</formula>
      <formula>31</formula>
    </cfRule>
  </conditionalFormatting>
  <dataValidations xWindow="1548" yWindow="703" count="8">
    <dataValidation allowBlank="1" showInputMessage="1" showErrorMessage="1" promptTitle="ATENÇÃO" prompt="LETRA MAÍUSCULA" sqref="D4 B4 C1:C3 D62 U4 D42:D52" xr:uid="{34380D5D-C96D-43B3-8D32-42168EA740F0}"/>
    <dataValidation type="decimal" allowBlank="1" showInputMessage="1" showErrorMessage="1" errorTitle="VALORES" error="VERIFICAR FORMATAÇÃO DE VALORES" sqref="O1:O4" xr:uid="{B0105D6C-88DE-44CD-B295-221F6D189AA9}">
      <formula1>1</formula1>
      <formula2>#REF!</formula2>
    </dataValidation>
    <dataValidation type="decimal" allowBlank="1" showInputMessage="1" showErrorMessage="1" errorTitle="VALOR" error="VERIFICAR FORMATAÇÃO DE VALORES" sqref="K1:K4" xr:uid="{20FF703C-96F7-4A4B-B854-56B1F0A69C00}">
      <formula1>1</formula1>
      <formula2>#REF!</formula2>
    </dataValidation>
    <dataValidation type="date" allowBlank="1" showInputMessage="1" showErrorMessage="1" sqref="N1:N4 P1:P4 I1:J4 P244:P264 P221:P242 P206:P218 P6:P201 P266:P467 N6:N636 I6:J636" xr:uid="{4AC3A9E7-DA32-4DC5-B834-19906A5477CE}">
      <formula1>44927</formula1>
      <formula2>47483</formula2>
    </dataValidation>
    <dataValidation type="whole" allowBlank="1" showInputMessage="1" showErrorMessage="1" errorTitle="ATENÇÃO" error="Somente o nº do empenho, sem a / e o ano" sqref="F146:F229 F284 F66:F68 F6:F64 F92:F144 F239:F253" xr:uid="{78224CC5-8FBF-4919-9CC7-1A867CFA08C9}">
      <formula1>1</formula1>
      <formula2>9999999999</formula2>
    </dataValidation>
    <dataValidation type="date" allowBlank="1" showInputMessage="1" showErrorMessage="1" errorTitle="ATENÇÃO" error="DD/MM/AAAA" sqref="A6:A128 A130:A294" xr:uid="{8231E060-385D-4304-B69C-73FC96888321}">
      <formula1>44927</formula1>
      <formula2>46022</formula2>
    </dataValidation>
    <dataValidation allowBlank="1" showInputMessage="1" showErrorMessage="1" promptTitle="*** ATENÇÃO ***" prompt="ESTA CÉLULA CONTÉM FÓRMULA, NÃO DIGITE VALORES NELA!" sqref="C6:C636" xr:uid="{A316A89B-C048-4684-82A4-C72DEB7DDA34}"/>
    <dataValidation allowBlank="1" showInputMessage="1" showErrorMessage="1" promptTitle="*** ATENÇÃO ***" prompt="ESTA CÉLULA CONTÉM FÓRMULA, FAVOR NÃO DIGITAR NADA NELA!" sqref="Q6:R636" xr:uid="{36827E1C-5285-46B2-ADF3-348B20E7D40B}"/>
  </dataValidations>
  <pageMargins left="0.23622047244094491" right="0.23622047244094491" top="0.35433070866141736" bottom="0.31496062992125984" header="0.31496062992125984" footer="0.31496062992125984"/>
  <pageSetup paperSize="9" scale="40" fitToHeight="0" orientation="landscape"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9" operator="containsText" id="{6D013BF6-11F6-4E76-AE26-CB174910454F}">
            <xm:f>NOT(ISERROR(SEARCH(#REF!,Q6)))</xm:f>
            <xm:f>#REF!</xm:f>
            <x14:dxf>
              <font>
                <color rgb="FF9C0006"/>
              </font>
              <fill>
                <patternFill>
                  <bgColor rgb="FFFFC7CE"/>
                </patternFill>
              </fill>
            </x14:dxf>
          </x14:cfRule>
          <x14:cfRule type="containsText" priority="30" operator="containsText" id="{D7CEB3CE-0821-4489-8AB9-40F3D5119078}">
            <xm:f>NOT(ISERROR(SEARCH(#REF!,Q6)))</xm:f>
            <xm:f>#REF!</xm:f>
            <x14:dxf>
              <font>
                <color rgb="FF006100"/>
              </font>
              <fill>
                <patternFill>
                  <bgColor rgb="FFC6EFCE"/>
                </patternFill>
              </fill>
            </x14:dxf>
          </x14:cfRule>
          <xm:sqref>Q6:Q636</xm:sqref>
        </x14:conditionalFormatting>
      </x14:conditionalFormattings>
    </ext>
    <ext xmlns:x14="http://schemas.microsoft.com/office/spreadsheetml/2009/9/main" uri="{CCE6A557-97BC-4b89-ADB6-D9C93CAAB3DF}">
      <x14:dataValidations xmlns:xm="http://schemas.microsoft.com/office/excel/2006/main" xWindow="1548" yWindow="703" count="20">
        <x14:dataValidation type="list" allowBlank="1" showInputMessage="1" showErrorMessage="1" xr:uid="{CCFC1629-C10A-41BD-AB39-E4CFC8030792}">
          <x14:formula1>
            <xm:f>VALIDAÇÕES!$A$26:$A$37</xm:f>
          </x14:formula1>
          <xm:sqref>H6:H180 H182:H467</xm:sqref>
        </x14:dataValidation>
        <x14:dataValidation type="decimal" allowBlank="1" showInputMessage="1" showErrorMessage="1" xr:uid="{D04750E6-4669-4DD4-885F-F7596AF1C055}">
          <x14:formula1>
            <xm:f>0</xm:f>
          </x14:formula1>
          <x14:formula2>
            <xm:f>VALIDAÇÕES!G137</xm:f>
          </x14:formula2>
          <xm:sqref>O115:O117 O96:O98</xm:sqref>
        </x14:dataValidation>
        <x14:dataValidation type="decimal" allowBlank="1" showInputMessage="1" showErrorMessage="1" xr:uid="{D716CC54-475C-40C0-B96B-07DB35657BAE}">
          <x14:formula1>
            <xm:f>0</xm:f>
          </x14:formula1>
          <x14:formula2>
            <xm:f>VALIDAÇÕES!G150</xm:f>
          </x14:formula2>
          <xm:sqref>O107:O112</xm:sqref>
        </x14:dataValidation>
        <x14:dataValidation type="decimal" allowBlank="1" showInputMessage="1" showErrorMessage="1" xr:uid="{074997C7-BB5A-428A-B845-B9D500B55723}">
          <x14:formula1>
            <xm:f>0</xm:f>
          </x14:formula1>
          <x14:formula2>
            <xm:f>VALIDAÇÕES!G141</xm:f>
          </x14:formula2>
          <xm:sqref>O113:O114 O99:O106</xm:sqref>
        </x14:dataValidation>
        <x14:dataValidation type="decimal" allowBlank="1" showInputMessage="1" showErrorMessage="1" xr:uid="{9390FA6C-531E-4F12-960B-F06435E986FF}">
          <x14:formula1>
            <xm:f>0</xm:f>
          </x14:formula1>
          <x14:formula2>
            <xm:f>VALIDAÇÕES!G134</xm:f>
          </x14:formula2>
          <xm:sqref>O95</xm:sqref>
        </x14:dataValidation>
        <x14:dataValidation type="decimal" allowBlank="1" showInputMessage="1" showErrorMessage="1" xr:uid="{E7E09271-B00D-4A43-9E19-D1827A80D4A8}">
          <x14:formula1>
            <xm:f>0</xm:f>
          </x14:formula1>
          <x14:formula2>
            <xm:f>VALIDAÇÕES!G122</xm:f>
          </x14:formula2>
          <xm:sqref>O85:O86 O88</xm:sqref>
        </x14:dataValidation>
        <x14:dataValidation type="decimal" allowBlank="1" showInputMessage="1" showErrorMessage="1" xr:uid="{374C582F-0775-475D-BB68-EAFE912B8767}">
          <x14:formula1>
            <xm:f>0</xm:f>
          </x14:formula1>
          <x14:formula2>
            <xm:f>VALIDAÇÕES!G127</xm:f>
          </x14:formula2>
          <xm:sqref>O89:O94</xm:sqref>
        </x14:dataValidation>
        <x14:dataValidation type="decimal" allowBlank="1" showInputMessage="1" showErrorMessage="1" xr:uid="{1F979D22-E2E1-4874-9DE5-DD020D1A1EDE}">
          <x14:formula1>
            <xm:f>0</xm:f>
          </x14:formula1>
          <x14:formula2>
            <xm:f>VALIDAÇÕES!G123</xm:f>
          </x14:formula2>
          <xm:sqref>O87</xm:sqref>
        </x14:dataValidation>
        <x14:dataValidation type="decimal" allowBlank="1" showInputMessage="1" showErrorMessage="1" xr:uid="{FF6A659C-D826-48F9-B672-6F8DD7644130}">
          <x14:formula1>
            <xm:f>0</xm:f>
          </x14:formula1>
          <x14:formula2>
            <xm:f>VALIDAÇÕES!G113</xm:f>
          </x14:formula2>
          <xm:sqref>O80:O82</xm:sqref>
        </x14:dataValidation>
        <x14:dataValidation type="decimal" allowBlank="1" showInputMessage="1" showErrorMessage="1" xr:uid="{FD1A7741-6B37-4643-A7C0-00F39A02FCAA}">
          <x14:formula1>
            <xm:f>0</xm:f>
          </x14:formula1>
          <x14:formula2>
            <xm:f>VALIDAÇÕES!G98</xm:f>
          </x14:formula2>
          <xm:sqref>O79 O71 O74:O76</xm:sqref>
        </x14:dataValidation>
        <x14:dataValidation type="decimal" allowBlank="1" showInputMessage="1" showErrorMessage="1" xr:uid="{0FE9F3EE-7176-4813-B326-09C6658B601C}">
          <x14:formula1>
            <xm:f>0</xm:f>
          </x14:formula1>
          <x14:formula2>
            <xm:f>VALIDAÇÕES!G103</xm:f>
          </x14:formula2>
          <xm:sqref>O77:O78</xm:sqref>
        </x14:dataValidation>
        <x14:dataValidation type="decimal" allowBlank="1" showInputMessage="1" showErrorMessage="1" xr:uid="{4A44670D-7364-4730-A3D9-C32D57D3D6A0}">
          <x14:formula1>
            <xm:f>0</xm:f>
          </x14:formula1>
          <x14:formula2>
            <xm:f>VALIDAÇÕES!C85</xm:f>
          </x14:formula2>
          <xm:sqref>K62:K68 O62:O70</xm:sqref>
        </x14:dataValidation>
        <x14:dataValidation type="decimal" allowBlank="1" showInputMessage="1" showErrorMessage="1" xr:uid="{7BF27B0A-B1E5-43AE-80E1-6444BEFE98AA}">
          <x14:formula1>
            <xm:f>0.01</xm:f>
          </x14:formula1>
          <x14:formula2>
            <xm:f>VALIDAÇÕES!C25</xm:f>
          </x14:formula2>
          <xm:sqref>O52:O61 O6:O7 O9:O11</xm:sqref>
        </x14:dataValidation>
        <x14:dataValidation type="decimal" allowBlank="1" showInputMessage="1" showErrorMessage="1" xr:uid="{962B80C1-323E-44CA-A602-79EB028A64A8}">
          <x14:formula1>
            <xm:f>0</xm:f>
          </x14:formula1>
          <x14:formula2>
            <xm:f>VALIDAÇÕES!C25</xm:f>
          </x14:formula2>
          <xm:sqref>K18:K21 K6:K16 K33:K61</xm:sqref>
        </x14:dataValidation>
        <x14:dataValidation type="decimal" allowBlank="1" showInputMessage="1" showErrorMessage="1" xr:uid="{CC0DFA9B-5C1D-456D-B6FB-BFE68EB78086}">
          <x14:formula1>
            <xm:f>0.01</xm:f>
          </x14:formula1>
          <x14:formula2>
            <xm:f>VALIDAÇÕES!C30</xm:f>
          </x14:formula2>
          <xm:sqref>O44:O51 O12:O21 O33:O42</xm:sqref>
        </x14:dataValidation>
        <x14:dataValidation type="decimal" allowBlank="1" showInputMessage="1" showErrorMessage="1" xr:uid="{1A49C506-0E23-46EA-BE3C-DE1580AF7232}">
          <x14:formula1>
            <xm:f>0.01</xm:f>
          </x14:formula1>
          <x14:formula2>
            <xm:f>VALIDAÇÕES!C39</xm:f>
          </x14:formula2>
          <xm:sqref>O22:O26 O31:O32</xm:sqref>
        </x14:dataValidation>
        <x14:dataValidation type="decimal" allowBlank="1" showInputMessage="1" showErrorMessage="1" xr:uid="{8CEE1923-EC20-4CAB-B9E9-D624E4FB1DC9}">
          <x14:formula1>
            <xm:f>0</xm:f>
          </x14:formula1>
          <x14:formula2>
            <xm:f>VALIDAÇÕES!C40</xm:f>
          </x14:formula2>
          <xm:sqref>K22:K26 K31:K32</xm:sqref>
        </x14:dataValidation>
        <x14:dataValidation type="decimal" allowBlank="1" showInputMessage="1" showErrorMessage="1" errorTitle="ATENÇÃO" error="VERIFICAR POSSÍVEL ERRO DE DIGITAÇÃO" xr:uid="{A1717980-1556-44E2-AC26-F324675E1237}">
          <x14:formula1>
            <xm:f>0.001</xm:f>
          </x14:formula1>
          <x14:formula2>
            <xm:f>VALIDAÇÕES!G27</xm:f>
          </x14:formula2>
          <xm:sqref>O8</xm:sqref>
        </x14:dataValidation>
        <x14:dataValidation type="decimal" allowBlank="1" showInputMessage="1" showErrorMessage="1" xr:uid="{2DD0AD77-B63D-4145-AC3D-FE47EBA1BB74}">
          <x14:formula1>
            <xm:f>0.01</xm:f>
          </x14:formula1>
          <x14:formula2>
            <xm:f>VALIDAÇÕES!C43</xm:f>
          </x14:formula2>
          <xm:sqref>O27:O30</xm:sqref>
        </x14:dataValidation>
        <x14:dataValidation type="decimal" allowBlank="1" showInputMessage="1" showErrorMessage="1" xr:uid="{FC33A854-15B2-45AB-834F-0D789880F740}">
          <x14:formula1>
            <xm:f>0</xm:f>
          </x14:formula1>
          <x14:formula2>
            <xm:f>VALIDAÇÕES!C44</xm:f>
          </x14:formula2>
          <xm:sqref>K27:K29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13">
    <tabColor theme="8" tint="0.59999389629810485"/>
  </sheetPr>
  <dimension ref="B1:K174"/>
  <sheetViews>
    <sheetView showGridLines="0" zoomScale="98" zoomScaleNormal="98" workbookViewId="0">
      <pane ySplit="5" topLeftCell="A6" activePane="bottomLeft" state="frozen"/>
      <selection pane="bottomLeft" activeCell="I166" sqref="I166"/>
    </sheetView>
  </sheetViews>
  <sheetFormatPr defaultColWidth="9.140625" defaultRowHeight="15"/>
  <cols>
    <col min="2" max="2" width="14.5703125" style="37" bestFit="1" customWidth="1"/>
    <col min="3" max="3" width="14.5703125" style="37" customWidth="1"/>
    <col min="4" max="4" width="11.42578125" style="37" bestFit="1" customWidth="1"/>
    <col min="5" max="5" width="19" style="37" bestFit="1" customWidth="1"/>
    <col min="6" max="6" width="18.7109375" style="37" customWidth="1"/>
    <col min="7" max="7" width="11.42578125" style="37" bestFit="1" customWidth="1"/>
    <col min="8" max="8" width="17.28515625" style="73" customWidth="1"/>
    <col min="9" max="9" width="92.7109375" style="352" customWidth="1"/>
    <col min="11" max="11" width="13" bestFit="1" customWidth="1"/>
  </cols>
  <sheetData>
    <row r="1" spans="2:11" ht="87" customHeight="1">
      <c r="B1" s="343"/>
      <c r="C1" s="343"/>
      <c r="D1" s="343"/>
      <c r="E1" s="343" t="s">
        <v>164</v>
      </c>
      <c r="F1" s="343"/>
      <c r="G1" s="343"/>
      <c r="H1" s="343"/>
      <c r="I1" s="341"/>
    </row>
    <row r="3" spans="2:11" ht="28.5" customHeight="1">
      <c r="B3" s="364"/>
      <c r="C3" s="344" t="s">
        <v>83</v>
      </c>
      <c r="D3" s="365"/>
      <c r="E3" s="361"/>
      <c r="F3" s="362" t="s">
        <v>84</v>
      </c>
      <c r="G3" s="363"/>
      <c r="H3" s="342"/>
      <c r="I3" s="350"/>
    </row>
    <row r="4" spans="2:11" ht="6" customHeight="1">
      <c r="B4" s="345"/>
      <c r="C4" s="345"/>
      <c r="D4" s="345"/>
      <c r="E4" s="345"/>
      <c r="F4" s="345"/>
      <c r="G4" s="345"/>
      <c r="H4" s="346"/>
      <c r="I4" s="351"/>
    </row>
    <row r="5" spans="2:11" s="39" customFormat="1" ht="27.75" customHeight="1">
      <c r="B5" s="347" t="s">
        <v>97</v>
      </c>
      <c r="C5" s="348" t="s">
        <v>18</v>
      </c>
      <c r="D5" s="348" t="s">
        <v>14</v>
      </c>
      <c r="E5" s="349" t="s">
        <v>105</v>
      </c>
      <c r="F5" s="349" t="s">
        <v>93</v>
      </c>
      <c r="G5" s="349" t="s">
        <v>64</v>
      </c>
      <c r="H5" s="347" t="s">
        <v>79</v>
      </c>
      <c r="I5" s="347" t="s">
        <v>82</v>
      </c>
    </row>
    <row r="6" spans="2:11" s="39" customFormat="1" hidden="1">
      <c r="B6" s="354">
        <v>29</v>
      </c>
      <c r="C6" s="354">
        <v>92</v>
      </c>
      <c r="D6" s="354">
        <v>2244</v>
      </c>
      <c r="E6" s="355">
        <v>32</v>
      </c>
      <c r="F6" s="355">
        <v>104</v>
      </c>
      <c r="G6" s="355">
        <v>2229</v>
      </c>
      <c r="H6" s="567">
        <v>206000</v>
      </c>
      <c r="I6" s="697" t="s">
        <v>297</v>
      </c>
    </row>
    <row r="7" spans="2:11" s="39" customFormat="1" hidden="1">
      <c r="B7" s="354">
        <v>32</v>
      </c>
      <c r="C7" s="354">
        <v>75</v>
      </c>
      <c r="D7" s="356">
        <v>2229</v>
      </c>
      <c r="E7" s="357">
        <v>32</v>
      </c>
      <c r="F7" s="355">
        <v>245</v>
      </c>
      <c r="G7" s="355">
        <v>2229</v>
      </c>
      <c r="H7" s="916">
        <v>8017</v>
      </c>
      <c r="I7" s="917" t="s">
        <v>698</v>
      </c>
    </row>
    <row r="8" spans="2:11" s="39" customFormat="1" hidden="1">
      <c r="B8" s="354">
        <v>29</v>
      </c>
      <c r="C8" s="354">
        <v>184</v>
      </c>
      <c r="D8" s="354">
        <v>2242</v>
      </c>
      <c r="E8" s="355">
        <v>29</v>
      </c>
      <c r="F8" s="355">
        <v>181</v>
      </c>
      <c r="G8" s="355">
        <v>2242</v>
      </c>
      <c r="H8" s="698">
        <v>221544.83</v>
      </c>
      <c r="I8" s="697" t="s">
        <v>698</v>
      </c>
    </row>
    <row r="9" spans="2:11" s="39" customFormat="1" hidden="1">
      <c r="B9" s="354">
        <v>29</v>
      </c>
      <c r="C9" s="354">
        <v>184</v>
      </c>
      <c r="D9" s="356">
        <v>2242</v>
      </c>
      <c r="E9" s="357">
        <v>29</v>
      </c>
      <c r="F9" s="355">
        <v>181</v>
      </c>
      <c r="G9" s="355">
        <v>2242</v>
      </c>
      <c r="H9" s="916">
        <v>350000</v>
      </c>
      <c r="I9" s="917" t="s">
        <v>698</v>
      </c>
    </row>
    <row r="10" spans="2:11" s="39" customFormat="1" hidden="1">
      <c r="B10" s="354">
        <v>32</v>
      </c>
      <c r="C10" s="354">
        <v>75</v>
      </c>
      <c r="D10" s="356">
        <v>2229</v>
      </c>
      <c r="E10" s="357">
        <v>32</v>
      </c>
      <c r="F10" s="355">
        <v>245</v>
      </c>
      <c r="G10" s="355">
        <v>2229</v>
      </c>
      <c r="H10" s="696">
        <v>4233</v>
      </c>
      <c r="I10" s="697" t="s">
        <v>698</v>
      </c>
    </row>
    <row r="11" spans="2:11" s="39" customFormat="1" hidden="1">
      <c r="B11" s="354">
        <v>29</v>
      </c>
      <c r="C11" s="354">
        <v>184</v>
      </c>
      <c r="D11" s="354">
        <v>2242</v>
      </c>
      <c r="E11" s="999"/>
      <c r="F11" s="357"/>
      <c r="G11" s="355"/>
      <c r="H11" s="916">
        <v>754968.08</v>
      </c>
      <c r="I11" s="995"/>
    </row>
    <row r="12" spans="2:11" s="39" customFormat="1" hidden="1">
      <c r="B12" s="354">
        <v>29</v>
      </c>
      <c r="C12" s="354">
        <v>184</v>
      </c>
      <c r="D12" s="356">
        <v>2242</v>
      </c>
      <c r="E12" s="357">
        <v>29</v>
      </c>
      <c r="F12" s="355">
        <v>123</v>
      </c>
      <c r="G12" s="355">
        <v>2246</v>
      </c>
      <c r="H12" s="751">
        <v>96870</v>
      </c>
      <c r="I12" s="699" t="s">
        <v>297</v>
      </c>
      <c r="K12" s="707"/>
    </row>
    <row r="13" spans="2:11" s="39" customFormat="1" hidden="1">
      <c r="B13" s="353"/>
      <c r="C13" s="354"/>
      <c r="D13" s="356"/>
      <c r="E13" s="357">
        <v>30</v>
      </c>
      <c r="F13" s="355">
        <v>153</v>
      </c>
      <c r="G13" s="355">
        <v>3403</v>
      </c>
      <c r="H13" s="750">
        <v>643019.36</v>
      </c>
      <c r="I13" s="487" t="s">
        <v>327</v>
      </c>
    </row>
    <row r="14" spans="2:11" s="39" customFormat="1" hidden="1">
      <c r="B14" s="353">
        <v>32</v>
      </c>
      <c r="C14" s="354">
        <v>117</v>
      </c>
      <c r="D14" s="354">
        <v>2229</v>
      </c>
      <c r="E14" s="355">
        <v>32</v>
      </c>
      <c r="F14" s="355">
        <v>117</v>
      </c>
      <c r="G14" s="355">
        <v>3484</v>
      </c>
      <c r="H14" s="567">
        <v>8881.33</v>
      </c>
      <c r="I14" s="699" t="s">
        <v>297</v>
      </c>
    </row>
    <row r="15" spans="2:11" s="39" customFormat="1" hidden="1">
      <c r="B15" s="353">
        <v>32</v>
      </c>
      <c r="C15" s="354">
        <v>245</v>
      </c>
      <c r="D15" s="354">
        <v>2229</v>
      </c>
      <c r="E15" s="355">
        <v>32</v>
      </c>
      <c r="F15" s="355">
        <v>245</v>
      </c>
      <c r="G15" s="355">
        <v>3484</v>
      </c>
      <c r="H15" s="750">
        <v>4233</v>
      </c>
      <c r="I15" s="697" t="s">
        <v>297</v>
      </c>
    </row>
    <row r="16" spans="2:11" s="39" customFormat="1" hidden="1">
      <c r="B16" s="353">
        <v>32</v>
      </c>
      <c r="C16" s="354">
        <v>138</v>
      </c>
      <c r="D16" s="354">
        <v>2226</v>
      </c>
      <c r="E16" s="355">
        <v>32</v>
      </c>
      <c r="F16" s="355">
        <v>138</v>
      </c>
      <c r="G16" s="355">
        <v>3484</v>
      </c>
      <c r="H16" s="567">
        <v>2738</v>
      </c>
      <c r="I16" s="699" t="s">
        <v>297</v>
      </c>
    </row>
    <row r="17" spans="2:10" s="39" customFormat="1" hidden="1">
      <c r="B17" s="353">
        <v>30</v>
      </c>
      <c r="C17" s="354">
        <v>104</v>
      </c>
      <c r="D17" s="356">
        <v>2258</v>
      </c>
      <c r="E17" s="357">
        <v>30</v>
      </c>
      <c r="F17" s="355">
        <v>104</v>
      </c>
      <c r="G17" s="355">
        <v>3485</v>
      </c>
      <c r="H17" s="567">
        <v>560</v>
      </c>
      <c r="I17" s="772" t="s">
        <v>297</v>
      </c>
    </row>
    <row r="18" spans="2:10" s="39" customFormat="1" hidden="1">
      <c r="B18" s="353">
        <v>30</v>
      </c>
      <c r="C18" s="354">
        <v>104</v>
      </c>
      <c r="D18" s="356">
        <v>2261</v>
      </c>
      <c r="E18" s="357">
        <v>30</v>
      </c>
      <c r="F18" s="355">
        <v>104</v>
      </c>
      <c r="G18" s="355">
        <v>3485</v>
      </c>
      <c r="H18" s="567">
        <v>3070.32</v>
      </c>
      <c r="I18" s="773" t="s">
        <v>297</v>
      </c>
    </row>
    <row r="19" spans="2:10" s="39" customFormat="1" hidden="1">
      <c r="B19" s="353">
        <v>32</v>
      </c>
      <c r="C19" s="354">
        <v>84</v>
      </c>
      <c r="D19" s="354">
        <v>2226</v>
      </c>
      <c r="E19" s="355">
        <v>32</v>
      </c>
      <c r="F19" s="355">
        <v>84</v>
      </c>
      <c r="G19" s="355">
        <v>3484</v>
      </c>
      <c r="H19" s="750">
        <v>840</v>
      </c>
      <c r="I19" s="697" t="s">
        <v>297</v>
      </c>
    </row>
    <row r="20" spans="2:10" s="39" customFormat="1" hidden="1">
      <c r="B20" s="353">
        <v>30</v>
      </c>
      <c r="C20" s="354">
        <v>104</v>
      </c>
      <c r="D20" s="356">
        <v>2262</v>
      </c>
      <c r="E20" s="357">
        <v>30</v>
      </c>
      <c r="F20" s="355">
        <v>104</v>
      </c>
      <c r="G20" s="355">
        <v>3486</v>
      </c>
      <c r="H20" s="567">
        <v>1826.58</v>
      </c>
      <c r="I20" s="773" t="s">
        <v>297</v>
      </c>
    </row>
    <row r="21" spans="2:10" s="39" customFormat="1" hidden="1">
      <c r="B21" s="353">
        <v>30</v>
      </c>
      <c r="C21" s="354">
        <v>25</v>
      </c>
      <c r="D21" s="354">
        <v>2253</v>
      </c>
      <c r="E21" s="355">
        <v>30</v>
      </c>
      <c r="F21" s="355">
        <v>25</v>
      </c>
      <c r="G21" s="355">
        <v>3487</v>
      </c>
      <c r="H21" s="750">
        <v>56768.35</v>
      </c>
      <c r="I21" s="697" t="s">
        <v>297</v>
      </c>
      <c r="J21" s="707"/>
    </row>
    <row r="22" spans="2:10" s="39" customFormat="1" hidden="1">
      <c r="B22" s="353">
        <v>32</v>
      </c>
      <c r="C22" s="354">
        <v>122</v>
      </c>
      <c r="D22" s="354">
        <v>2229</v>
      </c>
      <c r="E22" s="355">
        <v>32</v>
      </c>
      <c r="F22" s="355">
        <v>122</v>
      </c>
      <c r="G22" s="355">
        <v>3484</v>
      </c>
      <c r="H22" s="567">
        <v>4265.6499999999996</v>
      </c>
      <c r="I22" s="699" t="s">
        <v>297</v>
      </c>
    </row>
    <row r="23" spans="2:10" s="39" customFormat="1" hidden="1">
      <c r="B23" s="353">
        <v>32</v>
      </c>
      <c r="C23" s="354">
        <v>88</v>
      </c>
      <c r="D23" s="356">
        <v>2226</v>
      </c>
      <c r="E23" s="357">
        <v>32</v>
      </c>
      <c r="F23" s="355">
        <v>88</v>
      </c>
      <c r="G23" s="355">
        <v>3484</v>
      </c>
      <c r="H23" s="750">
        <v>3220</v>
      </c>
      <c r="I23" s="697" t="s">
        <v>297</v>
      </c>
    </row>
    <row r="24" spans="2:10" s="39" customFormat="1" hidden="1">
      <c r="B24" s="353">
        <v>32</v>
      </c>
      <c r="C24" s="354">
        <v>56</v>
      </c>
      <c r="D24" s="354">
        <v>2232</v>
      </c>
      <c r="E24" s="355">
        <v>32</v>
      </c>
      <c r="F24" s="355">
        <v>56</v>
      </c>
      <c r="G24" s="355">
        <v>3590</v>
      </c>
      <c r="H24" s="567">
        <v>18282.599999999999</v>
      </c>
      <c r="I24" s="487" t="s">
        <v>297</v>
      </c>
    </row>
    <row r="25" spans="2:10" s="39" customFormat="1" hidden="1">
      <c r="B25" s="353">
        <v>32</v>
      </c>
      <c r="C25" s="354">
        <v>84</v>
      </c>
      <c r="D25" s="354">
        <v>2226</v>
      </c>
      <c r="E25" s="355">
        <v>32</v>
      </c>
      <c r="F25" s="355">
        <v>84</v>
      </c>
      <c r="G25" s="355">
        <v>3484</v>
      </c>
      <c r="H25" s="750">
        <v>7829.9</v>
      </c>
      <c r="I25" s="487" t="s">
        <v>297</v>
      </c>
    </row>
    <row r="26" spans="2:10" s="39" customFormat="1" hidden="1">
      <c r="B26" s="353">
        <v>30</v>
      </c>
      <c r="C26" s="354">
        <v>104</v>
      </c>
      <c r="D26" s="356">
        <v>2261</v>
      </c>
      <c r="E26" s="357">
        <v>30</v>
      </c>
      <c r="F26" s="355">
        <v>104</v>
      </c>
      <c r="G26" s="355">
        <v>3485</v>
      </c>
      <c r="H26" s="567">
        <v>1535.16</v>
      </c>
      <c r="I26" s="774" t="s">
        <v>297</v>
      </c>
    </row>
    <row r="27" spans="2:10" s="39" customFormat="1" hidden="1">
      <c r="B27" s="353">
        <v>30</v>
      </c>
      <c r="C27" s="354">
        <v>25</v>
      </c>
      <c r="D27" s="354">
        <v>2253</v>
      </c>
      <c r="E27" s="355">
        <v>30</v>
      </c>
      <c r="F27" s="355">
        <v>25</v>
      </c>
      <c r="G27" s="355">
        <v>3487</v>
      </c>
      <c r="H27" s="750">
        <v>40220.61</v>
      </c>
      <c r="I27" s="487" t="s">
        <v>297</v>
      </c>
    </row>
    <row r="28" spans="2:10" s="39" customFormat="1" hidden="1">
      <c r="B28" s="353">
        <v>30</v>
      </c>
      <c r="C28" s="354">
        <v>104</v>
      </c>
      <c r="D28" s="356">
        <v>2258</v>
      </c>
      <c r="E28" s="357">
        <v>30</v>
      </c>
      <c r="F28" s="355">
        <v>104</v>
      </c>
      <c r="G28" s="355">
        <v>3485</v>
      </c>
      <c r="H28" s="567">
        <v>4290</v>
      </c>
      <c r="I28" s="774" t="s">
        <v>297</v>
      </c>
    </row>
    <row r="29" spans="2:10" s="39" customFormat="1" hidden="1">
      <c r="B29" s="353">
        <v>32</v>
      </c>
      <c r="C29" s="354">
        <v>104</v>
      </c>
      <c r="D29" s="356">
        <v>2229</v>
      </c>
      <c r="E29" s="357">
        <v>32</v>
      </c>
      <c r="F29" s="355">
        <v>314</v>
      </c>
      <c r="G29" s="355">
        <v>3484</v>
      </c>
      <c r="H29" s="750">
        <v>13499.01</v>
      </c>
      <c r="I29" s="774" t="s">
        <v>297</v>
      </c>
    </row>
    <row r="30" spans="2:10" s="39" customFormat="1" hidden="1">
      <c r="B30" s="353">
        <v>32</v>
      </c>
      <c r="C30" s="354">
        <v>75</v>
      </c>
      <c r="D30" s="354">
        <v>2229</v>
      </c>
      <c r="E30" s="355">
        <v>32</v>
      </c>
      <c r="F30" s="355">
        <v>245</v>
      </c>
      <c r="G30" s="355">
        <v>2229</v>
      </c>
      <c r="H30" s="567">
        <v>1744</v>
      </c>
      <c r="I30" s="917" t="s">
        <v>698</v>
      </c>
    </row>
    <row r="31" spans="2:10" s="39" customFormat="1" hidden="1">
      <c r="B31" s="353">
        <v>30</v>
      </c>
      <c r="C31" s="354">
        <v>25</v>
      </c>
      <c r="D31" s="354">
        <v>2253</v>
      </c>
      <c r="E31" s="355">
        <v>30</v>
      </c>
      <c r="F31" s="355">
        <v>25</v>
      </c>
      <c r="G31" s="355">
        <v>2899</v>
      </c>
      <c r="H31" s="750">
        <v>219000</v>
      </c>
      <c r="I31" s="774" t="s">
        <v>297</v>
      </c>
    </row>
    <row r="32" spans="2:10" s="39" customFormat="1" hidden="1">
      <c r="B32" s="353">
        <v>32</v>
      </c>
      <c r="C32" s="354">
        <v>329</v>
      </c>
      <c r="D32" s="354">
        <v>2226</v>
      </c>
      <c r="E32" s="355">
        <v>32</v>
      </c>
      <c r="F32" s="355">
        <v>50</v>
      </c>
      <c r="G32" s="355">
        <v>2226</v>
      </c>
      <c r="H32" s="567">
        <v>80000</v>
      </c>
      <c r="I32" s="917" t="s">
        <v>698</v>
      </c>
    </row>
    <row r="33" spans="2:11" s="39" customFormat="1" hidden="1">
      <c r="B33" s="353">
        <v>32</v>
      </c>
      <c r="C33" s="354">
        <v>50</v>
      </c>
      <c r="D33" s="354">
        <v>2226</v>
      </c>
      <c r="E33" s="355">
        <v>32</v>
      </c>
      <c r="F33" s="355">
        <v>329</v>
      </c>
      <c r="G33" s="355">
        <v>2226</v>
      </c>
      <c r="H33" s="750">
        <v>22466.91</v>
      </c>
      <c r="I33" s="697" t="s">
        <v>698</v>
      </c>
    </row>
    <row r="34" spans="2:11" s="39" customFormat="1" hidden="1">
      <c r="B34" s="353">
        <v>30</v>
      </c>
      <c r="C34" s="354">
        <v>25</v>
      </c>
      <c r="D34" s="354">
        <v>2253</v>
      </c>
      <c r="E34" s="355">
        <v>30</v>
      </c>
      <c r="F34" s="355">
        <v>25</v>
      </c>
      <c r="G34" s="355">
        <v>3487</v>
      </c>
      <c r="H34" s="567">
        <v>317420.40999999997</v>
      </c>
      <c r="I34" s="774" t="s">
        <v>297</v>
      </c>
    </row>
    <row r="35" spans="2:11" s="39" customFormat="1" hidden="1">
      <c r="B35" s="358">
        <v>32</v>
      </c>
      <c r="C35" s="359">
        <v>75</v>
      </c>
      <c r="D35" s="359">
        <v>2229</v>
      </c>
      <c r="E35" s="360">
        <v>32</v>
      </c>
      <c r="F35" s="360">
        <v>314</v>
      </c>
      <c r="G35" s="360">
        <v>2229</v>
      </c>
      <c r="H35" s="750">
        <v>9413</v>
      </c>
      <c r="I35" s="697" t="s">
        <v>698</v>
      </c>
    </row>
    <row r="36" spans="2:11" s="39" customFormat="1" hidden="1">
      <c r="B36" s="358">
        <v>32</v>
      </c>
      <c r="C36" s="474">
        <v>84</v>
      </c>
      <c r="D36" s="359">
        <v>2226</v>
      </c>
      <c r="E36" s="475">
        <v>32</v>
      </c>
      <c r="F36" s="360">
        <v>50</v>
      </c>
      <c r="G36" s="360">
        <v>2226</v>
      </c>
      <c r="H36" s="567">
        <v>848.6</v>
      </c>
      <c r="I36" s="917" t="s">
        <v>698</v>
      </c>
    </row>
    <row r="37" spans="2:11" s="39" customFormat="1" hidden="1">
      <c r="B37" s="358">
        <v>32</v>
      </c>
      <c r="C37" s="474">
        <v>75</v>
      </c>
      <c r="D37" s="359">
        <v>2229</v>
      </c>
      <c r="E37" s="475">
        <v>32</v>
      </c>
      <c r="F37" s="360">
        <v>44</v>
      </c>
      <c r="G37" s="360">
        <v>2229</v>
      </c>
      <c r="H37" s="918">
        <v>2186.67</v>
      </c>
      <c r="I37" s="697" t="s">
        <v>698</v>
      </c>
    </row>
    <row r="38" spans="2:11" s="39" customFormat="1" hidden="1">
      <c r="B38" s="358">
        <v>32</v>
      </c>
      <c r="C38" s="476">
        <v>75</v>
      </c>
      <c r="D38" s="359">
        <v>2229</v>
      </c>
      <c r="E38" s="477">
        <v>32</v>
      </c>
      <c r="F38" s="360">
        <v>44</v>
      </c>
      <c r="G38" s="360">
        <v>2229</v>
      </c>
      <c r="H38" s="567">
        <v>0.16</v>
      </c>
      <c r="I38" s="917" t="s">
        <v>698</v>
      </c>
    </row>
    <row r="39" spans="2:11" s="39" customFormat="1" hidden="1">
      <c r="B39" s="358">
        <v>32</v>
      </c>
      <c r="C39" s="476">
        <v>84</v>
      </c>
      <c r="D39" s="359">
        <v>2226</v>
      </c>
      <c r="E39" s="477">
        <v>32</v>
      </c>
      <c r="F39" s="360">
        <v>50</v>
      </c>
      <c r="G39" s="360">
        <v>2226</v>
      </c>
      <c r="H39" s="750">
        <v>4863.92</v>
      </c>
      <c r="I39" s="697" t="s">
        <v>698</v>
      </c>
    </row>
    <row r="40" spans="2:11" hidden="1">
      <c r="B40" s="358">
        <v>30</v>
      </c>
      <c r="C40" s="476">
        <v>25</v>
      </c>
      <c r="D40" s="359">
        <v>2253</v>
      </c>
      <c r="E40" s="477"/>
      <c r="F40" s="360"/>
      <c r="G40" s="360"/>
      <c r="H40" s="567">
        <v>10000000</v>
      </c>
      <c r="I40" s="487"/>
    </row>
    <row r="41" spans="2:11" hidden="1">
      <c r="B41" s="359"/>
      <c r="C41" s="476"/>
      <c r="D41" s="359"/>
      <c r="E41" s="477">
        <v>30</v>
      </c>
      <c r="F41" s="360">
        <v>25</v>
      </c>
      <c r="G41" s="360">
        <v>2253</v>
      </c>
      <c r="H41" s="750">
        <v>15130700</v>
      </c>
      <c r="I41" s="487"/>
    </row>
    <row r="42" spans="2:11">
      <c r="B42" s="358">
        <v>29</v>
      </c>
      <c r="C42" s="476">
        <v>681</v>
      </c>
      <c r="D42" s="359">
        <v>3014</v>
      </c>
      <c r="E42" s="477">
        <v>29</v>
      </c>
      <c r="F42" s="360">
        <v>681</v>
      </c>
      <c r="G42" s="360"/>
      <c r="H42" s="750">
        <v>515000</v>
      </c>
      <c r="I42" s="487"/>
    </row>
    <row r="43" spans="2:11">
      <c r="B43" s="358">
        <v>29</v>
      </c>
      <c r="C43" s="476">
        <v>681</v>
      </c>
      <c r="D43" s="359">
        <v>3014</v>
      </c>
      <c r="E43" s="477">
        <v>29</v>
      </c>
      <c r="F43" s="360">
        <v>681</v>
      </c>
      <c r="G43" s="360"/>
      <c r="H43" s="567">
        <v>496000</v>
      </c>
      <c r="I43" s="487"/>
    </row>
    <row r="44" spans="2:11" hidden="1">
      <c r="B44" s="358">
        <v>32</v>
      </c>
      <c r="C44" s="476">
        <v>122</v>
      </c>
      <c r="D44" s="359">
        <v>2229</v>
      </c>
      <c r="E44" s="477">
        <v>32</v>
      </c>
      <c r="F44" s="360">
        <v>245</v>
      </c>
      <c r="G44" s="360">
        <v>2229</v>
      </c>
      <c r="H44" s="919">
        <v>12000</v>
      </c>
      <c r="I44" s="487" t="s">
        <v>687</v>
      </c>
    </row>
    <row r="45" spans="2:11" hidden="1">
      <c r="B45" s="358">
        <v>32</v>
      </c>
      <c r="C45" s="476">
        <v>89</v>
      </c>
      <c r="D45" s="359">
        <v>2226</v>
      </c>
      <c r="E45" s="477">
        <v>32</v>
      </c>
      <c r="F45" s="360">
        <v>84</v>
      </c>
      <c r="G45" s="360">
        <v>2226</v>
      </c>
      <c r="H45" s="567">
        <v>38393.86</v>
      </c>
      <c r="I45" s="487" t="s">
        <v>687</v>
      </c>
      <c r="K45" s="10"/>
    </row>
    <row r="46" spans="2:11" hidden="1">
      <c r="B46" s="358">
        <v>32</v>
      </c>
      <c r="C46" s="476">
        <v>108</v>
      </c>
      <c r="D46" s="359">
        <v>2226</v>
      </c>
      <c r="E46" s="477">
        <v>32</v>
      </c>
      <c r="F46" s="360">
        <v>84</v>
      </c>
      <c r="G46" s="360">
        <v>2226</v>
      </c>
      <c r="H46" s="919">
        <v>110000</v>
      </c>
      <c r="I46" s="487" t="s">
        <v>687</v>
      </c>
    </row>
    <row r="47" spans="2:11" hidden="1">
      <c r="B47" s="358">
        <v>32</v>
      </c>
      <c r="C47" s="476">
        <v>237</v>
      </c>
      <c r="D47" s="359">
        <v>2229</v>
      </c>
      <c r="E47" s="477">
        <v>32</v>
      </c>
      <c r="F47" s="360">
        <v>73</v>
      </c>
      <c r="G47" s="360">
        <v>2268</v>
      </c>
      <c r="H47" s="567">
        <v>314393.33</v>
      </c>
      <c r="I47" s="774" t="s">
        <v>297</v>
      </c>
      <c r="K47" s="10"/>
    </row>
    <row r="48" spans="2:11" hidden="1">
      <c r="B48" s="358">
        <v>32</v>
      </c>
      <c r="C48" s="476">
        <v>242</v>
      </c>
      <c r="D48" s="359">
        <v>2229</v>
      </c>
      <c r="E48" s="477">
        <v>32</v>
      </c>
      <c r="F48" s="360">
        <v>73</v>
      </c>
      <c r="G48" s="360">
        <v>2267</v>
      </c>
      <c r="H48" s="919">
        <v>601109.76000000001</v>
      </c>
      <c r="I48" s="774" t="s">
        <v>297</v>
      </c>
    </row>
    <row r="49" spans="2:11" hidden="1">
      <c r="B49" s="358">
        <v>32</v>
      </c>
      <c r="C49" s="476">
        <v>242</v>
      </c>
      <c r="D49" s="359">
        <v>2229</v>
      </c>
      <c r="E49" s="477">
        <v>32</v>
      </c>
      <c r="F49" s="360">
        <v>73</v>
      </c>
      <c r="G49" s="360">
        <v>2268</v>
      </c>
      <c r="H49" s="567">
        <v>142740.85999999999</v>
      </c>
      <c r="I49" s="774" t="s">
        <v>297</v>
      </c>
      <c r="K49" s="10"/>
    </row>
    <row r="50" spans="2:11" hidden="1">
      <c r="B50" s="358">
        <v>32</v>
      </c>
      <c r="C50" s="476">
        <v>73</v>
      </c>
      <c r="D50" s="359">
        <v>2266</v>
      </c>
      <c r="E50" s="477">
        <v>32</v>
      </c>
      <c r="F50" s="360">
        <v>56</v>
      </c>
      <c r="G50" s="360">
        <v>2232</v>
      </c>
      <c r="H50" s="919">
        <v>24557.9</v>
      </c>
      <c r="I50" s="774" t="s">
        <v>297</v>
      </c>
    </row>
    <row r="51" spans="2:11" hidden="1">
      <c r="B51" s="358">
        <v>30</v>
      </c>
      <c r="C51" s="476">
        <v>25</v>
      </c>
      <c r="D51" s="359">
        <v>2253</v>
      </c>
      <c r="E51" s="477"/>
      <c r="F51" s="360"/>
      <c r="G51" s="360"/>
      <c r="H51" s="486">
        <v>309572.21999999997</v>
      </c>
      <c r="I51" s="487" t="s">
        <v>699</v>
      </c>
    </row>
    <row r="52" spans="2:11" hidden="1">
      <c r="B52" s="358">
        <v>32</v>
      </c>
      <c r="C52" s="476">
        <v>242</v>
      </c>
      <c r="D52" s="359">
        <v>2229</v>
      </c>
      <c r="E52" s="477">
        <v>32</v>
      </c>
      <c r="F52" s="360">
        <v>242</v>
      </c>
      <c r="G52" s="360">
        <v>3484</v>
      </c>
      <c r="H52" s="919">
        <v>270305.64</v>
      </c>
      <c r="I52" s="487" t="s">
        <v>297</v>
      </c>
    </row>
    <row r="53" spans="2:11" hidden="1">
      <c r="B53" s="358">
        <v>32</v>
      </c>
      <c r="C53" s="476">
        <v>27</v>
      </c>
      <c r="D53" s="359">
        <v>3055</v>
      </c>
      <c r="E53" s="477">
        <v>30</v>
      </c>
      <c r="F53" s="360">
        <v>25</v>
      </c>
      <c r="G53" s="360">
        <v>2253</v>
      </c>
      <c r="H53" s="486">
        <v>40000</v>
      </c>
      <c r="I53" s="487" t="s">
        <v>297</v>
      </c>
    </row>
    <row r="54" spans="2:11" hidden="1">
      <c r="B54" s="358">
        <v>32</v>
      </c>
      <c r="C54" s="476">
        <v>41</v>
      </c>
      <c r="D54" s="359">
        <v>2229</v>
      </c>
      <c r="E54" s="477">
        <v>30</v>
      </c>
      <c r="F54" s="360">
        <v>25</v>
      </c>
      <c r="G54" s="360">
        <v>2253</v>
      </c>
      <c r="H54" s="486">
        <v>500</v>
      </c>
      <c r="I54" s="487" t="s">
        <v>297</v>
      </c>
    </row>
    <row r="55" spans="2:11" hidden="1">
      <c r="B55" s="358">
        <v>32</v>
      </c>
      <c r="C55" s="476">
        <v>41</v>
      </c>
      <c r="D55" s="359">
        <v>2230</v>
      </c>
      <c r="E55" s="477">
        <v>30</v>
      </c>
      <c r="F55" s="360">
        <v>25</v>
      </c>
      <c r="G55" s="360">
        <v>2253</v>
      </c>
      <c r="H55" s="486">
        <v>500</v>
      </c>
      <c r="I55" s="487" t="s">
        <v>297</v>
      </c>
    </row>
    <row r="56" spans="2:11" hidden="1">
      <c r="B56" s="358">
        <v>32</v>
      </c>
      <c r="C56" s="476">
        <v>41</v>
      </c>
      <c r="D56" s="359">
        <v>2268</v>
      </c>
      <c r="E56" s="477">
        <v>30</v>
      </c>
      <c r="F56" s="360">
        <v>25</v>
      </c>
      <c r="G56" s="360">
        <v>2253</v>
      </c>
      <c r="H56" s="486">
        <v>21850</v>
      </c>
      <c r="I56" s="487" t="s">
        <v>297</v>
      </c>
    </row>
    <row r="57" spans="2:11" hidden="1">
      <c r="B57" s="358">
        <v>32</v>
      </c>
      <c r="C57" s="476">
        <v>44</v>
      </c>
      <c r="D57" s="359">
        <v>2229</v>
      </c>
      <c r="E57" s="477">
        <v>30</v>
      </c>
      <c r="F57" s="360">
        <v>25</v>
      </c>
      <c r="G57" s="360">
        <v>2253</v>
      </c>
      <c r="H57" s="486">
        <v>2686.83</v>
      </c>
      <c r="I57" s="487" t="s">
        <v>297</v>
      </c>
    </row>
    <row r="58" spans="2:11" hidden="1">
      <c r="B58" s="358">
        <v>32</v>
      </c>
      <c r="C58" s="476">
        <v>47</v>
      </c>
      <c r="D58" s="359">
        <v>2225</v>
      </c>
      <c r="E58" s="477">
        <v>30</v>
      </c>
      <c r="F58" s="360">
        <v>25</v>
      </c>
      <c r="G58" s="360">
        <v>2253</v>
      </c>
      <c r="H58" s="486">
        <v>5700</v>
      </c>
      <c r="I58" s="487" t="s">
        <v>297</v>
      </c>
    </row>
    <row r="59" spans="2:11" hidden="1">
      <c r="B59" s="358">
        <v>32</v>
      </c>
      <c r="C59" s="476">
        <v>50</v>
      </c>
      <c r="D59" s="359">
        <v>2226</v>
      </c>
      <c r="E59" s="477">
        <v>30</v>
      </c>
      <c r="F59" s="360">
        <v>25</v>
      </c>
      <c r="G59" s="360">
        <v>2253</v>
      </c>
      <c r="H59" s="486">
        <v>249023.11</v>
      </c>
      <c r="I59" s="487" t="s">
        <v>297</v>
      </c>
    </row>
    <row r="60" spans="2:11" hidden="1">
      <c r="B60" s="358">
        <v>29</v>
      </c>
      <c r="C60" s="476">
        <v>69</v>
      </c>
      <c r="D60" s="359">
        <v>2248</v>
      </c>
      <c r="E60" s="477">
        <v>30</v>
      </c>
      <c r="F60" s="360">
        <v>25</v>
      </c>
      <c r="G60" s="360">
        <v>2253</v>
      </c>
      <c r="H60" s="486">
        <v>135550</v>
      </c>
      <c r="I60" s="487" t="s">
        <v>297</v>
      </c>
    </row>
    <row r="61" spans="2:11" hidden="1">
      <c r="B61" s="358">
        <v>32</v>
      </c>
      <c r="C61" s="476">
        <v>71</v>
      </c>
      <c r="D61" s="359">
        <v>2231</v>
      </c>
      <c r="E61" s="477">
        <v>30</v>
      </c>
      <c r="F61" s="360">
        <v>25</v>
      </c>
      <c r="G61" s="360">
        <v>2253</v>
      </c>
      <c r="H61" s="486">
        <v>500</v>
      </c>
      <c r="I61" s="487" t="s">
        <v>297</v>
      </c>
    </row>
    <row r="62" spans="2:11" hidden="1">
      <c r="B62" s="358">
        <v>32</v>
      </c>
      <c r="C62" s="476">
        <v>73</v>
      </c>
      <c r="D62" s="359">
        <v>2266</v>
      </c>
      <c r="E62" s="477">
        <v>30</v>
      </c>
      <c r="F62" s="360">
        <v>25</v>
      </c>
      <c r="G62" s="360">
        <v>2253</v>
      </c>
      <c r="H62" s="486">
        <v>299392.09999999998</v>
      </c>
      <c r="I62" s="487" t="s">
        <v>297</v>
      </c>
    </row>
    <row r="63" spans="2:11" hidden="1">
      <c r="B63" s="358">
        <v>32</v>
      </c>
      <c r="C63" s="476">
        <v>73</v>
      </c>
      <c r="D63" s="359">
        <v>2267</v>
      </c>
      <c r="E63" s="477">
        <v>30</v>
      </c>
      <c r="F63" s="360">
        <v>25</v>
      </c>
      <c r="G63" s="360">
        <v>2253</v>
      </c>
      <c r="H63" s="486">
        <v>630609.76</v>
      </c>
      <c r="I63" s="487" t="s">
        <v>297</v>
      </c>
    </row>
    <row r="64" spans="2:11" hidden="1">
      <c r="B64" s="358">
        <v>32</v>
      </c>
      <c r="C64" s="476">
        <v>73</v>
      </c>
      <c r="D64" s="359">
        <v>2268</v>
      </c>
      <c r="E64" s="477">
        <v>30</v>
      </c>
      <c r="F64" s="360">
        <v>25</v>
      </c>
      <c r="G64" s="360">
        <v>2253</v>
      </c>
      <c r="H64" s="486">
        <v>882384.19</v>
      </c>
      <c r="I64" s="487" t="s">
        <v>297</v>
      </c>
    </row>
    <row r="65" spans="2:9" hidden="1">
      <c r="B65" s="358">
        <v>32</v>
      </c>
      <c r="C65" s="476">
        <v>73</v>
      </c>
      <c r="D65" s="359">
        <v>2756</v>
      </c>
      <c r="E65" s="477">
        <v>30</v>
      </c>
      <c r="F65" s="360">
        <v>25</v>
      </c>
      <c r="G65" s="360">
        <v>2253</v>
      </c>
      <c r="H65" s="486">
        <v>1000</v>
      </c>
      <c r="I65" s="487" t="s">
        <v>297</v>
      </c>
    </row>
    <row r="66" spans="2:9" hidden="1">
      <c r="B66" s="358">
        <v>32</v>
      </c>
      <c r="C66" s="476">
        <v>76</v>
      </c>
      <c r="D66" s="359">
        <v>2229</v>
      </c>
      <c r="E66" s="477">
        <v>30</v>
      </c>
      <c r="F66" s="360">
        <v>25</v>
      </c>
      <c r="G66" s="360">
        <v>2253</v>
      </c>
      <c r="H66" s="486">
        <v>500</v>
      </c>
      <c r="I66" s="487" t="s">
        <v>297</v>
      </c>
    </row>
    <row r="67" spans="2:9" hidden="1">
      <c r="B67" s="358">
        <v>32</v>
      </c>
      <c r="C67" s="476">
        <v>78</v>
      </c>
      <c r="D67" s="359">
        <v>2229</v>
      </c>
      <c r="E67" s="477">
        <v>30</v>
      </c>
      <c r="F67" s="360">
        <v>25</v>
      </c>
      <c r="G67" s="360">
        <v>2253</v>
      </c>
      <c r="H67" s="486">
        <v>500</v>
      </c>
      <c r="I67" s="487" t="s">
        <v>297</v>
      </c>
    </row>
    <row r="68" spans="2:9" hidden="1">
      <c r="B68" s="358">
        <v>32</v>
      </c>
      <c r="C68" s="476">
        <v>84</v>
      </c>
      <c r="D68" s="359">
        <v>2226</v>
      </c>
      <c r="E68" s="477">
        <v>30</v>
      </c>
      <c r="F68" s="360">
        <v>25</v>
      </c>
      <c r="G68" s="360">
        <v>2253</v>
      </c>
      <c r="H68" s="486">
        <v>808820.97</v>
      </c>
      <c r="I68" s="487" t="s">
        <v>297</v>
      </c>
    </row>
    <row r="69" spans="2:9" hidden="1">
      <c r="B69" s="358">
        <v>32</v>
      </c>
      <c r="C69" s="476">
        <v>88</v>
      </c>
      <c r="D69" s="359">
        <v>2226</v>
      </c>
      <c r="E69" s="477">
        <v>30</v>
      </c>
      <c r="F69" s="360">
        <v>25</v>
      </c>
      <c r="G69" s="360">
        <v>2253</v>
      </c>
      <c r="H69" s="486">
        <v>99103.78</v>
      </c>
      <c r="I69" s="487" t="s">
        <v>297</v>
      </c>
    </row>
    <row r="70" spans="2:9" hidden="1">
      <c r="B70" s="358">
        <v>29</v>
      </c>
      <c r="C70" s="476">
        <v>92</v>
      </c>
      <c r="D70" s="359">
        <v>2244</v>
      </c>
      <c r="E70" s="477">
        <v>30</v>
      </c>
      <c r="F70" s="360">
        <v>25</v>
      </c>
      <c r="G70" s="360">
        <v>2253</v>
      </c>
      <c r="H70" s="486">
        <v>6000</v>
      </c>
      <c r="I70" s="487" t="s">
        <v>297</v>
      </c>
    </row>
    <row r="71" spans="2:9" hidden="1">
      <c r="B71" s="358">
        <v>32</v>
      </c>
      <c r="C71" s="476">
        <v>89</v>
      </c>
      <c r="D71" s="359">
        <v>2226</v>
      </c>
      <c r="E71" s="477">
        <v>30</v>
      </c>
      <c r="F71" s="360">
        <v>25</v>
      </c>
      <c r="G71" s="360">
        <v>2253</v>
      </c>
      <c r="H71" s="486">
        <v>21606.14</v>
      </c>
      <c r="I71" s="487" t="s">
        <v>297</v>
      </c>
    </row>
    <row r="72" spans="2:9" hidden="1">
      <c r="B72" s="358">
        <v>32</v>
      </c>
      <c r="C72" s="476">
        <v>104</v>
      </c>
      <c r="D72" s="359">
        <v>2229</v>
      </c>
      <c r="E72" s="477">
        <v>30</v>
      </c>
      <c r="F72" s="360">
        <v>25</v>
      </c>
      <c r="G72" s="360">
        <v>2253</v>
      </c>
      <c r="H72" s="486">
        <v>246152.31</v>
      </c>
      <c r="I72" s="487" t="s">
        <v>297</v>
      </c>
    </row>
    <row r="73" spans="2:9" hidden="1">
      <c r="B73" s="358">
        <v>32</v>
      </c>
      <c r="C73" s="476">
        <v>104</v>
      </c>
      <c r="D73" s="359">
        <v>2231</v>
      </c>
      <c r="E73" s="477">
        <v>30</v>
      </c>
      <c r="F73" s="360">
        <v>25</v>
      </c>
      <c r="G73" s="360">
        <v>2253</v>
      </c>
      <c r="H73" s="486">
        <v>478400</v>
      </c>
      <c r="I73" s="487" t="s">
        <v>297</v>
      </c>
    </row>
    <row r="74" spans="2:9" hidden="1">
      <c r="B74" s="358">
        <v>30</v>
      </c>
      <c r="C74" s="476">
        <v>104</v>
      </c>
      <c r="D74" s="359">
        <v>2258</v>
      </c>
      <c r="E74" s="477">
        <v>30</v>
      </c>
      <c r="F74" s="360">
        <v>25</v>
      </c>
      <c r="G74" s="360">
        <v>2253</v>
      </c>
      <c r="H74" s="486">
        <v>25065.53</v>
      </c>
      <c r="I74" s="487" t="s">
        <v>297</v>
      </c>
    </row>
    <row r="75" spans="2:9" hidden="1">
      <c r="B75" s="358">
        <v>30</v>
      </c>
      <c r="C75" s="476">
        <v>104</v>
      </c>
      <c r="D75" s="359">
        <v>2261</v>
      </c>
      <c r="E75" s="477">
        <v>30</v>
      </c>
      <c r="F75" s="360">
        <v>25</v>
      </c>
      <c r="G75" s="360">
        <v>2253</v>
      </c>
      <c r="H75" s="486">
        <v>12832.6</v>
      </c>
      <c r="I75" s="487" t="s">
        <v>297</v>
      </c>
    </row>
    <row r="76" spans="2:9" hidden="1">
      <c r="B76" s="358">
        <v>30</v>
      </c>
      <c r="C76" s="476">
        <v>104</v>
      </c>
      <c r="D76" s="359">
        <v>2262</v>
      </c>
      <c r="E76" s="477">
        <v>30</v>
      </c>
      <c r="F76" s="360">
        <v>25</v>
      </c>
      <c r="G76" s="360">
        <v>2253</v>
      </c>
      <c r="H76" s="486">
        <v>23173.42</v>
      </c>
      <c r="I76" s="487" t="s">
        <v>297</v>
      </c>
    </row>
    <row r="77" spans="2:9" hidden="1">
      <c r="B77" s="358">
        <v>29</v>
      </c>
      <c r="C77" s="476">
        <v>123</v>
      </c>
      <c r="D77" s="359">
        <v>2240</v>
      </c>
      <c r="E77" s="477">
        <v>30</v>
      </c>
      <c r="F77" s="360">
        <v>25</v>
      </c>
      <c r="G77" s="360">
        <v>2253</v>
      </c>
      <c r="H77" s="486">
        <v>500</v>
      </c>
      <c r="I77" s="487" t="s">
        <v>297</v>
      </c>
    </row>
    <row r="78" spans="2:9" hidden="1">
      <c r="B78" s="358">
        <v>29</v>
      </c>
      <c r="C78" s="476">
        <v>123</v>
      </c>
      <c r="D78" s="359">
        <v>2241</v>
      </c>
      <c r="E78" s="477">
        <v>30</v>
      </c>
      <c r="F78" s="360">
        <v>25</v>
      </c>
      <c r="G78" s="360">
        <v>2253</v>
      </c>
      <c r="H78" s="486">
        <v>500</v>
      </c>
      <c r="I78" s="487" t="s">
        <v>297</v>
      </c>
    </row>
    <row r="79" spans="2:9" hidden="1">
      <c r="B79" s="358">
        <v>29</v>
      </c>
      <c r="C79" s="476">
        <v>123</v>
      </c>
      <c r="D79" s="359">
        <v>2243</v>
      </c>
      <c r="E79" s="477">
        <v>30</v>
      </c>
      <c r="F79" s="360">
        <v>25</v>
      </c>
      <c r="G79" s="360">
        <v>2253</v>
      </c>
      <c r="H79" s="486">
        <v>500</v>
      </c>
      <c r="I79" s="487" t="s">
        <v>297</v>
      </c>
    </row>
    <row r="80" spans="2:9" hidden="1">
      <c r="B80" s="358">
        <v>29</v>
      </c>
      <c r="C80" s="476">
        <v>123</v>
      </c>
      <c r="D80" s="359">
        <v>2245</v>
      </c>
      <c r="E80" s="477">
        <v>30</v>
      </c>
      <c r="F80" s="360">
        <v>25</v>
      </c>
      <c r="G80" s="360">
        <v>2253</v>
      </c>
      <c r="H80" s="486">
        <v>9500</v>
      </c>
      <c r="I80" s="487" t="s">
        <v>297</v>
      </c>
    </row>
    <row r="81" spans="2:9" hidden="1">
      <c r="B81" s="358">
        <v>32</v>
      </c>
      <c r="C81" s="476">
        <v>136</v>
      </c>
      <c r="D81" s="359">
        <v>2230</v>
      </c>
      <c r="E81" s="477">
        <v>30</v>
      </c>
      <c r="F81" s="360">
        <v>25</v>
      </c>
      <c r="G81" s="360">
        <v>2253</v>
      </c>
      <c r="H81" s="486">
        <v>500</v>
      </c>
      <c r="I81" s="487" t="s">
        <v>297</v>
      </c>
    </row>
    <row r="82" spans="2:9" hidden="1">
      <c r="B82" s="358">
        <v>32</v>
      </c>
      <c r="C82" s="476">
        <v>138</v>
      </c>
      <c r="D82" s="359">
        <v>2226</v>
      </c>
      <c r="E82" s="477">
        <v>30</v>
      </c>
      <c r="F82" s="360">
        <v>25</v>
      </c>
      <c r="G82" s="360">
        <v>2253</v>
      </c>
      <c r="H82" s="486">
        <v>194962</v>
      </c>
      <c r="I82" s="487" t="s">
        <v>297</v>
      </c>
    </row>
    <row r="83" spans="2:9" hidden="1">
      <c r="B83" s="358">
        <v>32</v>
      </c>
      <c r="C83" s="476">
        <v>201</v>
      </c>
      <c r="D83" s="359">
        <v>2229</v>
      </c>
      <c r="E83" s="477">
        <v>30</v>
      </c>
      <c r="F83" s="360">
        <v>25</v>
      </c>
      <c r="G83" s="360">
        <v>2253</v>
      </c>
      <c r="H83" s="486">
        <v>500</v>
      </c>
      <c r="I83" s="487" t="s">
        <v>297</v>
      </c>
    </row>
    <row r="84" spans="2:9" hidden="1">
      <c r="B84" s="358">
        <v>32</v>
      </c>
      <c r="C84" s="476">
        <v>237</v>
      </c>
      <c r="D84" s="359">
        <v>2229</v>
      </c>
      <c r="E84" s="488">
        <v>30</v>
      </c>
      <c r="F84" s="360">
        <v>25</v>
      </c>
      <c r="G84" s="360">
        <v>2253</v>
      </c>
      <c r="H84" s="486">
        <v>1895686.64</v>
      </c>
      <c r="I84" s="487" t="s">
        <v>297</v>
      </c>
    </row>
    <row r="85" spans="2:9" hidden="1">
      <c r="B85" s="358">
        <v>32</v>
      </c>
      <c r="C85" s="476">
        <v>242</v>
      </c>
      <c r="D85" s="359">
        <v>2229</v>
      </c>
      <c r="E85" s="488">
        <v>30</v>
      </c>
      <c r="F85" s="360">
        <v>25</v>
      </c>
      <c r="G85" s="360">
        <v>2253</v>
      </c>
      <c r="H85" s="486">
        <v>1461224.98</v>
      </c>
      <c r="I85" s="487" t="s">
        <v>297</v>
      </c>
    </row>
    <row r="86" spans="2:9" hidden="1">
      <c r="B86" s="358">
        <v>32</v>
      </c>
      <c r="C86" s="476">
        <v>245</v>
      </c>
      <c r="D86" s="359">
        <v>2229</v>
      </c>
      <c r="E86" s="488">
        <v>30</v>
      </c>
      <c r="F86" s="360">
        <v>25</v>
      </c>
      <c r="G86" s="360">
        <v>2253</v>
      </c>
      <c r="H86" s="567">
        <v>20965</v>
      </c>
      <c r="I86" s="487" t="s">
        <v>297</v>
      </c>
    </row>
    <row r="87" spans="2:9" hidden="1">
      <c r="B87" s="358">
        <v>78</v>
      </c>
      <c r="C87" s="476">
        <v>262</v>
      </c>
      <c r="D87" s="359">
        <v>2755</v>
      </c>
      <c r="E87" s="488">
        <v>30</v>
      </c>
      <c r="F87" s="360">
        <v>25</v>
      </c>
      <c r="G87" s="360">
        <v>2253</v>
      </c>
      <c r="H87" s="486">
        <v>400</v>
      </c>
      <c r="I87" s="487" t="s">
        <v>297</v>
      </c>
    </row>
    <row r="88" spans="2:9" hidden="1">
      <c r="B88" s="358">
        <v>78</v>
      </c>
      <c r="C88" s="476">
        <v>262</v>
      </c>
      <c r="D88" s="359">
        <v>2957</v>
      </c>
      <c r="E88" s="488">
        <v>30</v>
      </c>
      <c r="F88" s="360">
        <v>25</v>
      </c>
      <c r="G88" s="360">
        <v>2253</v>
      </c>
      <c r="H88" s="486">
        <v>1000</v>
      </c>
      <c r="I88" s="487" t="s">
        <v>297</v>
      </c>
    </row>
    <row r="89" spans="2:9" hidden="1">
      <c r="B89" s="358">
        <v>32</v>
      </c>
      <c r="C89" s="476">
        <v>314</v>
      </c>
      <c r="D89" s="359">
        <v>2226</v>
      </c>
      <c r="E89" s="488">
        <v>30</v>
      </c>
      <c r="F89" s="360">
        <v>25</v>
      </c>
      <c r="G89" s="360">
        <v>2253</v>
      </c>
      <c r="H89" s="486">
        <v>12394.8</v>
      </c>
      <c r="I89" s="487" t="s">
        <v>297</v>
      </c>
    </row>
    <row r="90" spans="2:9" hidden="1">
      <c r="B90" s="358">
        <v>32</v>
      </c>
      <c r="C90" s="476">
        <v>314</v>
      </c>
      <c r="D90" s="359">
        <v>2229</v>
      </c>
      <c r="E90" s="488">
        <v>30</v>
      </c>
      <c r="F90" s="360">
        <v>25</v>
      </c>
      <c r="G90" s="360">
        <v>2253</v>
      </c>
      <c r="H90" s="486">
        <v>32206.5</v>
      </c>
      <c r="I90" s="487" t="s">
        <v>297</v>
      </c>
    </row>
    <row r="91" spans="2:9" hidden="1">
      <c r="B91" s="358">
        <v>32</v>
      </c>
      <c r="C91" s="476">
        <v>329</v>
      </c>
      <c r="D91" s="359">
        <v>2226</v>
      </c>
      <c r="E91" s="488">
        <v>30</v>
      </c>
      <c r="F91" s="360">
        <v>25</v>
      </c>
      <c r="G91" s="360">
        <v>2253</v>
      </c>
      <c r="H91" s="486">
        <v>22466.91</v>
      </c>
      <c r="I91" s="487" t="s">
        <v>297</v>
      </c>
    </row>
    <row r="92" spans="2:9" hidden="1">
      <c r="B92" s="358">
        <v>32</v>
      </c>
      <c r="C92" s="476">
        <v>329</v>
      </c>
      <c r="D92" s="359">
        <v>2229</v>
      </c>
      <c r="E92" s="488">
        <v>30</v>
      </c>
      <c r="F92" s="360">
        <v>25</v>
      </c>
      <c r="G92" s="360">
        <v>2253</v>
      </c>
      <c r="H92" s="486">
        <v>500</v>
      </c>
      <c r="I92" s="487" t="s">
        <v>297</v>
      </c>
    </row>
    <row r="93" spans="2:9" hidden="1">
      <c r="B93" s="358">
        <v>32</v>
      </c>
      <c r="C93" s="476">
        <v>420</v>
      </c>
      <c r="D93" s="359">
        <v>2668</v>
      </c>
      <c r="E93" s="488">
        <v>30</v>
      </c>
      <c r="F93" s="360">
        <v>25</v>
      </c>
      <c r="G93" s="360">
        <v>2253</v>
      </c>
      <c r="H93" s="486">
        <v>500</v>
      </c>
      <c r="I93" s="487" t="s">
        <v>297</v>
      </c>
    </row>
    <row r="94" spans="2:9" hidden="1">
      <c r="B94" s="358">
        <v>32</v>
      </c>
      <c r="C94" s="476">
        <v>436</v>
      </c>
      <c r="D94" s="359">
        <v>2229</v>
      </c>
      <c r="E94" s="488">
        <v>30</v>
      </c>
      <c r="F94" s="360">
        <v>25</v>
      </c>
      <c r="G94" s="360">
        <v>2253</v>
      </c>
      <c r="H94" s="486">
        <v>500</v>
      </c>
      <c r="I94" s="487" t="s">
        <v>297</v>
      </c>
    </row>
    <row r="95" spans="2:9" hidden="1">
      <c r="B95" s="358">
        <v>32</v>
      </c>
      <c r="C95" s="476">
        <v>443</v>
      </c>
      <c r="D95" s="359">
        <v>2229</v>
      </c>
      <c r="E95" s="488">
        <v>30</v>
      </c>
      <c r="F95" s="360">
        <v>25</v>
      </c>
      <c r="G95" s="360">
        <v>2253</v>
      </c>
      <c r="H95" s="486">
        <v>500</v>
      </c>
      <c r="I95" s="487" t="s">
        <v>297</v>
      </c>
    </row>
    <row r="96" spans="2:9" hidden="1">
      <c r="B96" s="358">
        <v>30</v>
      </c>
      <c r="C96" s="476">
        <v>524</v>
      </c>
      <c r="D96" s="359">
        <v>2251</v>
      </c>
      <c r="E96" s="488">
        <v>30</v>
      </c>
      <c r="F96" s="360">
        <v>25</v>
      </c>
      <c r="G96" s="360">
        <v>2253</v>
      </c>
      <c r="H96" s="486">
        <v>500</v>
      </c>
      <c r="I96" s="487" t="s">
        <v>297</v>
      </c>
    </row>
    <row r="97" spans="2:9" hidden="1">
      <c r="B97" s="358">
        <v>30</v>
      </c>
      <c r="C97" s="476">
        <v>524</v>
      </c>
      <c r="D97" s="359">
        <v>2256</v>
      </c>
      <c r="E97" s="488">
        <v>30</v>
      </c>
      <c r="F97" s="360">
        <v>25</v>
      </c>
      <c r="G97" s="360">
        <v>2253</v>
      </c>
      <c r="H97" s="486">
        <v>500</v>
      </c>
      <c r="I97" s="487" t="s">
        <v>297</v>
      </c>
    </row>
    <row r="98" spans="2:9" hidden="1">
      <c r="B98" s="358">
        <v>30</v>
      </c>
      <c r="C98" s="476">
        <v>524</v>
      </c>
      <c r="D98" s="359">
        <v>2262</v>
      </c>
      <c r="E98" s="488">
        <v>30</v>
      </c>
      <c r="F98" s="360">
        <v>25</v>
      </c>
      <c r="G98" s="360">
        <v>2253</v>
      </c>
      <c r="H98" s="567">
        <v>500</v>
      </c>
      <c r="I98" s="487" t="s">
        <v>297</v>
      </c>
    </row>
    <row r="99" spans="2:9" hidden="1">
      <c r="B99" s="358">
        <v>32</v>
      </c>
      <c r="C99" s="506">
        <v>106</v>
      </c>
      <c r="D99" s="358">
        <v>2227</v>
      </c>
      <c r="E99" s="507">
        <v>30</v>
      </c>
      <c r="F99" s="360">
        <v>25</v>
      </c>
      <c r="G99" s="360">
        <v>2253</v>
      </c>
      <c r="H99" s="508">
        <v>9500</v>
      </c>
      <c r="I99" s="487" t="s">
        <v>297</v>
      </c>
    </row>
    <row r="100" spans="2:9" hidden="1">
      <c r="B100" s="358">
        <v>32</v>
      </c>
      <c r="C100" s="506">
        <v>75</v>
      </c>
      <c r="D100" s="358">
        <v>2229</v>
      </c>
      <c r="E100" s="507">
        <v>30</v>
      </c>
      <c r="F100" s="360">
        <v>25</v>
      </c>
      <c r="G100" s="360">
        <v>2253</v>
      </c>
      <c r="H100" s="508">
        <v>324406.17</v>
      </c>
      <c r="I100" s="487" t="s">
        <v>297</v>
      </c>
    </row>
    <row r="101" spans="2:9" hidden="1">
      <c r="B101" s="358">
        <v>32</v>
      </c>
      <c r="C101" s="506">
        <v>117</v>
      </c>
      <c r="D101" s="358">
        <v>2229</v>
      </c>
      <c r="E101" s="507">
        <v>30</v>
      </c>
      <c r="F101" s="360">
        <v>25</v>
      </c>
      <c r="G101" s="360">
        <v>2253</v>
      </c>
      <c r="H101" s="508">
        <v>10000</v>
      </c>
      <c r="I101" s="487" t="s">
        <v>297</v>
      </c>
    </row>
    <row r="102" spans="2:9" hidden="1">
      <c r="B102" s="358">
        <v>32</v>
      </c>
      <c r="C102" s="506">
        <v>122</v>
      </c>
      <c r="D102" s="358">
        <v>2229</v>
      </c>
      <c r="E102" s="507">
        <v>30</v>
      </c>
      <c r="F102" s="360">
        <v>25</v>
      </c>
      <c r="G102" s="360">
        <v>2253</v>
      </c>
      <c r="H102" s="508">
        <v>4658.5</v>
      </c>
      <c r="I102" s="487" t="s">
        <v>297</v>
      </c>
    </row>
    <row r="103" spans="2:9" hidden="1">
      <c r="B103" s="358">
        <v>30</v>
      </c>
      <c r="C103" s="506">
        <v>25</v>
      </c>
      <c r="D103" s="358">
        <v>2253</v>
      </c>
      <c r="E103" s="507">
        <v>30</v>
      </c>
      <c r="F103" s="360">
        <v>25</v>
      </c>
      <c r="G103" s="360">
        <v>3487</v>
      </c>
      <c r="H103" s="508">
        <v>194154.62</v>
      </c>
      <c r="I103" s="487" t="s">
        <v>297</v>
      </c>
    </row>
    <row r="104" spans="2:9" hidden="1">
      <c r="B104" s="358">
        <v>30</v>
      </c>
      <c r="C104" s="506">
        <v>25</v>
      </c>
      <c r="D104" s="358">
        <v>2899</v>
      </c>
      <c r="E104" s="507">
        <v>30</v>
      </c>
      <c r="F104" s="360">
        <v>25</v>
      </c>
      <c r="G104" s="360">
        <v>2253</v>
      </c>
      <c r="H104" s="508">
        <v>220000</v>
      </c>
      <c r="I104" s="487" t="s">
        <v>297</v>
      </c>
    </row>
    <row r="105" spans="2:9" hidden="1">
      <c r="B105" s="358">
        <v>30</v>
      </c>
      <c r="C105" s="506">
        <v>25</v>
      </c>
      <c r="D105" s="358">
        <v>3487</v>
      </c>
      <c r="E105" s="507">
        <v>30</v>
      </c>
      <c r="F105" s="360">
        <v>25</v>
      </c>
      <c r="G105" s="360">
        <v>2253</v>
      </c>
      <c r="H105" s="508">
        <v>37826.370000000003</v>
      </c>
      <c r="I105" s="487" t="s">
        <v>297</v>
      </c>
    </row>
    <row r="106" spans="2:9" hidden="1">
      <c r="B106" s="358">
        <v>32</v>
      </c>
      <c r="C106" s="506">
        <v>27</v>
      </c>
      <c r="D106" s="358">
        <v>3055</v>
      </c>
      <c r="E106" s="507">
        <v>32</v>
      </c>
      <c r="F106" s="360">
        <v>73</v>
      </c>
      <c r="G106" s="360">
        <v>2267</v>
      </c>
      <c r="H106" s="508">
        <v>20000</v>
      </c>
      <c r="I106" s="487" t="s">
        <v>297</v>
      </c>
    </row>
    <row r="107" spans="2:9" hidden="1">
      <c r="B107" s="358">
        <v>32</v>
      </c>
      <c r="C107" s="506">
        <v>86</v>
      </c>
      <c r="D107" s="358">
        <v>2226</v>
      </c>
      <c r="E107" s="507">
        <v>32</v>
      </c>
      <c r="F107" s="507">
        <v>73</v>
      </c>
      <c r="G107" s="507">
        <v>2268</v>
      </c>
      <c r="H107" s="508">
        <v>72750</v>
      </c>
      <c r="I107" s="487" t="s">
        <v>297</v>
      </c>
    </row>
    <row r="108" spans="2:9" hidden="1">
      <c r="B108" s="358">
        <v>32</v>
      </c>
      <c r="C108" s="506">
        <v>88</v>
      </c>
      <c r="D108" s="358">
        <v>2226</v>
      </c>
      <c r="E108" s="507">
        <v>32</v>
      </c>
      <c r="F108" s="507">
        <v>73</v>
      </c>
      <c r="G108" s="507">
        <v>2268</v>
      </c>
      <c r="H108" s="508">
        <v>78000</v>
      </c>
      <c r="I108" s="487" t="s">
        <v>297</v>
      </c>
    </row>
    <row r="109" spans="2:9">
      <c r="B109" s="358">
        <v>79</v>
      </c>
      <c r="C109" s="530">
        <v>681</v>
      </c>
      <c r="D109" s="358">
        <v>3013</v>
      </c>
      <c r="E109" s="531">
        <v>79</v>
      </c>
      <c r="F109" s="507">
        <v>681</v>
      </c>
      <c r="G109" s="507">
        <v>3785</v>
      </c>
      <c r="H109" s="532">
        <v>73080</v>
      </c>
      <c r="I109" s="487"/>
    </row>
    <row r="110" spans="2:9">
      <c r="B110" s="358">
        <v>79</v>
      </c>
      <c r="C110" s="530">
        <v>681</v>
      </c>
      <c r="D110" s="358">
        <v>3013</v>
      </c>
      <c r="E110" s="531">
        <v>79</v>
      </c>
      <c r="F110" s="507">
        <v>681</v>
      </c>
      <c r="G110" s="507">
        <v>3757</v>
      </c>
      <c r="H110" s="508">
        <v>430762.4</v>
      </c>
      <c r="I110" s="487"/>
    </row>
    <row r="111" spans="2:9" hidden="1">
      <c r="B111" s="358"/>
      <c r="C111" s="558"/>
      <c r="D111" s="358"/>
      <c r="E111" s="559"/>
      <c r="F111" s="507"/>
      <c r="G111" s="507"/>
      <c r="H111" s="560"/>
      <c r="I111" s="487"/>
    </row>
    <row r="112" spans="2:9" hidden="1">
      <c r="B112" s="358"/>
      <c r="C112" s="558"/>
      <c r="D112" s="358"/>
      <c r="E112" s="559"/>
      <c r="F112" s="507"/>
      <c r="G112" s="507"/>
      <c r="H112" s="560"/>
      <c r="I112" s="487"/>
    </row>
    <row r="113" spans="2:9" hidden="1">
      <c r="B113" s="358"/>
      <c r="C113" s="558"/>
      <c r="D113" s="358"/>
      <c r="E113" s="559"/>
      <c r="F113" s="507"/>
      <c r="G113" s="507"/>
      <c r="H113" s="560"/>
      <c r="I113" s="487"/>
    </row>
    <row r="114" spans="2:9" hidden="1">
      <c r="B114" s="358"/>
      <c r="C114" s="558"/>
      <c r="D114" s="358"/>
      <c r="E114" s="559"/>
      <c r="F114" s="507"/>
      <c r="G114" s="507"/>
      <c r="H114" s="560"/>
      <c r="I114" s="487"/>
    </row>
    <row r="115" spans="2:9" hidden="1">
      <c r="B115" s="358"/>
      <c r="C115" s="558"/>
      <c r="D115" s="358"/>
      <c r="E115" s="559"/>
      <c r="F115" s="507"/>
      <c r="G115" s="507"/>
      <c r="H115" s="560"/>
      <c r="I115" s="487"/>
    </row>
    <row r="116" spans="2:9" hidden="1">
      <c r="B116" s="358"/>
      <c r="C116" s="476"/>
      <c r="D116" s="358"/>
      <c r="E116" s="488"/>
      <c r="F116" s="507"/>
      <c r="G116" s="507"/>
      <c r="H116" s="560"/>
      <c r="I116" s="487"/>
    </row>
    <row r="117" spans="2:9" hidden="1">
      <c r="B117" s="358"/>
      <c r="C117" s="476"/>
      <c r="D117" s="358"/>
      <c r="E117" s="488"/>
      <c r="F117" s="507"/>
      <c r="G117" s="507"/>
      <c r="H117" s="560"/>
      <c r="I117" s="487"/>
    </row>
    <row r="118" spans="2:9" hidden="1">
      <c r="B118" s="358"/>
      <c r="C118" s="558"/>
      <c r="D118" s="358"/>
      <c r="E118" s="559"/>
      <c r="F118" s="507"/>
      <c r="G118" s="507"/>
      <c r="H118" s="560"/>
      <c r="I118" s="487"/>
    </row>
    <row r="119" spans="2:9" hidden="1">
      <c r="B119" s="358"/>
      <c r="C119" s="558"/>
      <c r="D119" s="358"/>
      <c r="E119" s="559"/>
      <c r="F119" s="507"/>
      <c r="G119" s="507"/>
      <c r="H119" s="560"/>
      <c r="I119" s="487"/>
    </row>
    <row r="120" spans="2:9" hidden="1">
      <c r="B120" s="358"/>
      <c r="C120" s="558"/>
      <c r="D120" s="358"/>
      <c r="E120" s="559"/>
      <c r="F120" s="507"/>
      <c r="G120" s="507"/>
      <c r="H120" s="560"/>
      <c r="I120" s="487"/>
    </row>
    <row r="121" spans="2:9" hidden="1">
      <c r="B121" s="358"/>
      <c r="C121" s="558"/>
      <c r="D121" s="358"/>
      <c r="E121" s="559"/>
      <c r="F121" s="507"/>
      <c r="G121" s="507"/>
      <c r="H121" s="560"/>
      <c r="I121" s="487"/>
    </row>
    <row r="122" spans="2:9" hidden="1">
      <c r="B122" s="358"/>
      <c r="C122" s="580"/>
      <c r="D122" s="358"/>
      <c r="E122" s="559"/>
      <c r="F122" s="507"/>
      <c r="G122" s="507"/>
      <c r="H122" s="560"/>
      <c r="I122" s="487"/>
    </row>
    <row r="123" spans="2:9" hidden="1">
      <c r="B123" s="579"/>
      <c r="C123" s="558"/>
      <c r="D123" s="558"/>
      <c r="E123" s="559"/>
      <c r="F123" s="507"/>
      <c r="G123" s="507"/>
      <c r="H123" s="560"/>
      <c r="I123" s="487"/>
    </row>
    <row r="124" spans="2:9" hidden="1">
      <c r="B124" s="579"/>
      <c r="C124" s="558"/>
      <c r="D124" s="558"/>
      <c r="E124" s="559"/>
      <c r="F124" s="559"/>
      <c r="G124" s="559"/>
      <c r="H124" s="560"/>
      <c r="I124" s="487"/>
    </row>
    <row r="125" spans="2:9" hidden="1">
      <c r="B125" s="579"/>
      <c r="C125" s="558"/>
      <c r="D125" s="558"/>
      <c r="E125" s="559"/>
      <c r="F125" s="559"/>
      <c r="G125" s="507"/>
      <c r="H125" s="560"/>
      <c r="I125" s="487"/>
    </row>
    <row r="126" spans="2:9" hidden="1">
      <c r="B126" s="579"/>
      <c r="C126" s="603"/>
      <c r="D126" s="558"/>
      <c r="E126" s="604"/>
      <c r="F126" s="559"/>
      <c r="G126" s="507"/>
      <c r="H126" s="605"/>
      <c r="I126" s="487"/>
    </row>
    <row r="127" spans="2:9" hidden="1">
      <c r="B127" s="579"/>
      <c r="C127" s="476"/>
      <c r="D127" s="558"/>
      <c r="E127" s="488"/>
      <c r="F127" s="559"/>
      <c r="G127" s="507"/>
      <c r="H127" s="545"/>
      <c r="I127" s="487"/>
    </row>
    <row r="128" spans="2:9" hidden="1">
      <c r="B128" s="579"/>
      <c r="C128" s="476"/>
      <c r="D128" s="558"/>
      <c r="E128" s="488"/>
      <c r="F128" s="559"/>
      <c r="G128" s="507"/>
      <c r="H128" s="545"/>
      <c r="I128" s="487"/>
    </row>
    <row r="129" spans="2:9" hidden="1">
      <c r="B129" s="579"/>
      <c r="C129" s="476"/>
      <c r="D129" s="558"/>
      <c r="E129" s="488"/>
      <c r="F129" s="559"/>
      <c r="G129" s="507"/>
      <c r="H129" s="545"/>
      <c r="I129" s="487"/>
    </row>
    <row r="130" spans="2:9" hidden="1">
      <c r="B130" s="579"/>
      <c r="C130" s="637"/>
      <c r="D130" s="558"/>
      <c r="E130" s="638"/>
      <c r="F130" s="559"/>
      <c r="G130" s="507"/>
      <c r="H130" s="639"/>
      <c r="I130" s="487"/>
    </row>
    <row r="131" spans="2:9" hidden="1">
      <c r="B131" s="579"/>
      <c r="C131" s="637"/>
      <c r="D131" s="558"/>
      <c r="E131" s="638"/>
      <c r="F131" s="559"/>
      <c r="G131" s="507"/>
      <c r="H131" s="639"/>
      <c r="I131" s="487"/>
    </row>
    <row r="132" spans="2:9" hidden="1">
      <c r="B132" s="579"/>
      <c r="C132" s="637"/>
      <c r="D132" s="558"/>
      <c r="E132" s="638"/>
      <c r="F132" s="559"/>
      <c r="G132" s="507"/>
      <c r="H132" s="639"/>
      <c r="I132" s="487"/>
    </row>
    <row r="133" spans="2:9" hidden="1">
      <c r="B133" s="579"/>
      <c r="C133" s="637"/>
      <c r="D133" s="558"/>
      <c r="E133" s="638"/>
      <c r="F133" s="559"/>
      <c r="G133" s="507"/>
      <c r="H133" s="639"/>
      <c r="I133" s="487"/>
    </row>
    <row r="134" spans="2:9" hidden="1">
      <c r="B134" s="579"/>
      <c r="C134" s="649"/>
      <c r="D134" s="558"/>
      <c r="E134" s="650"/>
      <c r="F134" s="559"/>
      <c r="G134" s="507"/>
      <c r="H134" s="651"/>
      <c r="I134" s="487"/>
    </row>
    <row r="135" spans="2:9" hidden="1">
      <c r="B135" s="579"/>
      <c r="C135" s="649"/>
      <c r="D135" s="558"/>
      <c r="E135" s="650"/>
      <c r="F135" s="559"/>
      <c r="G135" s="507"/>
      <c r="H135" s="651"/>
      <c r="I135" s="487"/>
    </row>
    <row r="136" spans="2:9" hidden="1">
      <c r="B136" s="579"/>
      <c r="C136" s="649"/>
      <c r="D136" s="558"/>
      <c r="E136" s="650"/>
      <c r="F136" s="559"/>
      <c r="G136" s="507"/>
      <c r="H136" s="651"/>
      <c r="I136" s="487"/>
    </row>
    <row r="137" spans="2:9" hidden="1">
      <c r="B137" s="579"/>
      <c r="C137" s="649"/>
      <c r="D137" s="558"/>
      <c r="E137" s="650"/>
      <c r="F137" s="559"/>
      <c r="G137" s="507"/>
      <c r="H137" s="651"/>
      <c r="I137" s="487"/>
    </row>
    <row r="138" spans="2:9" hidden="1">
      <c r="B138" s="579"/>
      <c r="C138" s="649"/>
      <c r="D138" s="558"/>
      <c r="E138" s="650"/>
      <c r="F138" s="559"/>
      <c r="G138" s="507"/>
      <c r="H138" s="651"/>
      <c r="I138" s="487"/>
    </row>
    <row r="139" spans="2:9" hidden="1">
      <c r="B139" s="579"/>
      <c r="C139" s="649"/>
      <c r="D139" s="558"/>
      <c r="E139" s="650"/>
      <c r="F139" s="559"/>
      <c r="G139" s="507"/>
      <c r="H139" s="651"/>
      <c r="I139" s="487"/>
    </row>
    <row r="140" spans="2:9" hidden="1">
      <c r="B140" s="579"/>
      <c r="C140" s="649"/>
      <c r="D140" s="558"/>
      <c r="E140" s="650"/>
      <c r="F140" s="559"/>
      <c r="G140" s="507"/>
      <c r="H140" s="651"/>
      <c r="I140" s="487"/>
    </row>
    <row r="141" spans="2:9" hidden="1">
      <c r="B141" s="579"/>
      <c r="C141" s="649"/>
      <c r="D141" s="558"/>
      <c r="E141" s="650"/>
      <c r="F141" s="559"/>
      <c r="G141" s="507"/>
      <c r="H141" s="651"/>
      <c r="I141" s="487"/>
    </row>
    <row r="142" spans="2:9" hidden="1">
      <c r="B142" s="579"/>
      <c r="C142" s="649"/>
      <c r="D142" s="558"/>
      <c r="E142" s="650"/>
      <c r="F142" s="559"/>
      <c r="G142" s="507"/>
      <c r="H142" s="651"/>
      <c r="I142" s="487"/>
    </row>
    <row r="143" spans="2:9" hidden="1">
      <c r="B143" s="579"/>
      <c r="C143" s="649"/>
      <c r="D143" s="558"/>
      <c r="E143" s="650"/>
      <c r="F143" s="559"/>
      <c r="G143" s="507"/>
      <c r="H143" s="651"/>
      <c r="I143" s="487"/>
    </row>
    <row r="144" spans="2:9" hidden="1">
      <c r="B144" s="579"/>
      <c r="C144" s="476"/>
      <c r="D144" s="558"/>
      <c r="E144" s="488"/>
      <c r="F144" s="559"/>
      <c r="G144" s="507"/>
      <c r="H144" s="545"/>
      <c r="I144" s="487"/>
    </row>
    <row r="145" spans="2:9" hidden="1">
      <c r="B145" s="579"/>
      <c r="C145" s="476"/>
      <c r="D145" s="558"/>
      <c r="E145" s="488"/>
      <c r="F145" s="559"/>
      <c r="G145" s="507"/>
      <c r="H145" s="545"/>
      <c r="I145" s="487"/>
    </row>
    <row r="146" spans="2:9" hidden="1">
      <c r="B146" s="579"/>
      <c r="C146" s="476"/>
      <c r="D146" s="558"/>
      <c r="E146" s="488"/>
      <c r="F146" s="559"/>
      <c r="G146" s="507"/>
      <c r="H146" s="545"/>
      <c r="I146" s="487"/>
    </row>
    <row r="147" spans="2:9" hidden="1">
      <c r="B147" s="579"/>
      <c r="C147" s="476"/>
      <c r="D147" s="558"/>
      <c r="E147" s="488"/>
      <c r="F147" s="559"/>
      <c r="G147" s="507"/>
      <c r="H147" s="545"/>
      <c r="I147" s="487"/>
    </row>
    <row r="148" spans="2:9" hidden="1">
      <c r="B148" s="579"/>
      <c r="C148" s="476"/>
      <c r="D148" s="558"/>
      <c r="E148" s="488"/>
      <c r="F148" s="559"/>
      <c r="G148" s="507"/>
      <c r="H148" s="545"/>
      <c r="I148" s="487"/>
    </row>
    <row r="149" spans="2:9" hidden="1">
      <c r="B149" s="579"/>
      <c r="C149" s="476"/>
      <c r="D149" s="558"/>
      <c r="E149" s="488"/>
      <c r="F149" s="559"/>
      <c r="G149" s="507"/>
      <c r="H149" s="545"/>
      <c r="I149" s="487"/>
    </row>
    <row r="150" spans="2:9" hidden="1">
      <c r="B150" s="579"/>
      <c r="C150" s="476"/>
      <c r="D150" s="558"/>
      <c r="E150" s="488"/>
      <c r="F150" s="559"/>
      <c r="G150" s="507"/>
      <c r="H150" s="545"/>
      <c r="I150" s="487"/>
    </row>
    <row r="151" spans="2:9" hidden="1">
      <c r="B151" s="579"/>
      <c r="C151" s="476"/>
      <c r="D151" s="558"/>
      <c r="E151" s="488"/>
      <c r="F151" s="559"/>
      <c r="G151" s="507"/>
      <c r="H151" s="545"/>
      <c r="I151" s="487"/>
    </row>
    <row r="152" spans="2:9" hidden="1">
      <c r="B152" s="579"/>
      <c r="C152" s="476"/>
      <c r="D152" s="558"/>
      <c r="E152" s="488"/>
      <c r="F152" s="559"/>
      <c r="G152" s="507"/>
      <c r="H152" s="545"/>
      <c r="I152" s="487"/>
    </row>
    <row r="153" spans="2:9" hidden="1">
      <c r="B153" s="579"/>
      <c r="C153" s="579"/>
      <c r="D153" s="579"/>
      <c r="E153" s="684"/>
      <c r="F153" s="684"/>
      <c r="G153" s="684"/>
      <c r="H153" s="685"/>
      <c r="I153" s="487"/>
    </row>
    <row r="154" spans="2:9" hidden="1">
      <c r="B154" s="579"/>
      <c r="C154" s="579"/>
      <c r="D154" s="579"/>
      <c r="E154" s="684"/>
      <c r="F154" s="684"/>
      <c r="G154" s="684"/>
      <c r="H154" s="685"/>
      <c r="I154" s="487"/>
    </row>
    <row r="155" spans="2:9" hidden="1">
      <c r="B155" s="358">
        <v>29</v>
      </c>
      <c r="C155" s="476">
        <v>69</v>
      </c>
      <c r="D155" s="358">
        <v>2248</v>
      </c>
      <c r="E155" s="488"/>
      <c r="F155" s="360"/>
      <c r="G155" s="360"/>
      <c r="H155" s="508">
        <v>2634497.33</v>
      </c>
      <c r="I155" s="487"/>
    </row>
    <row r="156" spans="2:9" hidden="1">
      <c r="B156" s="358">
        <v>29</v>
      </c>
      <c r="C156" s="476">
        <v>92</v>
      </c>
      <c r="D156" s="358">
        <v>2244</v>
      </c>
      <c r="E156" s="488"/>
      <c r="F156" s="360"/>
      <c r="G156" s="360"/>
      <c r="H156" s="545">
        <v>1402930</v>
      </c>
      <c r="I156" s="487"/>
    </row>
    <row r="157" spans="2:9" hidden="1">
      <c r="B157" s="358">
        <v>29</v>
      </c>
      <c r="C157" s="993">
        <v>123</v>
      </c>
      <c r="D157" s="358">
        <v>2246</v>
      </c>
      <c r="E157" s="998"/>
      <c r="F157" s="360"/>
      <c r="G157" s="360"/>
      <c r="H157" s="508">
        <v>317706.40000000002</v>
      </c>
      <c r="I157" s="995"/>
    </row>
    <row r="158" spans="2:9" hidden="1">
      <c r="B158" s="358">
        <v>29</v>
      </c>
      <c r="C158" s="993">
        <v>123</v>
      </c>
      <c r="D158" s="358">
        <v>2247</v>
      </c>
      <c r="E158" s="998"/>
      <c r="F158" s="360"/>
      <c r="G158" s="360"/>
      <c r="H158" s="994">
        <v>200000</v>
      </c>
      <c r="I158" s="995"/>
    </row>
    <row r="159" spans="2:9" hidden="1">
      <c r="B159" s="358">
        <v>29</v>
      </c>
      <c r="C159" s="993">
        <v>181</v>
      </c>
      <c r="D159" s="358">
        <v>2242</v>
      </c>
      <c r="E159" s="998"/>
      <c r="F159" s="360"/>
      <c r="G159" s="360"/>
      <c r="H159" s="994">
        <v>1140325.97</v>
      </c>
      <c r="I159" s="995"/>
    </row>
    <row r="160" spans="2:9" hidden="1">
      <c r="B160" s="358"/>
      <c r="C160" s="993"/>
      <c r="D160" s="358"/>
      <c r="E160" s="998"/>
      <c r="F160" s="360"/>
      <c r="G160" s="360"/>
      <c r="H160" s="994"/>
      <c r="I160" s="995"/>
    </row>
    <row r="161" spans="5:9">
      <c r="F161" s="617"/>
      <c r="G161" s="617"/>
      <c r="H161" s="618"/>
      <c r="I161" s="619"/>
    </row>
    <row r="162" spans="5:9">
      <c r="F162" s="617"/>
      <c r="G162" s="617"/>
      <c r="H162" s="618"/>
      <c r="I162" s="10"/>
    </row>
    <row r="163" spans="5:9">
      <c r="F163" s="617"/>
      <c r="G163" s="617"/>
      <c r="H163" s="618"/>
      <c r="I163" s="619"/>
    </row>
    <row r="164" spans="5:9">
      <c r="F164" s="617"/>
      <c r="G164" s="617"/>
      <c r="H164" s="618"/>
      <c r="I164" s="619"/>
    </row>
    <row r="165" spans="5:9">
      <c r="F165" s="617"/>
      <c r="G165" s="617"/>
      <c r="H165" s="618"/>
      <c r="I165" s="619"/>
    </row>
    <row r="166" spans="5:9">
      <c r="F166" s="617"/>
      <c r="G166" s="617"/>
      <c r="H166" s="618"/>
      <c r="I166" s="619"/>
    </row>
    <row r="167" spans="5:9">
      <c r="F167" s="617"/>
      <c r="G167" s="617"/>
      <c r="H167" s="618"/>
      <c r="I167" s="619"/>
    </row>
    <row r="168" spans="5:9">
      <c r="F168" s="617"/>
      <c r="G168" s="617"/>
      <c r="H168" s="618"/>
      <c r="I168" s="619"/>
    </row>
    <row r="169" spans="5:9">
      <c r="F169" s="617"/>
      <c r="G169" s="617"/>
      <c r="H169" s="618"/>
      <c r="I169" s="619"/>
    </row>
    <row r="170" spans="5:9">
      <c r="E170" s="617"/>
      <c r="F170" s="617"/>
      <c r="G170" s="617"/>
      <c r="H170" s="618"/>
      <c r="I170" s="619"/>
    </row>
    <row r="171" spans="5:9">
      <c r="F171" s="617"/>
      <c r="G171" s="617"/>
      <c r="H171" s="618"/>
      <c r="I171" s="619"/>
    </row>
    <row r="172" spans="5:9">
      <c r="F172" s="617"/>
      <c r="G172" s="617"/>
      <c r="H172" s="618"/>
      <c r="I172" s="619"/>
    </row>
    <row r="173" spans="5:9">
      <c r="F173" s="617"/>
      <c r="G173" s="617"/>
      <c r="H173" s="618"/>
      <c r="I173" s="619"/>
    </row>
    <row r="174" spans="5:9">
      <c r="F174" s="617"/>
      <c r="G174" s="617"/>
      <c r="H174" s="618"/>
      <c r="I174" s="619"/>
    </row>
  </sheetData>
  <sheetProtection formatCells="0" formatColumns="0" formatRows="0" insertColumns="0" insertRows="0" insertHyperlinks="0" sort="0" autoFilter="0" pivotTables="0"/>
  <phoneticPr fontId="9" type="noConversion"/>
  <pageMargins left="0.511811024" right="0.511811024" top="0.78740157499999996" bottom="0.78740157499999996" header="0.31496062000000002" footer="0.31496062000000002"/>
  <pageSetup paperSize="9" scale="65" orientation="landscape" r:id="rId1"/>
  <colBreaks count="1" manualBreakCount="1">
    <brk id="8" max="1048575" man="1"/>
  </colBreaks>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11">
    <tabColor theme="4" tint="0.59999389629810485"/>
  </sheetPr>
  <dimension ref="A1:S229"/>
  <sheetViews>
    <sheetView showGridLines="0" zoomScale="96" zoomScaleNormal="96" workbookViewId="0">
      <pane ySplit="1" topLeftCell="A101" activePane="bottomLeft" state="frozen"/>
      <selection pane="bottomLeft" activeCell="D70" sqref="D70"/>
    </sheetView>
  </sheetViews>
  <sheetFormatPr defaultColWidth="9.140625" defaultRowHeight="15"/>
  <cols>
    <col min="1" max="1" width="16.42578125" customWidth="1"/>
    <col min="2" max="2" width="16.140625" customWidth="1"/>
    <col min="3" max="3" width="18.5703125" bestFit="1" customWidth="1"/>
    <col min="4" max="4" width="17.85546875" style="18" customWidth="1"/>
    <col min="5" max="5" width="18.5703125" style="18" bestFit="1" customWidth="1"/>
    <col min="6" max="6" width="16.140625" bestFit="1" customWidth="1"/>
    <col min="7" max="7" width="18.42578125" customWidth="1"/>
    <col min="8" max="8" width="17.85546875" customWidth="1"/>
    <col min="9" max="9" width="15.85546875" customWidth="1"/>
    <col min="10" max="10" width="15" bestFit="1" customWidth="1"/>
    <col min="11" max="11" width="18.7109375" customWidth="1"/>
    <col min="12" max="12" width="15.42578125" customWidth="1"/>
    <col min="13" max="13" width="16.140625" bestFit="1" customWidth="1"/>
    <col min="14" max="14" width="16.7109375" style="12" customWidth="1"/>
    <col min="15" max="15" width="5.85546875" customWidth="1"/>
    <col min="16" max="16" width="12.85546875" customWidth="1"/>
    <col min="17" max="17" width="15" bestFit="1" customWidth="1"/>
    <col min="18" max="18" width="13.42578125" bestFit="1" customWidth="1"/>
  </cols>
  <sheetData>
    <row r="1" spans="1:17" ht="132.75" customHeight="1">
      <c r="A1" s="56"/>
      <c r="B1" s="56"/>
      <c r="C1" s="56"/>
      <c r="D1" s="1070"/>
      <c r="E1" s="1070"/>
      <c r="F1" s="1070"/>
      <c r="G1" s="1070"/>
      <c r="H1" s="1070"/>
      <c r="I1" s="1070"/>
      <c r="J1" s="1070"/>
      <c r="K1" s="1070"/>
      <c r="L1" s="19"/>
      <c r="M1" s="1058"/>
      <c r="N1" s="1058"/>
      <c r="O1" s="12"/>
      <c r="P1" s="275" t="s">
        <v>132</v>
      </c>
    </row>
    <row r="2" spans="1:17" ht="22.5" customHeight="1">
      <c r="A2" s="56"/>
      <c r="B2" s="56"/>
      <c r="C2" s="56"/>
      <c r="G2" s="1058"/>
      <c r="H2" s="1058"/>
      <c r="I2" s="75"/>
      <c r="J2" s="20"/>
      <c r="K2" s="20"/>
      <c r="L2" s="19"/>
      <c r="O2" s="12"/>
    </row>
    <row r="3" spans="1:17" ht="26.25" customHeight="1">
      <c r="A3" s="116">
        <v>76116</v>
      </c>
      <c r="B3" s="118" t="s">
        <v>120</v>
      </c>
      <c r="C3" s="118"/>
      <c r="D3" s="118"/>
      <c r="E3" s="119"/>
      <c r="F3" s="92" t="s">
        <v>116</v>
      </c>
      <c r="G3" s="92" t="s">
        <v>117</v>
      </c>
      <c r="H3" s="1062" t="s">
        <v>113</v>
      </c>
      <c r="I3" s="1062"/>
      <c r="J3" s="1062" t="s">
        <v>114</v>
      </c>
      <c r="K3" s="1062"/>
      <c r="L3" s="1062" t="s">
        <v>118</v>
      </c>
      <c r="M3" s="1062"/>
      <c r="N3" s="92" t="s">
        <v>115</v>
      </c>
      <c r="O3" s="12"/>
    </row>
    <row r="4" spans="1:17" ht="18.75" customHeight="1">
      <c r="A4" s="115"/>
      <c r="B4" s="115"/>
      <c r="C4" s="115"/>
      <c r="D4" s="115"/>
      <c r="E4" s="115"/>
      <c r="F4" s="133" t="str">
        <f>VALIDAÇÕES!C6</f>
        <v>25678/2022</v>
      </c>
      <c r="G4" s="134" t="str">
        <f>VALIDAÇÕES!D6</f>
        <v>24501/2022</v>
      </c>
      <c r="H4" s="1064">
        <f>VALIDAÇÕES!G6</f>
        <v>5040000</v>
      </c>
      <c r="I4" s="1064"/>
      <c r="J4" s="1064">
        <f>VALIDAÇÕES!H6</f>
        <v>3248000</v>
      </c>
      <c r="K4" s="1064"/>
      <c r="L4" s="1065">
        <f>VALIDAÇÕES!E6</f>
        <v>45526</v>
      </c>
      <c r="M4" s="1065"/>
      <c r="N4" s="203">
        <f>VALIDAÇÕES!F6</f>
        <v>45891</v>
      </c>
      <c r="O4" s="12"/>
    </row>
    <row r="5" spans="1:17" s="55" customFormat="1" ht="15.75" customHeight="1">
      <c r="A5" s="1059" t="s">
        <v>7</v>
      </c>
      <c r="B5" s="30" t="s">
        <v>44</v>
      </c>
      <c r="C5" s="30" t="s">
        <v>43</v>
      </c>
      <c r="D5" s="30" t="s">
        <v>45</v>
      </c>
      <c r="E5" s="30" t="s">
        <v>46</v>
      </c>
      <c r="F5" s="30" t="s">
        <v>47</v>
      </c>
      <c r="G5" s="30" t="s">
        <v>48</v>
      </c>
      <c r="H5" s="30" t="s">
        <v>49</v>
      </c>
      <c r="I5" s="30" t="s">
        <v>50</v>
      </c>
      <c r="J5" s="30" t="s">
        <v>51</v>
      </c>
      <c r="K5" s="30" t="s">
        <v>52</v>
      </c>
      <c r="L5" s="30" t="s">
        <v>53</v>
      </c>
      <c r="M5" s="30" t="s">
        <v>54</v>
      </c>
      <c r="N5" s="1072" t="s">
        <v>134</v>
      </c>
    </row>
    <row r="6" spans="1:17" ht="15" customHeight="1">
      <c r="A6" s="1059"/>
      <c r="B6" s="135"/>
      <c r="C6" s="135">
        <v>438900</v>
      </c>
      <c r="D6" s="135">
        <v>438900</v>
      </c>
      <c r="E6" s="135">
        <v>438900</v>
      </c>
      <c r="F6" s="135">
        <v>438900</v>
      </c>
      <c r="G6" s="135">
        <v>555940.15</v>
      </c>
      <c r="H6" s="135"/>
      <c r="I6" s="135"/>
      <c r="J6" s="135"/>
      <c r="K6" s="135"/>
      <c r="L6" s="135"/>
      <c r="M6" s="135"/>
      <c r="N6" s="1073"/>
      <c r="Q6" s="12"/>
    </row>
    <row r="7" spans="1:17" s="57" customFormat="1">
      <c r="A7" s="136" cm="1">
        <f t="array" ref="A7">IFERROR(INDEX(Tabela3[[CÓDIGO
 EMPRESA ]:[EMPENHO]],SMALL(IF(Tabela3[CÓDIGO
 EMPRESA ]='MEDIÇÃO '!$A$3,ROW(Tabela3[CÓDIGO
 EMPRESA ])-3),ROW(P1)),3),"")</f>
        <v>2916</v>
      </c>
      <c r="B7" s="137">
        <f>SUMIFS('LIQUIDAÇÃO 2025'!$K:$K,'LIQUIDAÇÃO 2025'!$B:$B,'MEDIÇÃO '!$A$3,'LIQUIDAÇÃO 2025'!$H:$H,'MEDIÇÃO '!B$5,'LIQUIDAÇÃO 2025'!$F:$F,'MEDIÇÃO '!$A$7)</f>
        <v>0</v>
      </c>
      <c r="C7" s="137">
        <f>SUMIFS('LIQUIDAÇÃO 2025'!$K:$K,'LIQUIDAÇÃO 2025'!$B:$B,'MEDIÇÃO '!$A$3,'LIQUIDAÇÃO 2025'!$H:$H,'MEDIÇÃO '!C$5,'LIQUIDAÇÃO 2025'!$F:$F,'MEDIÇÃO '!A7)</f>
        <v>238174.35</v>
      </c>
      <c r="D7" s="137">
        <f>SUMIFS('LIQUIDAÇÃO 2025'!$K:$K,'LIQUIDAÇÃO 2025'!$B:$B,'MEDIÇÃO '!$A$3,'LIQUIDAÇÃO 2025'!$H:$H,'MEDIÇÃO '!D$5,'LIQUIDAÇÃO 2025'!$F:$F,'MEDIÇÃO '!A7)</f>
        <v>200725.65</v>
      </c>
      <c r="E7" s="137">
        <f>SUMIFS('LIQUIDAÇÃO 2025'!$K:$K,'LIQUIDAÇÃO 2025'!$B:$B,'MEDIÇÃO '!$A$3,'LIQUIDAÇÃO 2025'!$H:$H,'MEDIÇÃO '!E$5,'LIQUIDAÇÃO 2025'!$F:$F,'MEDIÇÃO '!A7)</f>
        <v>0</v>
      </c>
      <c r="F7" s="137">
        <f>SUMIFS('LIQUIDAÇÃO 2025'!$K:$K,'LIQUIDAÇÃO 2025'!$B:$B,'MEDIÇÃO '!$A$3,'LIQUIDAÇÃO 2025'!$H:$H,'MEDIÇÃO '!F$5,'LIQUIDAÇÃO 2025'!$F:$F,'MEDIÇÃO '!A7)</f>
        <v>0</v>
      </c>
      <c r="G7" s="137">
        <f>SUMIFS('LIQUIDAÇÃO 2025'!$K:$K,'LIQUIDAÇÃO 2025'!$B:$B,'MEDIÇÃO '!$A$3,'LIQUIDAÇÃO 2025'!$H:$H,'MEDIÇÃO '!G$5,'LIQUIDAÇÃO 2025'!$F:$F,'MEDIÇÃO '!A7)</f>
        <v>0</v>
      </c>
      <c r="H7" s="137">
        <f>SUMIFS('LIQUIDAÇÃO 2025'!$K:$K,'LIQUIDAÇÃO 2025'!$B:$B,'MEDIÇÃO '!$A$3,'LIQUIDAÇÃO 2025'!$H:$H,'MEDIÇÃO '!H$5,'LIQUIDAÇÃO 2025'!$F:$F,'MEDIÇÃO '!A7)</f>
        <v>0</v>
      </c>
      <c r="I7" s="137">
        <f>SUMIFS('LIQUIDAÇÃO 2025'!$K:$K,'LIQUIDAÇÃO 2025'!$B:$B,'MEDIÇÃO '!$A$3,'LIQUIDAÇÃO 2025'!$H:$H,'MEDIÇÃO '!I$5,'LIQUIDAÇÃO 2025'!$F:$F,'MEDIÇÃO '!A7)</f>
        <v>0</v>
      </c>
      <c r="J7" s="137">
        <f>SUMIFS('LIQUIDAÇÃO 2025'!$K:$K,'LIQUIDAÇÃO 2025'!$B:$B,'MEDIÇÃO '!$A$3,'LIQUIDAÇÃO 2025'!$H:$H,'MEDIÇÃO '!J$5,'LIQUIDAÇÃO 2025'!$F:$F,'MEDIÇÃO '!A7)</f>
        <v>0</v>
      </c>
      <c r="K7" s="137">
        <f>SUMIFS('LIQUIDAÇÃO 2025'!$K:$K,'LIQUIDAÇÃO 2025'!$B:$B,'MEDIÇÃO '!$A$3,'LIQUIDAÇÃO 2025'!$H:$H,'MEDIÇÃO '!K$5,'LIQUIDAÇÃO 2025'!$F:$F,'MEDIÇÃO '!A7)</f>
        <v>0</v>
      </c>
      <c r="L7" s="137">
        <f>SUMIFS('LIQUIDAÇÃO 2025'!$K:$K,'LIQUIDAÇÃO 2025'!$B:$B,'MEDIÇÃO '!$A$3,'LIQUIDAÇÃO 2025'!$H:$H,'MEDIÇÃO '!L$5,'LIQUIDAÇÃO 2025'!$F:$F,'MEDIÇÃO '!A7)</f>
        <v>0</v>
      </c>
      <c r="M7" s="137">
        <f>SUMIFS('LIQUIDAÇÃO 2025'!$K:$K,'LIQUIDAÇÃO 2025'!$B:$B,'MEDIÇÃO '!$A$3,'LIQUIDAÇÃO 2025'!$H:$H,'MEDIÇÃO '!M$5,'LIQUIDAÇÃO 2025'!$F:$F,'MEDIÇÃO '!A7)</f>
        <v>0</v>
      </c>
      <c r="N7" s="1073"/>
    </row>
    <row r="8" spans="1:17" s="57" customFormat="1">
      <c r="A8" s="136" cm="1">
        <f t="array" ref="A8">IFERROR(INDEX(Tabela3[[CÓDIGO
 EMPRESA ]:[EMPENHO]],SMALL(IF(Tabela3[CÓDIGO
 EMPRESA ]='MEDIÇÃO '!$A$3,ROW(Tabela3[CÓDIGO
 EMPRESA ])-3),ROW(P2)),3),"")</f>
        <v>3256</v>
      </c>
      <c r="B8" s="137">
        <f>SUMIFS('LIQUIDAÇÃO 2025'!$K:$K,'LIQUIDAÇÃO 2025'!$B:$B,'MEDIÇÃO '!$A$3,'LIQUIDAÇÃO 2025'!$H:$H,'MEDIÇÃO '!B$5,'LIQUIDAÇÃO 2025'!$F:$F,'MEDIÇÃO '!$A$8)</f>
        <v>0</v>
      </c>
      <c r="C8" s="137">
        <f>SUMIFS('LIQUIDAÇÃO 2025'!$K:$K,'LIQUIDAÇÃO 2025'!$B:$B,'MEDIÇÃO '!$A$3,'LIQUIDAÇÃO 2025'!$H:$H,'MEDIÇÃO '!C$5,'LIQUIDAÇÃO 2025'!$F:$F,'MEDIÇÃO '!A8)</f>
        <v>0</v>
      </c>
      <c r="D8" s="137">
        <f>SUMIFS('LIQUIDAÇÃO 2025'!$K:$K,'LIQUIDAÇÃO 2025'!$B:$B,'MEDIÇÃO '!$A$3,'LIQUIDAÇÃO 2025'!$H:$H,'MEDIÇÃO '!D$5,'LIQUIDAÇÃO 2025'!$F:$F,'MEDIÇÃO '!A8)</f>
        <v>112872.35</v>
      </c>
      <c r="E8" s="137">
        <f>SUMIFS('LIQUIDAÇÃO 2025'!$K:$K,'LIQUIDAÇÃO 2025'!$B:$B,'MEDIÇÃO '!$A$3,'LIQUIDAÇÃO 2025'!$H:$H,'MEDIÇÃO '!E$5,'LIQUIDAÇÃO 2025'!$F:$F,'MEDIÇÃO '!A8)</f>
        <v>125056.65</v>
      </c>
      <c r="F8" s="137">
        <f>SUMIFS('LIQUIDAÇÃO 2025'!$K:$K,'LIQUIDAÇÃO 2025'!$B:$B,'MEDIÇÃO '!$A$3,'LIQUIDAÇÃO 2025'!$H:$H,'MEDIÇÃO '!F$5,'LIQUIDAÇÃO 2025'!$F:$F,'MEDIÇÃO '!A8)</f>
        <v>200971</v>
      </c>
      <c r="G8" s="137">
        <f>SUMIFS('LIQUIDAÇÃO 2025'!$K:$K,'LIQUIDAÇÃO 2025'!$B:$B,'MEDIÇÃO '!$A$3,'LIQUIDAÇÃO 2025'!$H:$H,'MEDIÇÃO '!G$5,'LIQUIDAÇÃO 2025'!$F:$F,'MEDIÇÃO '!A8)</f>
        <v>0</v>
      </c>
      <c r="H8" s="137">
        <f>SUMIFS('LIQUIDAÇÃO 2025'!$K:$K,'LIQUIDAÇÃO 2025'!$B:$B,'MEDIÇÃO '!$A$3,'LIQUIDAÇÃO 2025'!$H:$H,'MEDIÇÃO '!H$5,'LIQUIDAÇÃO 2025'!$F:$F,'MEDIÇÃO '!A8)</f>
        <v>0</v>
      </c>
      <c r="I8" s="137">
        <f>SUMIFS('LIQUIDAÇÃO 2025'!$K:$K,'LIQUIDAÇÃO 2025'!$B:$B,'MEDIÇÃO '!$A$3,'LIQUIDAÇÃO 2025'!$H:$H,'MEDIÇÃO '!I$5,'LIQUIDAÇÃO 2025'!$F:$F,'MEDIÇÃO '!A8)</f>
        <v>0</v>
      </c>
      <c r="J8" s="137">
        <f>SUMIFS('LIQUIDAÇÃO 2025'!$K:$K,'LIQUIDAÇÃO 2025'!$B:$B,'MEDIÇÃO '!$A$3,'LIQUIDAÇÃO 2025'!$H:$H,'MEDIÇÃO '!J$5,'LIQUIDAÇÃO 2025'!$F:$F,'MEDIÇÃO '!A8)</f>
        <v>0</v>
      </c>
      <c r="K8" s="137">
        <f>SUMIFS('LIQUIDAÇÃO 2025'!$K:$K,'LIQUIDAÇÃO 2025'!$B:$B,'MEDIÇÃO '!$A$3,'LIQUIDAÇÃO 2025'!$H:$H,'MEDIÇÃO '!K$5,'LIQUIDAÇÃO 2025'!$F:$F,'MEDIÇÃO '!A8)</f>
        <v>0</v>
      </c>
      <c r="L8" s="137">
        <f>SUMIFS('LIQUIDAÇÃO 2025'!$K:$K,'LIQUIDAÇÃO 2025'!$B:$B,'MEDIÇÃO '!$A$3,'LIQUIDAÇÃO 2025'!$H:$H,'MEDIÇÃO '!L$5,'LIQUIDAÇÃO 2025'!$F:$F,'MEDIÇÃO '!A8)</f>
        <v>0</v>
      </c>
      <c r="M8" s="137">
        <f>SUMIFS('LIQUIDAÇÃO 2025'!$K:$K,'LIQUIDAÇÃO 2025'!$B:$B,'MEDIÇÃO '!$A$3,'LIQUIDAÇÃO 2025'!$H:$H,'MEDIÇÃO '!M$5,'LIQUIDAÇÃO 2025'!$F:$F,'MEDIÇÃO '!A8)</f>
        <v>0</v>
      </c>
      <c r="N8" s="1073"/>
    </row>
    <row r="9" spans="1:17" s="57" customFormat="1">
      <c r="A9" s="136" cm="1">
        <f t="array" ref="A9">IFERROR(INDEX(Tabela3[[CÓDIGO
 EMPRESA ]:[EMPENHO]],SMALL(IF(Tabela3[CÓDIGO
 EMPRESA ]='MEDIÇÃO '!$A$3,ROW(Tabela3[CÓDIGO
 EMPRESA ])-3),ROW(P3)),3),"")</f>
        <v>4190</v>
      </c>
      <c r="B9" s="137">
        <f>SUMIFS('LIQUIDAÇÃO 2025'!$K:$K,'LIQUIDAÇÃO 2025'!$B:$B,'MEDIÇÃO '!$A$3,'LIQUIDAÇÃO 2025'!$H:$H,'MEDIÇÃO '!B$5,'LIQUIDAÇÃO 2025'!$F:$F,'MEDIÇÃO '!$A$9)</f>
        <v>0</v>
      </c>
      <c r="C9" s="137">
        <f>SUMIFS('LIQUIDAÇÃO 2025'!$K:$K,'LIQUIDAÇÃO 2025'!$B:$B,'MEDIÇÃO '!$A$3,'LIQUIDAÇÃO 2025'!$H:$H,'MEDIÇÃO '!C$5,'LIQUIDAÇÃO 2025'!$F:$F,'MEDIÇÃO '!A9)</f>
        <v>0</v>
      </c>
      <c r="D9" s="137">
        <f>SUMIFS('LIQUIDAÇÃO 2025'!$K:$K,'LIQUIDAÇÃO 2025'!$B:$B,'MEDIÇÃO '!$A$3,'LIQUIDAÇÃO 2025'!$H:$H,'MEDIÇÃO '!D$5,'LIQUIDAÇÃO 2025'!$F:$F,'MEDIÇÃO '!A9)</f>
        <v>0</v>
      </c>
      <c r="E9" s="137">
        <f>SUMIFS('LIQUIDAÇÃO 2025'!$K:$K,'LIQUIDAÇÃO 2025'!$B:$B,'MEDIÇÃO '!$A$3,'LIQUIDAÇÃO 2025'!$H:$H,'MEDIÇÃO '!E$5,'LIQUIDAÇÃO 2025'!$F:$F,'MEDIÇÃO '!A9)</f>
        <v>0</v>
      </c>
      <c r="F9" s="137">
        <f>SUMIFS('LIQUIDAÇÃO 2025'!$K:$K,'LIQUIDAÇÃO 2025'!$B:$B,'MEDIÇÃO '!$A$3,'LIQUIDAÇÃO 2025'!$H:$H,'MEDIÇÃO '!F$5,'LIQUIDAÇÃO 2025'!$F:$F,'MEDIÇÃO '!A9)</f>
        <v>105094.16</v>
      </c>
      <c r="G9" s="137">
        <f>SUMIFS('LIQUIDAÇÃO 2025'!$K:$K,'LIQUIDAÇÃO 2025'!$B:$B,'MEDIÇÃO '!$A$3,'LIQUIDAÇÃO 2025'!$H:$H,'MEDIÇÃO '!G$5,'LIQUIDAÇÃO 2025'!$F:$F,'MEDIÇÃO '!A9)</f>
        <v>136419.34</v>
      </c>
      <c r="H9" s="137">
        <f>SUMIFS('LIQUIDAÇÃO 2025'!$K:$K,'LIQUIDAÇÃO 2025'!$B:$B,'MEDIÇÃO '!$A$3,'LIQUIDAÇÃO 2025'!$H:$H,'MEDIÇÃO '!H$5,'LIQUIDAÇÃO 2025'!$F:$F,'MEDIÇÃO '!A9)</f>
        <v>0</v>
      </c>
      <c r="I9" s="137">
        <f>SUMIFS('LIQUIDAÇÃO 2025'!$K:$K,'LIQUIDAÇÃO 2025'!$B:$B,'MEDIÇÃO '!$A$3,'LIQUIDAÇÃO 2025'!$H:$H,'MEDIÇÃO '!I$5,'LIQUIDAÇÃO 2025'!$F:$F,'MEDIÇÃO '!A9)</f>
        <v>87218.21</v>
      </c>
      <c r="J9" s="137">
        <f>SUMIFS('LIQUIDAÇÃO 2025'!$K:$K,'LIQUIDAÇÃO 2025'!$B:$B,'MEDIÇÃO '!$A$3,'LIQUIDAÇÃO 2025'!$H:$H,'MEDIÇÃO '!J$5,'LIQUIDAÇÃO 2025'!$F:$F,'MEDIÇÃO '!A9)</f>
        <v>90186.93</v>
      </c>
      <c r="K9" s="137">
        <f>SUMIFS('LIQUIDAÇÃO 2025'!$K:$K,'LIQUIDAÇÃO 2025'!$B:$B,'MEDIÇÃO '!$A$3,'LIQUIDAÇÃO 2025'!$H:$H,'MEDIÇÃO '!K$5,'LIQUIDAÇÃO 2025'!$F:$F,'MEDIÇÃO '!A9)</f>
        <v>19981.36</v>
      </c>
      <c r="L9" s="137">
        <f>SUMIFS('LIQUIDAÇÃO 2025'!$K:$K,'LIQUIDAÇÃO 2025'!$B:$B,'MEDIÇÃO '!$A$3,'LIQUIDAÇÃO 2025'!$H:$H,'MEDIÇÃO '!L$5,'LIQUIDAÇÃO 2025'!$F:$F,'MEDIÇÃO '!A9)</f>
        <v>0</v>
      </c>
      <c r="M9" s="137">
        <f>SUMIFS('LIQUIDAÇÃO 2025'!$K:$K,'LIQUIDAÇÃO 2025'!$B:$B,'MEDIÇÃO '!$A$3,'LIQUIDAÇÃO 2025'!$H:$H,'MEDIÇÃO '!M$5,'LIQUIDAÇÃO 2025'!$F:$F,'MEDIÇÃO '!A9)</f>
        <v>0</v>
      </c>
      <c r="N9" s="1073"/>
    </row>
    <row r="10" spans="1:17" s="57" customFormat="1">
      <c r="A10" s="136" cm="1">
        <f t="array" ref="A10">IFERROR(INDEX(Tabela3[[CÓDIGO
 EMPRESA ]:[EMPENHO]],SMALL(IF(Tabela3[CÓDIGO
 EMPRESA ]='MEDIÇÃO '!$A$3,ROW(Tabela3[CÓDIGO
 EMPRESA ])-3),ROW(P4)),3),"")</f>
        <v>6835</v>
      </c>
      <c r="B10" s="137">
        <f>SUMIFS('LIQUIDAÇÃO 2025'!$K:$K,'LIQUIDAÇÃO 2025'!$B:$B,'MEDIÇÃO '!$A$3,'LIQUIDAÇÃO 2025'!$H:$H,'MEDIÇÃO '!B$5,'LIQUIDAÇÃO 2025'!$F:$F,'MEDIÇÃO '!$A$10)</f>
        <v>126986.83</v>
      </c>
      <c r="C10" s="137">
        <f>SUMIFS('LIQUIDAÇÃO 2025'!$K:$K,'LIQUIDAÇÃO 2025'!$B:$B,'MEDIÇÃO '!$A$3,'LIQUIDAÇÃO 2025'!$H:$H,'MEDIÇÃO '!C$5,'LIQUIDAÇÃO 2025'!$F:$F,'MEDIÇÃO '!A10)</f>
        <v>0</v>
      </c>
      <c r="D10" s="137">
        <f>SUMIFS('LIQUIDAÇÃO 2025'!$K:$K,'LIQUIDAÇÃO 2025'!$B:$B,'MEDIÇÃO '!$A$3,'LIQUIDAÇÃO 2025'!$H:$H,'MEDIÇÃO '!D$5,'LIQUIDAÇÃO 2025'!$F:$F,'MEDIÇÃO '!A10)</f>
        <v>0</v>
      </c>
      <c r="E10" s="137">
        <f>SUMIFS('LIQUIDAÇÃO 2025'!$K:$K,'LIQUIDAÇÃO 2025'!$B:$B,'MEDIÇÃO '!$A$3,'LIQUIDAÇÃO 2025'!$H:$H,'MEDIÇÃO '!E$5,'LIQUIDAÇÃO 2025'!$F:$F,'MEDIÇÃO '!A10)</f>
        <v>0</v>
      </c>
      <c r="F10" s="137">
        <f>SUMIFS('LIQUIDAÇÃO 2025'!$K:$K,'LIQUIDAÇÃO 2025'!$B:$B,'MEDIÇÃO '!$A$3,'LIQUIDAÇÃO 2025'!$H:$H,'MEDIÇÃO '!F$5,'LIQUIDAÇÃO 2025'!$F:$F,'MEDIÇÃO '!A10)</f>
        <v>0</v>
      </c>
      <c r="G10" s="137">
        <f>SUMIFS('LIQUIDAÇÃO 2025'!$K:$K,'LIQUIDAÇÃO 2025'!$B:$B,'MEDIÇÃO '!$A$3,'LIQUIDAÇÃO 2025'!$H:$H,'MEDIÇÃO '!G$5,'LIQUIDAÇÃO 2025'!$F:$F,'MEDIÇÃO '!A10)</f>
        <v>0</v>
      </c>
      <c r="H10" s="137">
        <f>SUMIFS('LIQUIDAÇÃO 2025'!$K:$K,'LIQUIDAÇÃO 2025'!$B:$B,'MEDIÇÃO '!$A$3,'LIQUIDAÇÃO 2025'!$H:$H,'MEDIÇÃO '!H$5,'LIQUIDAÇÃO 2025'!$F:$F,'MEDIÇÃO '!A10)</f>
        <v>0</v>
      </c>
      <c r="I10" s="137">
        <f>SUMIFS('LIQUIDAÇÃO 2025'!$K:$K,'LIQUIDAÇÃO 2025'!$B:$B,'MEDIÇÃO '!$A$3,'LIQUIDAÇÃO 2025'!$H:$H,'MEDIÇÃO '!I$5,'LIQUIDAÇÃO 2025'!$F:$F,'MEDIÇÃO '!A10)</f>
        <v>0</v>
      </c>
      <c r="J10" s="137">
        <f>SUMIFS('LIQUIDAÇÃO 2025'!$K:$K,'LIQUIDAÇÃO 2025'!$B:$B,'MEDIÇÃO '!$A$3,'LIQUIDAÇÃO 2025'!$H:$H,'MEDIÇÃO '!J$5,'LIQUIDAÇÃO 2025'!$F:$F,'MEDIÇÃO '!A10)</f>
        <v>0</v>
      </c>
      <c r="K10" s="137">
        <f>SUMIFS('LIQUIDAÇÃO 2025'!$K:$K,'LIQUIDAÇÃO 2025'!$B:$B,'MEDIÇÃO '!$A$3,'LIQUIDAÇÃO 2025'!$H:$H,'MEDIÇÃO '!K$5,'LIQUIDAÇÃO 2025'!$F:$F,'MEDIÇÃO '!A10)</f>
        <v>46876.28</v>
      </c>
      <c r="L10" s="137">
        <f>SUMIFS('LIQUIDAÇÃO 2025'!$K:$K,'LIQUIDAÇÃO 2025'!$B:$B,'MEDIÇÃO '!$A$3,'LIQUIDAÇÃO 2025'!$H:$H,'MEDIÇÃO '!L$5,'LIQUIDAÇÃO 2025'!$F:$F,'MEDIÇÃO '!A10)</f>
        <v>81093.8</v>
      </c>
      <c r="M10" s="137">
        <f>SUMIFS('LIQUIDAÇÃO 2025'!$K:$K,'LIQUIDAÇÃO 2025'!$B:$B,'MEDIÇÃO '!$A$3,'LIQUIDAÇÃO 2025'!$H:$H,'MEDIÇÃO '!M$5,'LIQUIDAÇÃO 2025'!$F:$F,'MEDIÇÃO '!A10)</f>
        <v>166415.96</v>
      </c>
      <c r="N10" s="1073"/>
    </row>
    <row r="11" spans="1:17" s="57" customFormat="1" ht="15.75" thickBot="1">
      <c r="A11" s="136" cm="1">
        <f t="array" ref="A11">IFERROR(INDEX(Tabela3[[CÓDIGO
 EMPRESA ]:[EMPENHO]],SMALL(IF(Tabela3[CÓDIGO
 EMPRESA ]='MEDIÇÃO '!$A$3,ROW(Tabela3[CÓDIGO
 EMPRESA ])-3),ROW(P5)),3),"")</f>
        <v>12676</v>
      </c>
      <c r="B11" s="137">
        <f>SUMIFS('LIQUIDAÇÃO 2025'!$K:$K,'LIQUIDAÇÃO 2025'!$B:$B,'MEDIÇÃO '!$A$3,'LIQUIDAÇÃO 2025'!$H:$H,'MEDIÇÃO '!B$5,'LIQUIDAÇÃO 2025'!$F:$F,'MEDIÇÃO '!$A$7)</f>
        <v>0</v>
      </c>
      <c r="C11" s="137">
        <f>SUMIFS('LIQUIDAÇÃO 2025'!$K:$K,'LIQUIDAÇÃO 2025'!$B:$B,'MEDIÇÃO '!$A$3,'LIQUIDAÇÃO 2025'!$H:$H,'MEDIÇÃO '!C$5,'LIQUIDAÇÃO 2025'!$F:$F,'MEDIÇÃO '!A11)</f>
        <v>193636.33</v>
      </c>
      <c r="D11" s="137">
        <f>SUMIFS('LIQUIDAÇÃO 2025'!$K:$K,'LIQUIDAÇÃO 2025'!$B:$B,'MEDIÇÃO '!$A$3,'LIQUIDAÇÃO 2025'!$H:$H,'MEDIÇÃO '!D$5,'LIQUIDAÇÃO 2025'!$F:$F,'MEDIÇÃO '!A11)</f>
        <v>0</v>
      </c>
      <c r="E11" s="137">
        <f>SUMIFS('LIQUIDAÇÃO 2025'!$K:$K,'LIQUIDAÇÃO 2025'!$B:$B,'MEDIÇÃO '!$A$3,'LIQUIDAÇÃO 2025'!$H:$H,'MEDIÇÃO '!E$5,'LIQUIDAÇÃO 2025'!$F:$F,'MEDIÇÃO '!A11)</f>
        <v>0</v>
      </c>
      <c r="F11" s="137">
        <f>SUMIFS('LIQUIDAÇÃO 2025'!$K:$K,'LIQUIDAÇÃO 2025'!$B:$B,'MEDIÇÃO '!$A$3,'LIQUIDAÇÃO 2025'!$H:$H,'MEDIÇÃO '!F$5,'LIQUIDAÇÃO 2025'!$F:$F,'MEDIÇÃO '!A11)</f>
        <v>0</v>
      </c>
      <c r="G11" s="137">
        <f>SUMIFS('LIQUIDAÇÃO 2025'!$K:$K,'LIQUIDAÇÃO 2025'!$B:$B,'MEDIÇÃO '!$A$3,'LIQUIDAÇÃO 2025'!$H:$H,'MEDIÇÃO '!G$5,'LIQUIDAÇÃO 2025'!$F:$F,'MEDIÇÃO '!A11)</f>
        <v>0</v>
      </c>
      <c r="H11" s="137">
        <f>SUMIFS('LIQUIDAÇÃO 2025'!$K:$K,'LIQUIDAÇÃO 2025'!$B:$B,'MEDIÇÃO '!$A$3,'LIQUIDAÇÃO 2025'!$H:$H,'MEDIÇÃO '!H$5,'LIQUIDAÇÃO 2025'!$F:$F,'MEDIÇÃO '!A11)</f>
        <v>0</v>
      </c>
      <c r="I11" s="137">
        <f>SUMIFS('LIQUIDAÇÃO 2025'!$K:$K,'LIQUIDAÇÃO 2025'!$B:$B,'MEDIÇÃO '!$A$3,'LIQUIDAÇÃO 2025'!$H:$H,'MEDIÇÃO '!I$5,'LIQUIDAÇÃO 2025'!$F:$F,'MEDIÇÃO '!A11)</f>
        <v>0</v>
      </c>
      <c r="J11" s="137">
        <f>SUMIFS('LIQUIDAÇÃO 2025'!$K:$K,'LIQUIDAÇÃO 2025'!$B:$B,'MEDIÇÃO '!$A$3,'LIQUIDAÇÃO 2025'!$H:$H,'MEDIÇÃO '!J$5,'LIQUIDAÇÃO 2025'!$F:$F,'MEDIÇÃO '!A11)</f>
        <v>0</v>
      </c>
      <c r="K11" s="137">
        <f>SUMIFS('LIQUIDAÇÃO 2025'!$K:$K,'LIQUIDAÇÃO 2025'!$B:$B,'MEDIÇÃO '!$A$3,'LIQUIDAÇÃO 2025'!$H:$H,'MEDIÇÃO '!K$5,'LIQUIDAÇÃO 2025'!$F:$F,'MEDIÇÃO '!A11)</f>
        <v>0</v>
      </c>
      <c r="L11" s="137">
        <f>SUMIFS('LIQUIDAÇÃO 2025'!$K:$K,'LIQUIDAÇÃO 2025'!$B:$B,'MEDIÇÃO '!$A$3,'LIQUIDAÇÃO 2025'!$H:$H,'MEDIÇÃO '!L$5,'LIQUIDAÇÃO 2025'!$F:$F,'MEDIÇÃO '!A11)</f>
        <v>0</v>
      </c>
      <c r="M11" s="137">
        <f>SUMIFS('LIQUIDAÇÃO 2025'!$K:$K,'LIQUIDAÇÃO 2025'!$B:$B,'MEDIÇÃO '!$A$3,'LIQUIDAÇÃO 2025'!$H:$H,'MEDIÇÃO '!M$5,'LIQUIDAÇÃO 2025'!$F:$F,'MEDIÇÃO '!A11)</f>
        <v>0</v>
      </c>
      <c r="N11" s="1073"/>
    </row>
    <row r="12" spans="1:17" s="206" customFormat="1" ht="15" customHeight="1" thickBot="1">
      <c r="A12" s="214" t="s">
        <v>38</v>
      </c>
      <c r="B12" s="215">
        <v>0</v>
      </c>
      <c r="C12" s="215"/>
      <c r="D12" s="215"/>
      <c r="E12" s="215"/>
      <c r="F12" s="215"/>
      <c r="G12" s="215"/>
      <c r="H12" s="215"/>
      <c r="I12" s="215"/>
      <c r="J12" s="215"/>
      <c r="K12" s="215">
        <v>0</v>
      </c>
      <c r="L12" s="215">
        <v>0</v>
      </c>
      <c r="M12" s="215">
        <v>0</v>
      </c>
      <c r="N12" s="1073"/>
    </row>
    <row r="13" spans="1:17" s="206" customFormat="1" ht="15" customHeight="1">
      <c r="A13" s="212" t="s">
        <v>127</v>
      </c>
      <c r="B13" s="216">
        <f t="shared" ref="B13" si="0">IF(SUM(B7:B11)&lt;&gt;0,B6-B12-SUM(B7:B11),(B6-SUM(B7:B11)-B12))</f>
        <v>-126986.83</v>
      </c>
      <c r="C13" s="216">
        <f t="shared" ref="C13" si="1">IF(SUM(C7:C11)&lt;&gt;0,C6-C12-SUM(C7:C11),(C6-SUM(C7:C11)-C12))</f>
        <v>7089.32</v>
      </c>
      <c r="D13" s="216">
        <f t="shared" ref="D13" si="2">IF(SUM(D7:D11)&lt;&gt;0,D6-D12-SUM(D7:D11),(D6-SUM(D7:D11)-D12))</f>
        <v>125302</v>
      </c>
      <c r="E13" s="216">
        <f t="shared" ref="E13" si="3">IF(SUM(E7:E11)&lt;&gt;0,E6-E12-SUM(E7:E11),(E6-SUM(E7:E11)-E12))</f>
        <v>313843.34999999998</v>
      </c>
      <c r="F13" s="216">
        <f t="shared" ref="F13" si="4">IF(SUM(F7:F11)&lt;&gt;0,F6-F12-SUM(F7:F11),(F6-SUM(F7:F11)-F12))</f>
        <v>132834.84</v>
      </c>
      <c r="G13" s="216">
        <f t="shared" ref="G13" si="5">IF(SUM(G7:G11)&lt;&gt;0,G6-G12-SUM(G7:G11),(G6-SUM(G7:G11)-G12))</f>
        <v>419520.81</v>
      </c>
      <c r="H13" s="216">
        <f t="shared" ref="H13" si="6">IF(SUM(H7:H11)&lt;&gt;0,H6-H12-SUM(H7:H11),(H6-SUM(H7:H11)-H12))</f>
        <v>0</v>
      </c>
      <c r="I13" s="216">
        <f t="shared" ref="I13" si="7">IF(SUM(I7:I11)&lt;&gt;0,I6-I12-SUM(I7:I11),(I6-SUM(I7:I11)-I12))</f>
        <v>-87218.21</v>
      </c>
      <c r="J13" s="216">
        <f t="shared" ref="J13" si="8">IF(SUM(J7:J11)&lt;&gt;0,J6-J12-SUM(J7:J11),(J6-SUM(J7:J11)-J12))</f>
        <v>-90186.93</v>
      </c>
      <c r="K13" s="216">
        <f t="shared" ref="K13" si="9">IF(SUM(K7:K11)&lt;&gt;0,K6-K12-SUM(K7:K11),(K6-SUM(K7:K11)-K12))</f>
        <v>-66857.64</v>
      </c>
      <c r="L13" s="216">
        <f t="shared" ref="L13" si="10">IF(SUM(L7:L11)&lt;&gt;0,L6-L12-SUM(L7:L11),(L6-SUM(L7:L11)-L12))</f>
        <v>-81093.8</v>
      </c>
      <c r="M13" s="216">
        <f t="shared" ref="M13" si="11">IF(SUM(M7:M11)&lt;&gt;0,M6-M12-SUM(M7:M11),(M6-SUM(M7:M11)-M12))</f>
        <v>-166415.96</v>
      </c>
      <c r="N13" s="213">
        <f>SUM(B13:M13)</f>
        <v>379830.95</v>
      </c>
    </row>
    <row r="14" spans="1:17" s="206" customFormat="1" ht="15.75">
      <c r="A14" s="207"/>
      <c r="B14" s="208"/>
      <c r="C14" s="208"/>
      <c r="D14" s="208"/>
      <c r="E14" s="208"/>
      <c r="F14" s="208"/>
      <c r="G14" s="208"/>
      <c r="H14" s="208"/>
      <c r="I14" s="208"/>
      <c r="J14" s="208"/>
      <c r="K14" s="208"/>
      <c r="L14" s="208"/>
      <c r="M14" s="208"/>
      <c r="N14" s="209"/>
    </row>
    <row r="15" spans="1:17" s="57" customFormat="1" ht="16.5" customHeight="1">
      <c r="A15" s="661">
        <v>58778</v>
      </c>
      <c r="B15" s="662" t="s">
        <v>57</v>
      </c>
      <c r="C15" s="663"/>
      <c r="D15" s="115"/>
      <c r="E15" s="117"/>
      <c r="F15" s="91" t="s">
        <v>116</v>
      </c>
      <c r="G15" s="92" t="s">
        <v>117</v>
      </c>
      <c r="H15" s="1062" t="s">
        <v>113</v>
      </c>
      <c r="I15" s="1062"/>
      <c r="J15" s="1062" t="s">
        <v>114</v>
      </c>
      <c r="K15" s="1062"/>
      <c r="L15" s="1062" t="s">
        <v>118</v>
      </c>
      <c r="M15" s="1062"/>
      <c r="N15" s="92" t="s">
        <v>115</v>
      </c>
    </row>
    <row r="16" spans="1:17" s="57" customFormat="1" ht="18.75" customHeight="1">
      <c r="A16" s="121"/>
      <c r="B16" s="121"/>
      <c r="C16" s="121"/>
      <c r="D16" s="121"/>
      <c r="E16" s="122"/>
      <c r="F16" s="93" t="str">
        <f>VALIDAÇÕES!C7</f>
        <v>20145/2018</v>
      </c>
      <c r="G16" s="94" t="str">
        <f>VALIDAÇÕES!D7</f>
        <v>6701/2024</v>
      </c>
      <c r="H16" s="1061">
        <f>VALIDAÇÕES!G7</f>
        <v>12165000</v>
      </c>
      <c r="I16" s="1061"/>
      <c r="J16" s="1061">
        <f>VALIDAÇÕES!H7</f>
        <v>4055000</v>
      </c>
      <c r="K16" s="1061"/>
      <c r="L16" s="1063">
        <f>VALIDAÇÕES!E7</f>
        <v>45352</v>
      </c>
      <c r="M16" s="1063"/>
      <c r="N16" s="202">
        <f>VALIDAÇÕES!F7</f>
        <v>46235</v>
      </c>
      <c r="Q16" s="278"/>
    </row>
    <row r="17" spans="1:17" s="57" customFormat="1" ht="21.75" customHeight="1">
      <c r="A17" s="1059" t="s">
        <v>7</v>
      </c>
      <c r="B17" s="30" t="s">
        <v>44</v>
      </c>
      <c r="C17" s="30" t="s">
        <v>43</v>
      </c>
      <c r="D17" s="30" t="s">
        <v>45</v>
      </c>
      <c r="E17" s="30" t="s">
        <v>46</v>
      </c>
      <c r="F17" s="30" t="s">
        <v>47</v>
      </c>
      <c r="G17" s="30" t="s">
        <v>48</v>
      </c>
      <c r="H17" s="30" t="s">
        <v>49</v>
      </c>
      <c r="I17" s="30" t="s">
        <v>50</v>
      </c>
      <c r="J17" s="30" t="s">
        <v>51</v>
      </c>
      <c r="K17" s="30" t="s">
        <v>52</v>
      </c>
      <c r="L17" s="30" t="s">
        <v>53</v>
      </c>
      <c r="M17" s="30" t="s">
        <v>54</v>
      </c>
      <c r="N17" s="1066" t="s">
        <v>112</v>
      </c>
    </row>
    <row r="18" spans="1:17" s="57" customFormat="1" ht="15.75" customHeight="1">
      <c r="A18" s="1059"/>
      <c r="B18" s="135">
        <v>405500</v>
      </c>
      <c r="C18" s="135">
        <v>405500</v>
      </c>
      <c r="D18" s="135">
        <v>405500</v>
      </c>
      <c r="E18" s="135">
        <v>405500</v>
      </c>
      <c r="F18" s="135">
        <v>2000000</v>
      </c>
      <c r="G18" s="135"/>
      <c r="H18" s="135"/>
      <c r="I18" s="135"/>
      <c r="J18" s="135"/>
      <c r="K18" s="135"/>
      <c r="L18" s="135"/>
      <c r="M18" s="135"/>
      <c r="N18" s="1067"/>
    </row>
    <row r="19" spans="1:17" s="57" customFormat="1" ht="15" customHeight="1">
      <c r="A19" s="136" cm="1">
        <f t="array" ref="A19">IFERROR(INDEX(Tabela3[[CÓDIGO
 EMPRESA ]:[EMPENHO]],SMALL(IF(Tabela3[CÓDIGO
 EMPRESA ]='MEDIÇÃO '!$A$15,ROW(Tabela3[CÓDIGO
 EMPRESA ])-3),ROW(P1)),3),"")</f>
        <v>2925</v>
      </c>
      <c r="B19" s="137">
        <f>SUMIFS('LIQUIDAÇÃO 2025'!$K:$K,'LIQUIDAÇÃO 2025'!$B:$B,'MEDIÇÃO '!$A$15,'LIQUIDAÇÃO 2025'!$C:$C,'MEDIÇÃO '!$B$15,'LIQUIDAÇÃO 2025'!$H:$H,'MEDIÇÃO '!B$17,'LIQUIDAÇÃO 2025'!$F:$F,'MEDIÇÃO '!$A19)</f>
        <v>220049.44</v>
      </c>
      <c r="C19" s="137">
        <f>SUMIFS('LIQUIDAÇÃO 2025'!$K:$K,'LIQUIDAÇÃO 2025'!$B:$B,'MEDIÇÃO '!$A$15,'LIQUIDAÇÃO 2025'!$C:$C,'MEDIÇÃO '!$B$15,'LIQUIDAÇÃO 2025'!$H:$H,'MEDIÇÃO '!C$17,'LIQUIDAÇÃO 2025'!$F:$F,'MEDIÇÃO '!$A19)</f>
        <v>0</v>
      </c>
      <c r="D19" s="137">
        <f>SUMIFS('LIQUIDAÇÃO 2025'!$K:$K,'LIQUIDAÇÃO 2025'!$B:$B,'MEDIÇÃO '!$A$15,'LIQUIDAÇÃO 2025'!$C:$C,'MEDIÇÃO '!$B$15,'LIQUIDAÇÃO 2025'!$H:$H,'MEDIÇÃO '!D$17,'LIQUIDAÇÃO 2025'!$F:$F,'MEDIÇÃO '!$A19)</f>
        <v>185450.56</v>
      </c>
      <c r="E19" s="137">
        <f>SUMIFS('LIQUIDAÇÃO 2025'!$K:$K,'LIQUIDAÇÃO 2025'!$B:$B,'MEDIÇÃO '!$A$15,'LIQUIDAÇÃO 2025'!$C:$C,'MEDIÇÃO '!$B$15,'LIQUIDAÇÃO 2025'!$H:$H,'MEDIÇÃO '!E$17,'LIQUIDAÇÃO 2025'!$F:$F,'MEDIÇÃO '!$A19)</f>
        <v>0</v>
      </c>
      <c r="F19" s="137">
        <f>SUMIFS('LIQUIDAÇÃO 2025'!$K:$K,'LIQUIDAÇÃO 2025'!$B:$B,'MEDIÇÃO '!$A$15,'LIQUIDAÇÃO 2025'!$C:$C,'MEDIÇÃO '!$B$15,'LIQUIDAÇÃO 2025'!$H:$H,'MEDIÇÃO '!F$17,'LIQUIDAÇÃO 2025'!$F:$F,'MEDIÇÃO '!$A19)</f>
        <v>0</v>
      </c>
      <c r="G19" s="137">
        <f>SUMIFS('LIQUIDAÇÃO 2025'!$K:$K,'LIQUIDAÇÃO 2025'!$B:$B,'MEDIÇÃO '!$A$15,'LIQUIDAÇÃO 2025'!$C:$C,'MEDIÇÃO '!$B$15,'LIQUIDAÇÃO 2025'!$H:$H,'MEDIÇÃO '!G$17,'LIQUIDAÇÃO 2025'!$F:$F,'MEDIÇÃO '!$A19)</f>
        <v>0</v>
      </c>
      <c r="H19" s="137">
        <f>SUMIFS('LIQUIDAÇÃO 2025'!$K:$K,'LIQUIDAÇÃO 2025'!$B:$B,'MEDIÇÃO '!$A$15,'LIQUIDAÇÃO 2025'!$C:$C,'MEDIÇÃO '!$B$15,'LIQUIDAÇÃO 2025'!$H:$H,'MEDIÇÃO '!H$17,'LIQUIDAÇÃO 2025'!$F:$F,'MEDIÇÃO '!$A19)</f>
        <v>0</v>
      </c>
      <c r="I19" s="137">
        <f>SUMIFS('LIQUIDAÇÃO 2025'!$K:$K,'LIQUIDAÇÃO 2025'!$B:$B,'MEDIÇÃO '!$A$15,'LIQUIDAÇÃO 2025'!$C:$C,'MEDIÇÃO '!$B$15,'LIQUIDAÇÃO 2025'!$H:$H,'MEDIÇÃO '!I$17,'LIQUIDAÇÃO 2025'!$F:$F,'MEDIÇÃO '!$A19)</f>
        <v>0</v>
      </c>
      <c r="J19" s="137">
        <f>SUMIFS('LIQUIDAÇÃO 2025'!$K:$K,'LIQUIDAÇÃO 2025'!$B:$B,'MEDIÇÃO '!$A$15,'LIQUIDAÇÃO 2025'!$C:$C,'MEDIÇÃO '!$B$15,'LIQUIDAÇÃO 2025'!$H:$H,'MEDIÇÃO '!J$17,'LIQUIDAÇÃO 2025'!$F:$F,'MEDIÇÃO '!$A19)</f>
        <v>0</v>
      </c>
      <c r="K19" s="137">
        <f>SUMIFS('LIQUIDAÇÃO 2025'!$K:$K,'LIQUIDAÇÃO 2025'!$B:$B,'MEDIÇÃO '!$A$15,'LIQUIDAÇÃO 2025'!$C:$C,'MEDIÇÃO '!$B$15,'LIQUIDAÇÃO 2025'!$H:$H,'MEDIÇÃO '!K$17,'LIQUIDAÇÃO 2025'!$F:$F,'MEDIÇÃO '!$A19)</f>
        <v>0</v>
      </c>
      <c r="L19" s="137">
        <f>SUMIFS('LIQUIDAÇÃO 2025'!$K:$K,'LIQUIDAÇÃO 2025'!$B:$B,'MEDIÇÃO '!$A$15,'LIQUIDAÇÃO 2025'!$C:$C,'MEDIÇÃO '!$B$15,'LIQUIDAÇÃO 2025'!$H:$H,'MEDIÇÃO '!L$17,'LIQUIDAÇÃO 2025'!$F:$F,'MEDIÇÃO '!$A19)</f>
        <v>0</v>
      </c>
      <c r="M19" s="137">
        <f>SUMIFS('LIQUIDAÇÃO 2025'!$K:$K,'LIQUIDAÇÃO 2025'!$B:$B,'MEDIÇÃO '!$A$15,'LIQUIDAÇÃO 2025'!$C:$C,'MEDIÇÃO '!$B$15,'LIQUIDAÇÃO 2025'!$H:$H,'MEDIÇÃO '!M$17,'LIQUIDAÇÃO 2025'!$F:$F,'MEDIÇÃO '!$A19)</f>
        <v>0</v>
      </c>
      <c r="N19" s="1067"/>
    </row>
    <row r="20" spans="1:17" s="57" customFormat="1" ht="15" customHeight="1">
      <c r="A20" s="136" cm="1">
        <f t="array" ref="A20">IFERROR(INDEX(Tabela3[[CÓDIGO
 EMPRESA ]:[EMPENHO]],SMALL(IF(Tabela3[CÓDIGO
 EMPRESA ]='MEDIÇÃO '!$A$15,ROW(Tabela3[CÓDIGO
 EMPRESA ])-3),ROW(P2)),3),"")</f>
        <v>3261</v>
      </c>
      <c r="B20" s="137">
        <f>SUMIFS('LIQUIDAÇÃO 2025'!$K:$K,'LIQUIDAÇÃO 2025'!$B:$B,'MEDIÇÃO '!$A$15,'LIQUIDAÇÃO 2025'!$C:$C,'MEDIÇÃO '!$B$15,'LIQUIDAÇÃO 2025'!$H:$H,'MEDIÇÃO '!B$17,'LIQUIDAÇÃO 2025'!$F:$F,'MEDIÇÃO '!$A20)</f>
        <v>0</v>
      </c>
      <c r="C20" s="137">
        <f>SUMIFS('LIQUIDAÇÃO 2025'!$K:$K,'LIQUIDAÇÃO 2025'!$B:$B,'MEDIÇÃO '!$A$15,'LIQUIDAÇÃO 2025'!$C:$C,'MEDIÇÃO '!$B$15,'LIQUIDAÇÃO 2025'!$H:$H,'MEDIÇÃO '!C$17,'LIQUIDAÇÃO 2025'!$F:$F,'MEDIÇÃO '!$A20)</f>
        <v>0</v>
      </c>
      <c r="D20" s="137">
        <f>SUMIFS('LIQUIDAÇÃO 2025'!$K:$K,'LIQUIDAÇÃO 2025'!$B:$B,'MEDIÇÃO '!$A$15,'LIQUIDAÇÃO 2025'!$C:$C,'MEDIÇÃO '!$B$15,'LIQUIDAÇÃO 2025'!$H:$H,'MEDIÇÃO '!D$17,'LIQUIDAÇÃO 2025'!$F:$F,'MEDIÇÃO '!$A20)</f>
        <v>104282.84</v>
      </c>
      <c r="E20" s="137">
        <f>SUMIFS('LIQUIDAÇÃO 2025'!$K:$K,'LIQUIDAÇÃO 2025'!$B:$B,'MEDIÇÃO '!$A$15,'LIQUIDAÇÃO 2025'!$C:$C,'MEDIÇÃO '!$B$15,'LIQUIDAÇÃO 2025'!$H:$H,'MEDIÇÃO '!E$17,'LIQUIDAÇÃO 2025'!$F:$F,'MEDIÇÃO '!$A20)</f>
        <v>115539.93</v>
      </c>
      <c r="F20" s="137">
        <f>SUMIFS('LIQUIDAÇÃO 2025'!$K:$K,'LIQUIDAÇÃO 2025'!$B:$B,'MEDIÇÃO '!$A$15,'LIQUIDAÇÃO 2025'!$C:$C,'MEDIÇÃO '!$B$15,'LIQUIDAÇÃO 2025'!$H:$H,'MEDIÇÃO '!F$17,'LIQUIDAÇÃO 2025'!$F:$F,'MEDIÇÃO '!$A20)</f>
        <v>185677.23</v>
      </c>
      <c r="G20" s="137">
        <f>SUMIFS('LIQUIDAÇÃO 2025'!$K:$K,'LIQUIDAÇÃO 2025'!$B:$B,'MEDIÇÃO '!$A$15,'LIQUIDAÇÃO 2025'!$C:$C,'MEDIÇÃO '!$B$15,'LIQUIDAÇÃO 2025'!$H:$H,'MEDIÇÃO '!G$17,'LIQUIDAÇÃO 2025'!$F:$F,'MEDIÇÃO '!$A20)</f>
        <v>0</v>
      </c>
      <c r="H20" s="137">
        <f>SUMIFS('LIQUIDAÇÃO 2025'!$K:$K,'LIQUIDAÇÃO 2025'!$B:$B,'MEDIÇÃO '!$A$15,'LIQUIDAÇÃO 2025'!$C:$C,'MEDIÇÃO '!$B$15,'LIQUIDAÇÃO 2025'!$H:$H,'MEDIÇÃO '!H$17,'LIQUIDAÇÃO 2025'!$F:$F,'MEDIÇÃO '!$A20)</f>
        <v>0</v>
      </c>
      <c r="I20" s="137">
        <f>SUMIFS('LIQUIDAÇÃO 2025'!$K:$K,'LIQUIDAÇÃO 2025'!$B:$B,'MEDIÇÃO '!$A$15,'LIQUIDAÇÃO 2025'!$C:$C,'MEDIÇÃO '!$B$15,'LIQUIDAÇÃO 2025'!$H:$H,'MEDIÇÃO '!I$17,'LIQUIDAÇÃO 2025'!$F:$F,'MEDIÇÃO '!$A20)</f>
        <v>0</v>
      </c>
      <c r="J20" s="137">
        <f>SUMIFS('LIQUIDAÇÃO 2025'!$K:$K,'LIQUIDAÇÃO 2025'!$B:$B,'MEDIÇÃO '!$A$15,'LIQUIDAÇÃO 2025'!$C:$C,'MEDIÇÃO '!$B$15,'LIQUIDAÇÃO 2025'!$H:$H,'MEDIÇÃO '!J$17,'LIQUIDAÇÃO 2025'!$F:$F,'MEDIÇÃO '!$A20)</f>
        <v>0</v>
      </c>
      <c r="K20" s="137">
        <f>SUMIFS('LIQUIDAÇÃO 2025'!$K:$K,'LIQUIDAÇÃO 2025'!$B:$B,'MEDIÇÃO '!$A$15,'LIQUIDAÇÃO 2025'!$C:$C,'MEDIÇÃO '!$B$15,'LIQUIDAÇÃO 2025'!$H:$H,'MEDIÇÃO '!K$17,'LIQUIDAÇÃO 2025'!$F:$F,'MEDIÇÃO '!$A20)</f>
        <v>0</v>
      </c>
      <c r="L20" s="137">
        <f>SUMIFS('LIQUIDAÇÃO 2025'!$K:$K,'LIQUIDAÇÃO 2025'!$B:$B,'MEDIÇÃO '!$A$15,'LIQUIDAÇÃO 2025'!$C:$C,'MEDIÇÃO '!$B$15,'LIQUIDAÇÃO 2025'!$H:$H,'MEDIÇÃO '!L$17,'LIQUIDAÇÃO 2025'!$F:$F,'MEDIÇÃO '!$A20)</f>
        <v>0</v>
      </c>
      <c r="M20" s="137">
        <f>SUMIFS('LIQUIDAÇÃO 2025'!$K:$K,'LIQUIDAÇÃO 2025'!$B:$B,'MEDIÇÃO '!$A$15,'LIQUIDAÇÃO 2025'!$C:$C,'MEDIÇÃO '!$B$15,'LIQUIDAÇÃO 2025'!$H:$H,'MEDIÇÃO '!M$17,'LIQUIDAÇÃO 2025'!$F:$F,'MEDIÇÃO '!$A20)</f>
        <v>0</v>
      </c>
      <c r="N20" s="1067"/>
    </row>
    <row r="21" spans="1:17" s="57" customFormat="1" ht="15" customHeight="1">
      <c r="A21" s="136" cm="1">
        <f t="array" ref="A21">IFERROR(INDEX(Tabela3[[CÓDIGO
 EMPRESA ]:[EMPENHO]],SMALL(IF(Tabela3[CÓDIGO
 EMPRESA ]='MEDIÇÃO '!$A$15,ROW(Tabela3[CÓDIGO
 EMPRESA ])-3),ROW(P3)),3),"")</f>
        <v>6826</v>
      </c>
      <c r="B21" s="137">
        <f>SUMIFS('LIQUIDAÇÃO 2025'!$K:$K,'LIQUIDAÇÃO 2025'!$B:$B,'MEDIÇÃO '!$A$15,'LIQUIDAÇÃO 2025'!$C:$C,'MEDIÇÃO '!$B$15,'LIQUIDAÇÃO 2025'!$H:$H,'MEDIÇÃO '!B$17,'LIQUIDAÇÃO 2025'!$F:$F,'MEDIÇÃO '!$A21)</f>
        <v>0</v>
      </c>
      <c r="C21" s="137">
        <f>SUMIFS('LIQUIDAÇÃO 2025'!$K:$K,'LIQUIDAÇÃO 2025'!$B:$B,'MEDIÇÃO '!$A$15,'LIQUIDAÇÃO 2025'!$C:$C,'MEDIÇÃO '!$B$15,'LIQUIDAÇÃO 2025'!$H:$H,'MEDIÇÃO '!C$17,'LIQUIDAÇÃO 2025'!$F:$F,'MEDIÇÃO '!$A21)</f>
        <v>0</v>
      </c>
      <c r="D21" s="137">
        <f>SUMIFS('LIQUIDAÇÃO 2025'!$K:$K,'LIQUIDAÇÃO 2025'!$B:$B,'MEDIÇÃO '!$A$15,'LIQUIDAÇÃO 2025'!$C:$C,'MEDIÇÃO '!$B$15,'LIQUIDAÇÃO 2025'!$H:$H,'MEDIÇÃO '!D$17,'LIQUIDAÇÃO 2025'!$F:$F,'MEDIÇÃO '!$A21)</f>
        <v>0</v>
      </c>
      <c r="E21" s="137">
        <f>SUMIFS('LIQUIDAÇÃO 2025'!$K:$K,'LIQUIDAÇÃO 2025'!$B:$B,'MEDIÇÃO '!$A$15,'LIQUIDAÇÃO 2025'!$C:$C,'MEDIÇÃO '!$B$15,'LIQUIDAÇÃO 2025'!$H:$H,'MEDIÇÃO '!E$17,'LIQUIDAÇÃO 2025'!$F:$F,'MEDIÇÃO '!$A21)</f>
        <v>0</v>
      </c>
      <c r="F21" s="137">
        <f>SUMIFS('LIQUIDAÇÃO 2025'!$K:$K,'LIQUIDAÇÃO 2025'!$B:$B,'MEDIÇÃO '!$A$15,'LIQUIDAÇÃO 2025'!$C:$C,'MEDIÇÃO '!$B$15,'LIQUIDAÇÃO 2025'!$H:$H,'MEDIÇÃO '!F$17,'LIQUIDAÇÃO 2025'!$F:$F,'MEDIÇÃO '!$A21)</f>
        <v>0</v>
      </c>
      <c r="G21" s="137">
        <f>SUMIFS('LIQUIDAÇÃO 2025'!$K:$K,'LIQUIDAÇÃO 2025'!$B:$B,'MEDIÇÃO '!$A$15,'LIQUIDAÇÃO 2025'!$C:$C,'MEDIÇÃO '!$B$15,'LIQUIDAÇÃO 2025'!$H:$H,'MEDIÇÃO '!G$17,'LIQUIDAÇÃO 2025'!$F:$F,'MEDIÇÃO '!$A21)</f>
        <v>0</v>
      </c>
      <c r="H21" s="137">
        <f>SUMIFS('LIQUIDAÇÃO 2025'!$K:$K,'LIQUIDAÇÃO 2025'!$B:$B,'MEDIÇÃO '!$A$15,'LIQUIDAÇÃO 2025'!$C:$C,'MEDIÇÃO '!$B$15,'LIQUIDAÇÃO 2025'!$H:$H,'MEDIÇÃO '!H$17,'LIQUIDAÇÃO 2025'!$F:$F,'MEDIÇÃO '!$A21)</f>
        <v>0</v>
      </c>
      <c r="I21" s="137">
        <f>SUMIFS('LIQUIDAÇÃO 2025'!$K:$K,'LIQUIDAÇÃO 2025'!$B:$B,'MEDIÇÃO '!$A$15,'LIQUIDAÇÃO 2025'!$C:$C,'MEDIÇÃO '!$B$15,'LIQUIDAÇÃO 2025'!$H:$H,'MEDIÇÃO '!I$17,'LIQUIDAÇÃO 2025'!$F:$F,'MEDIÇÃO '!$A21)</f>
        <v>0</v>
      </c>
      <c r="J21" s="137">
        <f>SUMIFS('LIQUIDAÇÃO 2025'!$K:$K,'LIQUIDAÇÃO 2025'!$B:$B,'MEDIÇÃO '!$A$15,'LIQUIDAÇÃO 2025'!$C:$C,'MEDIÇÃO '!$B$15,'LIQUIDAÇÃO 2025'!$H:$H,'MEDIÇÃO '!J$17,'LIQUIDAÇÃO 2025'!$F:$F,'MEDIÇÃO '!$A21)</f>
        <v>0</v>
      </c>
      <c r="K21" s="137">
        <f>SUMIFS('LIQUIDAÇÃO 2025'!$K:$K,'LIQUIDAÇÃO 2025'!$B:$B,'MEDIÇÃO '!$A$15,'LIQUIDAÇÃO 2025'!$C:$C,'MEDIÇÃO '!$B$15,'LIQUIDAÇÃO 2025'!$H:$H,'MEDIÇÃO '!K$17,'LIQUIDAÇÃO 2025'!$F:$F,'MEDIÇÃO '!$A21)</f>
        <v>43309.03</v>
      </c>
      <c r="L21" s="137">
        <f>SUMIFS('LIQUIDAÇÃO 2025'!$K:$K,'LIQUIDAÇÃO 2025'!$B:$B,'MEDIÇÃO '!$A$15,'LIQUIDAÇÃO 2025'!$C:$C,'MEDIÇÃO '!$B$15,'LIQUIDAÇÃO 2025'!$H:$H,'MEDIÇÃO '!L$17,'LIQUIDAÇÃO 2025'!$F:$F,'MEDIÇÃO '!$A21)</f>
        <v>116831.22</v>
      </c>
      <c r="M21" s="137">
        <f>SUMIFS('LIQUIDAÇÃO 2025'!$K:$K,'LIQUIDAÇÃO 2025'!$B:$B,'MEDIÇÃO '!$A$15,'LIQUIDAÇÃO 2025'!$C:$C,'MEDIÇÃO '!$B$15,'LIQUIDAÇÃO 2025'!$H:$H,'MEDIÇÃO '!M$17,'LIQUIDAÇÃO 2025'!$F:$F,'MEDIÇÃO '!$A21)</f>
        <v>245359.75</v>
      </c>
      <c r="N21" s="1067"/>
    </row>
    <row r="22" spans="1:17" s="57" customFormat="1" ht="15" customHeight="1">
      <c r="A22" s="136" cm="1">
        <f t="array" ref="A22">IFERROR(INDEX(Tabela3[[CÓDIGO
 EMPRESA ]:[EMPENHO]],SMALL(IF(Tabela3[CÓDIGO
 EMPRESA ]='MEDIÇÃO '!$A$15,ROW(Tabela3[CÓDIGO
 EMPRESA ])-3),ROW(P4)),3),"")</f>
        <v>4189</v>
      </c>
      <c r="B22" s="137">
        <f>SUMIFS('LIQUIDAÇÃO 2025'!$K:$K,'LIQUIDAÇÃO 2025'!$B:$B,'MEDIÇÃO '!$A$15,'LIQUIDAÇÃO 2025'!$C:$C,'MEDIÇÃO '!$B$15,'LIQUIDAÇÃO 2025'!$H:$H,'MEDIÇÃO '!B$17,'LIQUIDAÇÃO 2025'!$F:$F,'MEDIÇÃO '!$A22)</f>
        <v>0</v>
      </c>
      <c r="C22" s="137">
        <f>SUMIFS('LIQUIDAÇÃO 2025'!$K:$K,'LIQUIDAÇÃO 2025'!$B:$B,'MEDIÇÃO '!$A$15,'LIQUIDAÇÃO 2025'!$C:$C,'MEDIÇÃO '!$B$15,'LIQUIDAÇÃO 2025'!$H:$H,'MEDIÇÃO '!C$17,'LIQUIDAÇÃO 2025'!$F:$F,'MEDIÇÃO '!$A22)</f>
        <v>0</v>
      </c>
      <c r="D22" s="137">
        <f>SUMIFS('LIQUIDAÇÃO 2025'!$K:$K,'LIQUIDAÇÃO 2025'!$B:$B,'MEDIÇÃO '!$A$15,'LIQUIDAÇÃO 2025'!$C:$C,'MEDIÇÃO '!$B$15,'LIQUIDAÇÃO 2025'!$H:$H,'MEDIÇÃO '!D$17,'LIQUIDAÇÃO 2025'!$F:$F,'MEDIÇÃO '!$A22)</f>
        <v>0</v>
      </c>
      <c r="E22" s="137">
        <f>SUMIFS('LIQUIDAÇÃO 2025'!$K:$K,'LIQUIDAÇÃO 2025'!$B:$B,'MEDIÇÃO '!$A$15,'LIQUIDAÇÃO 2025'!$C:$C,'MEDIÇÃO '!$B$15,'LIQUIDAÇÃO 2025'!$H:$H,'MEDIÇÃO '!E$17,'LIQUIDAÇÃO 2025'!$F:$F,'MEDIÇÃO '!$A22)</f>
        <v>0</v>
      </c>
      <c r="F22" s="137">
        <f>SUMIFS('LIQUIDAÇÃO 2025'!$K:$K,'LIQUIDAÇÃO 2025'!$B:$B,'MEDIÇÃO '!$A$15,'LIQUIDAÇÃO 2025'!$C:$C,'MEDIÇÃO '!$B$15,'LIQUIDAÇÃO 2025'!$H:$H,'MEDIÇÃO '!F$17,'LIQUIDAÇÃO 2025'!$F:$F,'MEDIÇÃO '!$A22)</f>
        <v>97096.57</v>
      </c>
      <c r="G22" s="137">
        <f>SUMIFS('LIQUIDAÇÃO 2025'!$K:$K,'LIQUIDAÇÃO 2025'!$B:$B,'MEDIÇÃO '!$A$15,'LIQUIDAÇÃO 2025'!$C:$C,'MEDIÇÃO '!$B$15,'LIQUIDAÇÃO 2025'!$H:$H,'MEDIÇÃO '!G$17,'LIQUIDAÇÃO 2025'!$F:$F,'MEDIÇÃO '!$A22)</f>
        <v>0</v>
      </c>
      <c r="H22" s="137">
        <f>SUMIFS('LIQUIDAÇÃO 2025'!$K:$K,'LIQUIDAÇÃO 2025'!$B:$B,'MEDIÇÃO '!$A$15,'LIQUIDAÇÃO 2025'!$C:$C,'MEDIÇÃO '!$B$15,'LIQUIDAÇÃO 2025'!$H:$H,'MEDIÇÃO '!H$17,'LIQUIDAÇÃO 2025'!$F:$F,'MEDIÇÃO '!$A22)</f>
        <v>206618.88</v>
      </c>
      <c r="I22" s="137">
        <f>SUMIFS('LIQUIDAÇÃO 2025'!$K:$K,'LIQUIDAÇÃO 2025'!$B:$B,'MEDIÇÃO '!$A$15,'LIQUIDAÇÃO 2025'!$C:$C,'MEDIÇÃO '!$B$15,'LIQUIDAÇÃO 2025'!$H:$H,'MEDIÇÃO '!I$17,'LIQUIDAÇÃO 2025'!$F:$F,'MEDIÇÃO '!$A22)</f>
        <v>83323.759999999995</v>
      </c>
      <c r="J22" s="137">
        <f>SUMIFS('LIQUIDAÇÃO 2025'!$K:$K,'LIQUIDAÇÃO 2025'!$B:$B,'MEDIÇÃO '!$A$15,'LIQUIDAÇÃO 2025'!$C:$C,'MEDIÇÃO '!$B$15,'LIQUIDAÇÃO 2025'!$H:$H,'MEDIÇÃO '!J$17,'LIQUIDAÇÃO 2025'!$F:$F,'MEDIÇÃO '!$A22)</f>
        <v>0</v>
      </c>
      <c r="K22" s="137">
        <f>SUMIFS('LIQUIDAÇÃO 2025'!$K:$K,'LIQUIDAÇÃO 2025'!$B:$B,'MEDIÇÃO '!$A$15,'LIQUIDAÇÃO 2025'!$C:$C,'MEDIÇÃO '!$B$15,'LIQUIDAÇÃO 2025'!$H:$H,'MEDIÇÃO '!K$17,'LIQUIDAÇÃO 2025'!$F:$F,'MEDIÇÃO '!$A22)</f>
        <v>18460.79</v>
      </c>
      <c r="L22" s="137">
        <f>SUMIFS('LIQUIDAÇÃO 2025'!$K:$K,'LIQUIDAÇÃO 2025'!$B:$B,'MEDIÇÃO '!$A$15,'LIQUIDAÇÃO 2025'!$C:$C,'MEDIÇÃO '!$B$15,'LIQUIDAÇÃO 2025'!$H:$H,'MEDIÇÃO '!L$17,'LIQUIDAÇÃO 2025'!$F:$F,'MEDIÇÃO '!$A22)</f>
        <v>0</v>
      </c>
      <c r="M22" s="137">
        <f>SUMIFS('LIQUIDAÇÃO 2025'!$K:$K,'LIQUIDAÇÃO 2025'!$B:$B,'MEDIÇÃO '!$A$15,'LIQUIDAÇÃO 2025'!$C:$C,'MEDIÇÃO '!$B$15,'LIQUIDAÇÃO 2025'!$H:$H,'MEDIÇÃO '!M$17,'LIQUIDAÇÃO 2025'!$F:$F,'MEDIÇÃO '!$A22)</f>
        <v>0</v>
      </c>
      <c r="N22" s="1067"/>
    </row>
    <row r="23" spans="1:17" s="57" customFormat="1" ht="15.75" customHeight="1">
      <c r="A23" s="136" cm="1">
        <f t="array" ref="A23">IFERROR(INDEX(Tabela3[[CÓDIGO
 EMPRESA ]:[EMPENHO]],SMALL(IF(Tabela3[CÓDIGO
 EMPRESA ]='MEDIÇÃO '!$A$15,ROW(Tabela3[CÓDIGO
 EMPRESA ])-3),ROW(P5)),3),"")</f>
        <v>13606</v>
      </c>
      <c r="B23" s="137">
        <f>SUMIFS('LIQUIDAÇÃO 2025'!$K:$K,'LIQUIDAÇÃO 2025'!$B:$B,'MEDIÇÃO '!$A$15,'LIQUIDAÇÃO 2025'!$C:$C,'MEDIÇÃO '!$B$15,'LIQUIDAÇÃO 2025'!$H:$H,'MEDIÇÃO '!B$17,'LIQUIDAÇÃO 2025'!$F:$F,'MEDIÇÃO '!$A23)</f>
        <v>0</v>
      </c>
      <c r="C23" s="137">
        <f>SUMIFS('LIQUIDAÇÃO 2025'!$K:$K,'LIQUIDAÇÃO 2025'!$B:$B,'MEDIÇÃO '!$A$15,'LIQUIDAÇÃO 2025'!$C:$C,'MEDIÇÃO '!$B$15,'LIQUIDAÇÃO 2025'!$H:$H,'MEDIÇÃO '!C$17,'LIQUIDAÇÃO 2025'!$F:$F,'MEDIÇÃO '!$A23)</f>
        <v>357256.72</v>
      </c>
      <c r="D23" s="137">
        <f>SUMIFS('LIQUIDAÇÃO 2025'!$K:$K,'LIQUIDAÇÃO 2025'!$B:$B,'MEDIÇÃO '!$A$15,'LIQUIDAÇÃO 2025'!$C:$C,'MEDIÇÃO '!$B$15,'LIQUIDAÇÃO 2025'!$H:$H,'MEDIÇÃO '!D$17,'LIQUIDAÇÃO 2025'!$F:$F,'MEDIÇÃO '!$A23)</f>
        <v>0</v>
      </c>
      <c r="E23" s="137">
        <f>SUMIFS('LIQUIDAÇÃO 2025'!$K:$K,'LIQUIDAÇÃO 2025'!$B:$B,'MEDIÇÃO '!$A$15,'LIQUIDAÇÃO 2025'!$C:$C,'MEDIÇÃO '!$B$15,'LIQUIDAÇÃO 2025'!$H:$H,'MEDIÇÃO '!E$17,'LIQUIDAÇÃO 2025'!$F:$F,'MEDIÇÃO '!$A23)</f>
        <v>0</v>
      </c>
      <c r="F23" s="137">
        <f>SUMIFS('LIQUIDAÇÃO 2025'!$K:$K,'LIQUIDAÇÃO 2025'!$B:$B,'MEDIÇÃO '!$A$15,'LIQUIDAÇÃO 2025'!$C:$C,'MEDIÇÃO '!$B$15,'LIQUIDAÇÃO 2025'!$H:$H,'MEDIÇÃO '!F$17,'LIQUIDAÇÃO 2025'!$F:$F,'MEDIÇÃO '!$A23)</f>
        <v>0</v>
      </c>
      <c r="G23" s="137">
        <f>SUMIFS('LIQUIDAÇÃO 2025'!$K:$K,'LIQUIDAÇÃO 2025'!$B:$B,'MEDIÇÃO '!$A$15,'LIQUIDAÇÃO 2025'!$C:$C,'MEDIÇÃO '!$B$15,'LIQUIDAÇÃO 2025'!$H:$H,'MEDIÇÃO '!G$17,'LIQUIDAÇÃO 2025'!$F:$F,'MEDIÇÃO '!$A23)</f>
        <v>0</v>
      </c>
      <c r="H23" s="137">
        <f>SUMIFS('LIQUIDAÇÃO 2025'!$K:$K,'LIQUIDAÇÃO 2025'!$B:$B,'MEDIÇÃO '!$A$15,'LIQUIDAÇÃO 2025'!$C:$C,'MEDIÇÃO '!$B$15,'LIQUIDAÇÃO 2025'!$H:$H,'MEDIÇÃO '!H$17,'LIQUIDAÇÃO 2025'!$F:$F,'MEDIÇÃO '!$A23)</f>
        <v>0</v>
      </c>
      <c r="I23" s="137">
        <f>SUMIFS('LIQUIDAÇÃO 2025'!$K:$K,'LIQUIDAÇÃO 2025'!$B:$B,'MEDIÇÃO '!$A$15,'LIQUIDAÇÃO 2025'!$C:$C,'MEDIÇÃO '!$B$15,'LIQUIDAÇÃO 2025'!$H:$H,'MEDIÇÃO '!I$17,'LIQUIDAÇÃO 2025'!$F:$F,'MEDIÇÃO '!$A23)</f>
        <v>0</v>
      </c>
      <c r="J23" s="137">
        <f>SUMIFS('LIQUIDAÇÃO 2025'!$K:$K,'LIQUIDAÇÃO 2025'!$B:$B,'MEDIÇÃO '!$A$15,'LIQUIDAÇÃO 2025'!$C:$C,'MEDIÇÃO '!$B$15,'LIQUIDAÇÃO 2025'!$H:$H,'MEDIÇÃO '!J$17,'LIQUIDAÇÃO 2025'!$F:$F,'MEDIÇÃO '!$A23)</f>
        <v>0</v>
      </c>
      <c r="K23" s="137">
        <f>SUMIFS('LIQUIDAÇÃO 2025'!$K:$K,'LIQUIDAÇÃO 2025'!$B:$B,'MEDIÇÃO '!$A$15,'LIQUIDAÇÃO 2025'!$C:$C,'MEDIÇÃO '!$B$15,'LIQUIDAÇÃO 2025'!$H:$H,'MEDIÇÃO '!K$17,'LIQUIDAÇÃO 2025'!$F:$F,'MEDIÇÃO '!$A23)</f>
        <v>0</v>
      </c>
      <c r="L23" s="137">
        <f>SUMIFS('LIQUIDAÇÃO 2025'!$K:$K,'LIQUIDAÇÃO 2025'!$B:$B,'MEDIÇÃO '!$A$15,'LIQUIDAÇÃO 2025'!$C:$C,'MEDIÇÃO '!$B$15,'LIQUIDAÇÃO 2025'!$H:$H,'MEDIÇÃO '!L$17,'LIQUIDAÇÃO 2025'!$F:$F,'MEDIÇÃO '!$A23)</f>
        <v>0</v>
      </c>
      <c r="M23" s="137">
        <f>SUMIFS('LIQUIDAÇÃO 2025'!$K:$K,'LIQUIDAÇÃO 2025'!$B:$B,'MEDIÇÃO '!$A$15,'LIQUIDAÇÃO 2025'!$C:$C,'MEDIÇÃO '!$B$15,'LIQUIDAÇÃO 2025'!$H:$H,'MEDIÇÃO '!M$17,'LIQUIDAÇÃO 2025'!$F:$F,'MEDIÇÃO '!$A23)</f>
        <v>20362.169999999998</v>
      </c>
      <c r="N23" s="1067"/>
    </row>
    <row r="24" spans="1:17" s="57" customFormat="1" ht="15.75" customHeight="1" thickBot="1">
      <c r="A24" s="136" cm="1">
        <f t="array" ref="A24">IFERROR(INDEX(Tabela3[[CÓDIGO
 EMPRESA ]:[EMPENHO]],SMALL(IF(Tabela3[CÓDIGO
 EMPRESA ]='MEDIÇÃO '!$A$15,ROW(Tabela3[CÓDIGO
 EMPRESA ])-3),ROW(P6)),3),"")</f>
        <v>28362</v>
      </c>
      <c r="B24" s="832"/>
      <c r="C24" s="832"/>
      <c r="D24" s="832"/>
      <c r="E24" s="832"/>
      <c r="F24" s="832"/>
      <c r="G24" s="832"/>
      <c r="H24" s="832"/>
      <c r="I24" s="832"/>
      <c r="J24" s="832"/>
      <c r="K24" s="832"/>
      <c r="L24" s="832"/>
      <c r="M24" s="832"/>
      <c r="N24" s="1067"/>
    </row>
    <row r="25" spans="1:17" s="57" customFormat="1" ht="16.5" thickBot="1">
      <c r="A25" s="214" t="s">
        <v>38</v>
      </c>
      <c r="B25" s="215"/>
      <c r="C25" s="215"/>
      <c r="D25" s="215"/>
      <c r="E25" s="215"/>
      <c r="F25" s="533"/>
      <c r="G25" s="533"/>
      <c r="H25" s="533"/>
      <c r="I25" s="533"/>
      <c r="J25" s="533"/>
      <c r="K25" s="215"/>
      <c r="L25" s="215"/>
      <c r="M25" s="215"/>
      <c r="N25" s="1068"/>
      <c r="Q25" s="454">
        <f>D18-D19--D25</f>
        <v>220049.44</v>
      </c>
    </row>
    <row r="26" spans="1:17" s="57" customFormat="1" ht="15.75">
      <c r="A26" s="212" t="s">
        <v>127</v>
      </c>
      <c r="B26" s="216">
        <f t="shared" ref="B26" si="12">IF(SUM(B19:B23)&lt;&gt;0,B18-B25-SUM(B19:B23),(B18-SUM(B19:B23)-B25))</f>
        <v>185450.56</v>
      </c>
      <c r="C26" s="216">
        <f t="shared" ref="C26" si="13">IF(SUM(C19:C23)&lt;&gt;0,C18-C25-SUM(C19:C23),(C18-SUM(C19:C23)-C25))</f>
        <v>48243.28</v>
      </c>
      <c r="D26" s="216">
        <f t="shared" ref="D26" si="14">IF(SUM(D19:D23)&lt;&gt;0,D18-D25-SUM(D19:D23),(D18-SUM(D19:D23)-D25))</f>
        <v>115766.6</v>
      </c>
      <c r="E26" s="216">
        <f t="shared" ref="E26" si="15">IF(SUM(E19:E23)&lt;&gt;0,E18-E25-SUM(E19:E23),(E18-SUM(E19:E23)-E25))</f>
        <v>289960.07</v>
      </c>
      <c r="F26" s="216">
        <f t="shared" ref="F26" si="16">IF(SUM(F19:F23)&lt;&gt;0,F18-F25-SUM(F19:F23),(F18-SUM(F19:F23)-F25))</f>
        <v>1717226.2</v>
      </c>
      <c r="G26" s="216">
        <f t="shared" ref="G26" si="17">IF(SUM(G19:G23)&lt;&gt;0,G18-G25-SUM(G19:G23),(G18-SUM(G19:G23)-G25))</f>
        <v>0</v>
      </c>
      <c r="H26" s="216">
        <f t="shared" ref="H26" si="18">IF(SUM(H19:H23)&lt;&gt;0,H18-H25-SUM(H19:H23),(H18-SUM(H19:H23)-H25))</f>
        <v>-206618.88</v>
      </c>
      <c r="I26" s="216">
        <f t="shared" ref="I26" si="19">IF(SUM(I19:I23)&lt;&gt;0,I18-I25-SUM(I19:I23),(I18-SUM(I19:I23)-I25))</f>
        <v>-83323.759999999995</v>
      </c>
      <c r="J26" s="216">
        <f t="shared" ref="J26" si="20">IF(SUM(J19:J23)&lt;&gt;0,J18-J25-SUM(J19:J23),(J18-SUM(J19:J23)-J25))</f>
        <v>0</v>
      </c>
      <c r="K26" s="216">
        <f>IF(SUM(K19:K23)&lt;&gt;0,K18-K25-SUM(K19:K23),(K18-SUM(K19:K23)-K25))</f>
        <v>-61769.82</v>
      </c>
      <c r="L26" s="216">
        <f t="shared" ref="L26" si="21">IF(SUM(L19:L23)&lt;&gt;0,L18-L25-SUM(L19:L23),(L18-SUM(L19:L23)-L25))</f>
        <v>-116831.22</v>
      </c>
      <c r="M26" s="216">
        <f t="shared" ref="M26" si="22">IF(SUM(M19:M23)&lt;&gt;0,M18-M25-SUM(M19:M23),(M18-SUM(M19:M23)-M25))</f>
        <v>-265721.92</v>
      </c>
      <c r="N26" s="213">
        <f>SUM(B26:M26)</f>
        <v>1622381.11</v>
      </c>
    </row>
    <row r="27" spans="1:17" s="57" customFormat="1">
      <c r="J27" s="86"/>
      <c r="K27" s="86"/>
      <c r="L27" s="86"/>
      <c r="M27" s="86"/>
      <c r="N27" s="210"/>
    </row>
    <row r="28" spans="1:17" s="57" customFormat="1" ht="18.75" customHeight="1">
      <c r="A28" s="116">
        <v>103747</v>
      </c>
      <c r="B28" s="700" t="s">
        <v>371</v>
      </c>
      <c r="C28" s="115"/>
      <c r="D28" s="115"/>
      <c r="E28" s="117"/>
      <c r="F28" s="91" t="s">
        <v>116</v>
      </c>
      <c r="G28" s="92" t="s">
        <v>117</v>
      </c>
      <c r="H28" s="1062" t="s">
        <v>113</v>
      </c>
      <c r="I28" s="1062"/>
      <c r="J28" s="1062" t="s">
        <v>114</v>
      </c>
      <c r="K28" s="1062"/>
      <c r="L28" s="1062" t="s">
        <v>118</v>
      </c>
      <c r="M28" s="1062"/>
      <c r="N28" s="92" t="s">
        <v>115</v>
      </c>
    </row>
    <row r="29" spans="1:17" s="57" customFormat="1" ht="18.75">
      <c r="A29" s="116"/>
      <c r="B29" s="121"/>
      <c r="C29" s="121"/>
      <c r="D29" s="121"/>
      <c r="E29" s="122"/>
      <c r="F29" s="97" t="str">
        <f>VALIDAÇÕES!C8</f>
        <v>24088/2019</v>
      </c>
      <c r="G29" s="97" t="str">
        <f>VALIDAÇÕES!D8</f>
        <v>28501/2019</v>
      </c>
      <c r="H29" s="1061">
        <f>VALIDAÇÕES!G8</f>
        <v>25718840.030000001</v>
      </c>
      <c r="I29" s="1061"/>
      <c r="J29" s="1061">
        <f>VALIDAÇÕES!H8</f>
        <v>13115328.869999999</v>
      </c>
      <c r="K29" s="1061"/>
      <c r="L29" s="1063">
        <f>VALIDAÇÕES!E8</f>
        <v>45498</v>
      </c>
      <c r="M29" s="1063"/>
      <c r="N29" s="202">
        <f>VALIDAÇÕES!F8</f>
        <v>46413</v>
      </c>
    </row>
    <row r="30" spans="1:17" s="57" customFormat="1" ht="15.75" customHeight="1">
      <c r="A30" s="1060" t="s">
        <v>7</v>
      </c>
      <c r="B30" s="89" t="s">
        <v>44</v>
      </c>
      <c r="C30" s="89" t="s">
        <v>43</v>
      </c>
      <c r="D30" s="89" t="s">
        <v>45</v>
      </c>
      <c r="E30" s="89" t="s">
        <v>46</v>
      </c>
      <c r="F30" s="89" t="s">
        <v>47</v>
      </c>
      <c r="G30" s="89" t="s">
        <v>48</v>
      </c>
      <c r="H30" s="89" t="s">
        <v>49</v>
      </c>
      <c r="I30" s="89" t="s">
        <v>50</v>
      </c>
      <c r="J30" s="89" t="s">
        <v>51</v>
      </c>
      <c r="K30" s="89" t="s">
        <v>52</v>
      </c>
      <c r="L30" s="89" t="s">
        <v>53</v>
      </c>
      <c r="M30" s="89" t="s">
        <v>54</v>
      </c>
      <c r="N30" s="1066" t="s">
        <v>112</v>
      </c>
    </row>
    <row r="31" spans="1:17" s="57" customFormat="1" ht="15.75">
      <c r="A31" s="1060"/>
      <c r="B31" s="95"/>
      <c r="C31" s="95">
        <v>3520000</v>
      </c>
      <c r="D31" s="95">
        <v>3410000</v>
      </c>
      <c r="E31" s="95">
        <v>3659751.7</v>
      </c>
      <c r="F31" s="95">
        <v>3600000</v>
      </c>
      <c r="G31" s="95">
        <v>3410000</v>
      </c>
      <c r="H31" s="95">
        <v>1000000</v>
      </c>
      <c r="I31" s="96">
        <v>3900248.3</v>
      </c>
      <c r="J31" s="96">
        <v>3583806.1</v>
      </c>
      <c r="K31" s="96"/>
      <c r="L31" s="96"/>
      <c r="M31" s="96"/>
      <c r="N31" s="1067"/>
    </row>
    <row r="32" spans="1:17" s="57" customFormat="1">
      <c r="A32" s="131" cm="1">
        <f t="array" ref="A32">IFERROR(INDEX(Tabela3[[CÓDIGO
 EMPRESA ]:[EMPENHO]],SMALL(IF(Tabela3[CÓDIGO
 EMPRESA ]='MEDIÇÃO '!$A$28,ROW(Tabela3[CÓDIGO
 EMPRESA ])-3),ROW(P1)),3),"")</f>
        <v>4182</v>
      </c>
      <c r="B32" s="132">
        <f>SUMIFS('LIQUIDAÇÃO 2025'!$K:$K,'LIQUIDAÇÃO 2025'!$B:$B,'MEDIÇÃO '!$A$28,'LIQUIDAÇÃO 2025'!$C:$C,'MEDIÇÃO '!$B$28,'LIQUIDAÇÃO 2025'!$H:$H,'MEDIÇÃO '!B$30,'LIQUIDAÇÃO 2025'!$F:$F,'MEDIÇÃO '!$A$32)</f>
        <v>0</v>
      </c>
      <c r="C32" s="132">
        <f>SUMIFS('LIQUIDAÇÃO 2025'!$K:$K,'LIQUIDAÇÃO 2025'!$B:$B,'MEDIÇÃO '!$A$28,'LIQUIDAÇÃO 2025'!$C:$C,'MEDIÇÃO '!$B$28,'LIQUIDAÇÃO 2025'!$H:$H,'MEDIÇÃO '!C$30,'LIQUIDAÇÃO 2025'!$F:$F,'MEDIÇÃO '!$A$32)</f>
        <v>0</v>
      </c>
      <c r="D32" s="132">
        <f>SUMIFS('LIQUIDAÇÃO 2025'!$K:$K,'LIQUIDAÇÃO 2025'!$B:$B,'MEDIÇÃO '!$A$28,'LIQUIDAÇÃO 2025'!$C:$C,'MEDIÇÃO '!$B$28,'LIQUIDAÇÃO 2025'!$H:$H,'MEDIÇÃO '!D$30,'LIQUIDAÇÃO 2025'!$F:$F,'MEDIÇÃO '!$A$32)</f>
        <v>469649.1</v>
      </c>
      <c r="E32" s="132">
        <f>SUMIFS('LIQUIDAÇÃO 2025'!$K:$K,'LIQUIDAÇÃO 2025'!$B:$B,'MEDIÇÃO '!$A$28,'LIQUIDAÇÃO 2025'!$C:$C,'MEDIÇÃO '!$B$28,'LIQUIDAÇÃO 2025'!$H:$H,'MEDIÇÃO '!E$30,'LIQUIDAÇÃO 2025'!$F:$F,'MEDIÇÃO '!$A$32)</f>
        <v>0</v>
      </c>
      <c r="F32" s="132">
        <f>SUMIFS('LIQUIDAÇÃO 2025'!$K:$K,'LIQUIDAÇÃO 2025'!$B:$B,'MEDIÇÃO '!$A$28,'LIQUIDAÇÃO 2025'!$C:$C,'MEDIÇÃO '!$B$28,'LIQUIDAÇÃO 2025'!$H:$H,'MEDIÇÃO '!F$30,'LIQUIDAÇÃO 2025'!$F:$F,'MEDIÇÃO '!$A$32)</f>
        <v>0</v>
      </c>
      <c r="G32" s="132">
        <f>SUMIFS('LIQUIDAÇÃO 2025'!$K:$K,'LIQUIDAÇÃO 2025'!$B:$B,'MEDIÇÃO '!$A$28,'LIQUIDAÇÃO 2025'!$C:$C,'MEDIÇÃO '!$B$28,'LIQUIDAÇÃO 2025'!$H:$H,'MEDIÇÃO '!G$30,'LIQUIDAÇÃO 2025'!$F:$F,'MEDIÇÃO '!$A$32)</f>
        <v>3190102.6</v>
      </c>
      <c r="H32" s="132">
        <f>SUMIFS('LIQUIDAÇÃO 2025'!$K:$K,'LIQUIDAÇÃO 2025'!$B:$B,'MEDIÇÃO '!$A$28,'LIQUIDAÇÃO 2025'!$C:$C,'MEDIÇÃO '!$B$28,'LIQUIDAÇÃO 2025'!$H:$H,'MEDIÇÃO '!H$30,'LIQUIDAÇÃO 2025'!$F:$F,'MEDIÇÃO '!$A$32)</f>
        <v>0</v>
      </c>
      <c r="I32" s="132">
        <f>SUMIFS('LIQUIDAÇÃO 2025'!$K:$K,'LIQUIDAÇÃO 2025'!$B:$B,'MEDIÇÃO '!$A$28,'LIQUIDAÇÃO 2025'!$C:$C,'MEDIÇÃO '!$B$28,'LIQUIDAÇÃO 2025'!$H:$H,'MEDIÇÃO '!I$30,'LIQUIDAÇÃO 2025'!$F:$F,'MEDIÇÃO '!$A$32)</f>
        <v>0</v>
      </c>
      <c r="J32" s="132">
        <f>SUMIFS('LIQUIDAÇÃO 2025'!$K:$K,'LIQUIDAÇÃO 2025'!$B:$B,'MEDIÇÃO '!$A$28,'LIQUIDAÇÃO 2025'!$C:$C,'MEDIÇÃO '!$B$28,'LIQUIDAÇÃO 2025'!$H:$H,'MEDIÇÃO '!J$30,'LIQUIDAÇÃO 2025'!$F:$F,'MEDIÇÃO '!$A$32)</f>
        <v>0</v>
      </c>
      <c r="K32" s="132">
        <f>SUMIFS('LIQUIDAÇÃO 2025'!$K:$K,'LIQUIDAÇÃO 2025'!$B:$B,'MEDIÇÃO '!$A$28,'LIQUIDAÇÃO 2025'!$C:$C,'MEDIÇÃO '!$B$28,'LIQUIDAÇÃO 2025'!$H:$H,'MEDIÇÃO '!K$30,'LIQUIDAÇÃO 2025'!$F:$F,'MEDIÇÃO '!$A$32)</f>
        <v>0</v>
      </c>
      <c r="L32" s="132">
        <f>SUMIFS('LIQUIDAÇÃO 2025'!$K:$K,'LIQUIDAÇÃO 2025'!$B:$B,'MEDIÇÃO '!$A$28,'LIQUIDAÇÃO 2025'!$C:$C,'MEDIÇÃO '!$B$28,'LIQUIDAÇÃO 2025'!$H:$H,'MEDIÇÃO '!L$30,'LIQUIDAÇÃO 2025'!$F:$F,'MEDIÇÃO '!$A$32)</f>
        <v>0</v>
      </c>
      <c r="M32" s="132">
        <f>SUMIFS('LIQUIDAÇÃO 2025'!$K:$K,'LIQUIDAÇÃO 2025'!$B:$B,'MEDIÇÃO '!$A$28,'LIQUIDAÇÃO 2025'!$C:$C,'MEDIÇÃO '!$B$28,'LIQUIDAÇÃO 2025'!$H:$H,'MEDIÇÃO '!M$30,'LIQUIDAÇÃO 2025'!$F:$F,'MEDIÇÃO '!$A$32)</f>
        <v>0</v>
      </c>
      <c r="N32" s="1067"/>
      <c r="Q32" s="57">
        <f>27</f>
        <v>27</v>
      </c>
    </row>
    <row r="33" spans="1:14" s="57" customFormat="1">
      <c r="A33" s="131" cm="1">
        <f t="array" ref="A33">IFERROR(INDEX(Tabela3[[CÓDIGO
 EMPRESA ]:[EMPENHO]],SMALL(IF(Tabela3[CÓDIGO
 EMPRESA ]='MEDIÇÃO '!$A$28,ROW(Tabela3[CÓDIGO
 EMPRESA ])-3),ROW(P2)),3),"")</f>
        <v>2956</v>
      </c>
      <c r="B33" s="132">
        <f>SUMIFS('LIQUIDAÇÃO 2025'!$K:$K,'LIQUIDAÇÃO 2025'!$B:$B,'MEDIÇÃO '!$A$28,'LIQUIDAÇÃO 2025'!$C:$C,'MEDIÇÃO '!$B$28,'LIQUIDAÇÃO 2025'!$H:$H,'MEDIÇÃO '!B$30,'LIQUIDAÇÃO 2025'!$F:$F,'MEDIÇÃO '!$A$32)</f>
        <v>0</v>
      </c>
      <c r="C33" s="132">
        <f>SUMIFS('LIQUIDAÇÃO 2025'!$K:$K,'LIQUIDAÇÃO 2025'!$B:$B,'MEDIÇÃO '!$A$28,'LIQUIDAÇÃO 2025'!$C:$C,'MEDIÇÃO '!$B$28,'LIQUIDAÇÃO 2025'!$H:$H,'MEDIÇÃO '!C$30,'LIQUIDAÇÃO 2025'!$F:$F,'MEDIÇÃO '!$A$33)</f>
        <v>3520000</v>
      </c>
      <c r="D33" s="132">
        <f>SUMIFS('LIQUIDAÇÃO 2025'!$K:$K,'LIQUIDAÇÃO 2025'!$B:$B,'MEDIÇÃO '!$A$28,'LIQUIDAÇÃO 2025'!$C:$C,'MEDIÇÃO '!$B$28,'LIQUIDAÇÃO 2025'!$H:$H,'MEDIÇÃO '!D$30,'LIQUIDAÇÃO 2025'!$F:$F,'MEDIÇÃO '!$A$33)</f>
        <v>0</v>
      </c>
      <c r="E33" s="132">
        <f>SUMIFS('LIQUIDAÇÃO 2025'!$K:$K,'LIQUIDAÇÃO 2025'!$B:$B,'MEDIÇÃO '!$A$28,'LIQUIDAÇÃO 2025'!$C:$C,'MEDIÇÃO '!$B$28,'LIQUIDAÇÃO 2025'!$H:$H,'MEDIÇÃO '!E$30,'LIQUIDAÇÃO 2025'!$F:$F,'MEDIÇÃO '!$A$33)</f>
        <v>0</v>
      </c>
      <c r="F33" s="132">
        <f>SUMIFS('LIQUIDAÇÃO 2025'!$K:$K,'LIQUIDAÇÃO 2025'!$B:$B,'MEDIÇÃO '!$A$28,'LIQUIDAÇÃO 2025'!$C:$C,'MEDIÇÃO '!$B$28,'LIQUIDAÇÃO 2025'!$H:$H,'MEDIÇÃO '!F$30,'LIQUIDAÇÃO 2025'!$F:$F,'MEDIÇÃO '!$A$33)</f>
        <v>0</v>
      </c>
      <c r="G33" s="132">
        <f>SUMIFS('LIQUIDAÇÃO 2025'!$K:$K,'LIQUIDAÇÃO 2025'!$B:$B,'MEDIÇÃO '!$A$28,'LIQUIDAÇÃO 2025'!$C:$C,'MEDIÇÃO '!$B$28,'LIQUIDAÇÃO 2025'!$H:$H,'MEDIÇÃO '!G$30,'LIQUIDAÇÃO 2025'!$F:$F,'MEDIÇÃO '!$A$33)</f>
        <v>0</v>
      </c>
      <c r="H33" s="132">
        <f>SUMIFS('LIQUIDAÇÃO 2025'!$K:$K,'LIQUIDAÇÃO 2025'!$B:$B,'MEDIÇÃO '!$A$28,'LIQUIDAÇÃO 2025'!$C:$C,'MEDIÇÃO '!$B$28,'LIQUIDAÇÃO 2025'!$H:$H,'MEDIÇÃO '!H$30,'LIQUIDAÇÃO 2025'!$F:$F,'MEDIÇÃO '!$A$33)</f>
        <v>0</v>
      </c>
      <c r="I33" s="132">
        <f>SUMIFS('LIQUIDAÇÃO 2025'!$K:$K,'LIQUIDAÇÃO 2025'!$B:$B,'MEDIÇÃO '!$A$28,'LIQUIDAÇÃO 2025'!$C:$C,'MEDIÇÃO '!$B$28,'LIQUIDAÇÃO 2025'!$H:$H,'MEDIÇÃO '!I$30,'LIQUIDAÇÃO 2025'!$F:$F,'MEDIÇÃO '!$A$33)</f>
        <v>0</v>
      </c>
      <c r="J33" s="132">
        <f>SUMIFS('LIQUIDAÇÃO 2025'!$K:$K,'LIQUIDAÇÃO 2025'!$B:$B,'MEDIÇÃO '!$A$28,'LIQUIDAÇÃO 2025'!$C:$C,'MEDIÇÃO '!$B$28,'LIQUIDAÇÃO 2025'!$H:$H,'MEDIÇÃO '!J$30,'LIQUIDAÇÃO 2025'!$F:$F,'MEDIÇÃO '!$A$38)</f>
        <v>273526.3</v>
      </c>
      <c r="K33" s="132">
        <f>SUMIFS('LIQUIDAÇÃO 2025'!$K:$K,'LIQUIDAÇÃO 2025'!$B:$B,'MEDIÇÃO '!$A$28,'LIQUIDAÇÃO 2025'!$C:$C,'MEDIÇÃO '!$B$28,'LIQUIDAÇÃO 2025'!$H:$H,'MEDIÇÃO '!K$30,'LIQUIDAÇÃO 2025'!$F:$F,'MEDIÇÃO '!$A$33)</f>
        <v>0</v>
      </c>
      <c r="L33" s="132">
        <f>SUMIFS('LIQUIDAÇÃO 2025'!$K:$K,'LIQUIDAÇÃO 2025'!$B:$B,'MEDIÇÃO '!$A$28,'LIQUIDAÇÃO 2025'!$C:$C,'MEDIÇÃO '!$B$28,'LIQUIDAÇÃO 2025'!$H:$H,'MEDIÇÃO '!L$30,'LIQUIDAÇÃO 2025'!$F:$F,'MEDIÇÃO '!$A$33)</f>
        <v>0</v>
      </c>
      <c r="M33" s="132">
        <f>SUMIFS('LIQUIDAÇÃO 2025'!$K:$K,'LIQUIDAÇÃO 2025'!$B:$B,'MEDIÇÃO '!$A$28,'LIQUIDAÇÃO 2025'!$C:$C,'MEDIÇÃO '!$B$28,'LIQUIDAÇÃO 2025'!$H:$H,'MEDIÇÃO '!M$30,'LIQUIDAÇÃO 2025'!$F:$F,'MEDIÇÃO '!$A$33)</f>
        <v>0</v>
      </c>
      <c r="N33" s="1067"/>
    </row>
    <row r="34" spans="1:14" s="57" customFormat="1">
      <c r="A34" s="131" cm="1">
        <f t="array" ref="A34">IFERROR(INDEX(Tabela3[[CÓDIGO
 EMPRESA ]:[EMPENHO]],SMALL(IF(Tabela3[CÓDIGO
 EMPRESA ]='MEDIÇÃO '!$A$28,ROW(Tabela3[CÓDIGO
 EMPRESA ])-3),ROW(P3)),3),"")</f>
        <v>3682</v>
      </c>
      <c r="B34" s="132">
        <f>SUMIFS('LIQUIDAÇÃO 2025'!$K:$K,'LIQUIDAÇÃO 2025'!$B:$B,'MEDIÇÃO '!$A$28,'LIQUIDAÇÃO 2025'!$C:$C,'MEDIÇÃO '!$B$28,'LIQUIDAÇÃO 2025'!$H:$H,'MEDIÇÃO '!B$30,'LIQUIDAÇÃO 2025'!$F:$F,'MEDIÇÃO '!$A$32)</f>
        <v>0</v>
      </c>
      <c r="C34" s="132">
        <f>SUMIFS('LIQUIDAÇÃO 2025'!$K:$K,'LIQUIDAÇÃO 2025'!$B:$B,'MEDIÇÃO '!$A$28,'LIQUIDAÇÃO 2025'!$C:$C,'MEDIÇÃO '!$B$28,'LIQUIDAÇÃO 2025'!$H:$H,'MEDIÇÃO '!C$30,'LIQUIDAÇÃO 2025'!$F:$F,'MEDIÇÃO '!$A$34)</f>
        <v>0</v>
      </c>
      <c r="D34" s="132">
        <f>SUMIFS('LIQUIDAÇÃO 2025'!$K:$K,'LIQUIDAÇÃO 2025'!$B:$B,'MEDIÇÃO '!$A$28,'LIQUIDAÇÃO 2025'!$C:$C,'MEDIÇÃO '!$B$28,'LIQUIDAÇÃO 2025'!$H:$H,'MEDIÇÃO '!D$30,'LIQUIDAÇÃO 2025'!$F:$F,'MEDIÇÃO '!$A$34)</f>
        <v>3410000</v>
      </c>
      <c r="E34" s="132">
        <f>SUMIFS('LIQUIDAÇÃO 2025'!$K:$K,'LIQUIDAÇÃO 2025'!$B:$B,'MEDIÇÃO '!$A$28,'LIQUIDAÇÃO 2025'!$C:$C,'MEDIÇÃO '!$B$28,'LIQUIDAÇÃO 2025'!$H:$H,'MEDIÇÃO '!E$30,'LIQUIDAÇÃO 2025'!$F:$F,'MEDIÇÃO '!$A$34)</f>
        <v>0</v>
      </c>
      <c r="F34" s="132">
        <f>SUMIFS('LIQUIDAÇÃO 2025'!$K:$K,'LIQUIDAÇÃO 2025'!$B:$B,'MEDIÇÃO '!$A$28,'LIQUIDAÇÃO 2025'!$C:$C,'MEDIÇÃO '!$B$28,'LIQUIDAÇÃO 2025'!$H:$H,'MEDIÇÃO '!F$30,'LIQUIDAÇÃO 2025'!$F:$F,'MEDIÇÃO '!$A$34)</f>
        <v>0</v>
      </c>
      <c r="G34" s="132">
        <f>SUMIFS('LIQUIDAÇÃO 2025'!$K:$K,'LIQUIDAÇÃO 2025'!$B:$B,'MEDIÇÃO '!$A$28,'LIQUIDAÇÃO 2025'!$C:$C,'MEDIÇÃO '!$B$28,'LIQUIDAÇÃO 2025'!$H:$H,'MEDIÇÃO '!G$30,'LIQUIDAÇÃO 2025'!$F:$F,'MEDIÇÃO '!$A$34)</f>
        <v>0</v>
      </c>
      <c r="H34" s="132">
        <f>SUMIFS('LIQUIDAÇÃO 2025'!$K:$K,'LIQUIDAÇÃO 2025'!$B:$B,'MEDIÇÃO '!$A$28,'LIQUIDAÇÃO 2025'!$C:$C,'MEDIÇÃO '!$B$28,'LIQUIDAÇÃO 2025'!$H:$H,'MEDIÇÃO '!H$30,'LIQUIDAÇÃO 2025'!$F:$F,'MEDIÇÃO '!$A$34)</f>
        <v>0</v>
      </c>
      <c r="I34" s="132">
        <f>SUMIFS('LIQUIDAÇÃO 2025'!$K:$K,'LIQUIDAÇÃO 2025'!$B:$B,'MEDIÇÃO '!$A$28,'LIQUIDAÇÃO 2025'!$C:$C,'MEDIÇÃO '!$B$28,'LIQUIDAÇÃO 2025'!$H:$H,'MEDIÇÃO '!I$30,'LIQUIDAÇÃO 2025'!$F:$F,'MEDIÇÃO '!$A$34)</f>
        <v>0</v>
      </c>
      <c r="J34" s="132"/>
      <c r="K34" s="132">
        <f>SUMIFS('LIQUIDAÇÃO 2025'!$K:$K,'LIQUIDAÇÃO 2025'!$B:$B,'MEDIÇÃO '!$A$28,'LIQUIDAÇÃO 2025'!$C:$C,'MEDIÇÃO '!$B$28,'LIQUIDAÇÃO 2025'!$H:$H,'MEDIÇÃO '!K$30,'LIQUIDAÇÃO 2025'!$F:$F,'MEDIÇÃO '!$A$34)</f>
        <v>0</v>
      </c>
      <c r="L34" s="132">
        <f>SUMIFS('LIQUIDAÇÃO 2025'!$K:$K,'LIQUIDAÇÃO 2025'!$B:$B,'MEDIÇÃO '!$A$28,'LIQUIDAÇÃO 2025'!$C:$C,'MEDIÇÃO '!$B$28,'LIQUIDAÇÃO 2025'!$H:$H,'MEDIÇÃO '!L$30,'LIQUIDAÇÃO 2025'!$F:$F,'MEDIÇÃO '!$A$34)</f>
        <v>0</v>
      </c>
      <c r="M34" s="132">
        <f>SUMIFS('LIQUIDAÇÃO 2025'!$K:$K,'LIQUIDAÇÃO 2025'!$B:$B,'MEDIÇÃO '!$A$28,'LIQUIDAÇÃO 2025'!$C:$C,'MEDIÇÃO '!$B$28,'LIQUIDAÇÃO 2025'!$H:$H,'MEDIÇÃO '!M$30,'LIQUIDAÇÃO 2025'!$F:$F,'MEDIÇÃO '!$A$34)</f>
        <v>0</v>
      </c>
      <c r="N34" s="1067"/>
    </row>
    <row r="35" spans="1:14" s="57" customFormat="1">
      <c r="A35" s="131" cm="1">
        <f t="array" ref="A35">IFERROR(INDEX(Tabela3[[CÓDIGO
 EMPRESA ]:[EMPENHO]],SMALL(IF(Tabela3[CÓDIGO
 EMPRESA ]='MEDIÇÃO '!$A$28,ROW(Tabela3[CÓDIGO
 EMPRESA ])-3),ROW(P4)),3),"")</f>
        <v>7003</v>
      </c>
      <c r="B35" s="132">
        <f>SUMIFS('LIQUIDAÇÃO 2025'!$K:$K,'LIQUIDAÇÃO 2025'!$B:$B,'MEDIÇÃO '!$A$28,'LIQUIDAÇÃO 2025'!$C:$C,'MEDIÇÃO '!$B$28,'LIQUIDAÇÃO 2025'!$H:$H,'MEDIÇÃO '!B$30,'LIQUIDAÇÃO 2025'!$F:$F,'MEDIÇÃO '!$A$32)</f>
        <v>0</v>
      </c>
      <c r="C35" s="132">
        <f>SUMIFS('LIQUIDAÇÃO 2025'!$K:$K,'LIQUIDAÇÃO 2025'!$B:$B,'MEDIÇÃO '!$A$28,'LIQUIDAÇÃO 2025'!$C:$C,'MEDIÇÃO '!$B$28,'LIQUIDAÇÃO 2025'!$H:$H,'MEDIÇÃO '!C$30,'LIQUIDAÇÃO 2025'!$F:$F,'MEDIÇÃO '!$A$35)</f>
        <v>0</v>
      </c>
      <c r="D35" s="132">
        <f>SUMIFS('LIQUIDAÇÃO 2025'!$K:$K,'LIQUIDAÇÃO 2025'!$B:$B,'MEDIÇÃO '!$A$28,'LIQUIDAÇÃO 2025'!$C:$C,'MEDIÇÃO '!$B$28,'LIQUIDAÇÃO 2025'!$H:$H,'MEDIÇÃO '!D$30,'LIQUIDAÇÃO 2025'!$F:$F,'MEDIÇÃO '!$A$35)</f>
        <v>0</v>
      </c>
      <c r="E35" s="132">
        <f>SUMIFS('LIQUIDAÇÃO 2025'!$K:$K,'LIQUIDAÇÃO 2025'!$B:$B,'MEDIÇÃO '!$A$28,'LIQUIDAÇÃO 2025'!$C:$C,'MEDIÇÃO '!$B$28,'LIQUIDAÇÃO 2025'!$H:$H,'MEDIÇÃO '!E$30,'LIQUIDAÇÃO 2025'!$F:$F,'MEDIÇÃO '!$A$35)</f>
        <v>3600000</v>
      </c>
      <c r="F35" s="132">
        <f>SUMIFS('LIQUIDAÇÃO 2025'!$K:$K,'LIQUIDAÇÃO 2025'!$B:$B,'MEDIÇÃO '!$A$28,'LIQUIDAÇÃO 2025'!$C:$C,'MEDIÇÃO '!$B$28,'LIQUIDAÇÃO 2025'!$H:$H,'MEDIÇÃO '!F$30,'LIQUIDAÇÃO 2025'!$F:$F,'MEDIÇÃO '!$A$35)</f>
        <v>0</v>
      </c>
      <c r="G35" s="132">
        <f>SUMIFS('LIQUIDAÇÃO 2025'!$K:$K,'LIQUIDAÇÃO 2025'!$B:$B,'MEDIÇÃO '!$A$28,'LIQUIDAÇÃO 2025'!$C:$C,'MEDIÇÃO '!$B$28,'LIQUIDAÇÃO 2025'!$H:$H,'MEDIÇÃO '!G$30,'LIQUIDAÇÃO 2025'!$F:$F,'MEDIÇÃO '!$A$35)</f>
        <v>0</v>
      </c>
      <c r="H35" s="132">
        <f>SUMIFS('LIQUIDAÇÃO 2025'!$K:$K,'LIQUIDAÇÃO 2025'!$B:$B,'MEDIÇÃO '!$A$28,'LIQUIDAÇÃO 2025'!$C:$C,'MEDIÇÃO '!$B$28,'LIQUIDAÇÃO 2025'!$H:$H,'MEDIÇÃO '!H$30,'LIQUIDAÇÃO 2025'!$F:$F,'MEDIÇÃO '!$A$37)</f>
        <v>955650</v>
      </c>
      <c r="I35" s="132">
        <f>SUMIFS('LIQUIDAÇÃO 2025'!$K:$K,'LIQUIDAÇÃO 2025'!$B:$B,'MEDIÇÃO '!$A$28,'LIQUIDAÇÃO 2025'!$C:$C,'MEDIÇÃO '!$B$28,'LIQUIDAÇÃO 2025'!$H:$H,'MEDIÇÃO '!I$30,'LIQUIDAÇÃO 2025'!$F:$F,'MEDIÇÃO '!$A$38)</f>
        <v>3626722</v>
      </c>
      <c r="J35" s="132">
        <f>SUMIFS('LIQUIDAÇÃO 2025'!$K:$K,'LIQUIDAÇÃO 2025'!$B:$B,'MEDIÇÃO '!$A$28,'LIQUIDAÇÃO 2025'!$C:$C,'MEDIÇÃO '!$B$28,'LIQUIDAÇÃO 2025'!$H:$H,'MEDIÇÃO '!J$30,'LIQUIDAÇÃO 2025'!$F:$F,'MEDIÇÃO '!$A$37)</f>
        <v>44350</v>
      </c>
      <c r="K35" s="132">
        <f>SUMIFS('LIQUIDAÇÃO 2025'!$K:$K,'LIQUIDAÇÃO 2025'!$B:$B,'MEDIÇÃO '!$A$28,'LIQUIDAÇÃO 2025'!$C:$C,'MEDIÇÃO '!$B$28,'LIQUIDAÇÃO 2025'!$H:$H,'MEDIÇÃO '!K$30,'LIQUIDAÇÃO 2025'!$F:$F,'MEDIÇÃO '!$A$35)</f>
        <v>0</v>
      </c>
      <c r="L35" s="132">
        <f>SUMIFS('LIQUIDAÇÃO 2025'!$K:$K,'LIQUIDAÇÃO 2025'!$B:$B,'MEDIÇÃO '!$A$28,'LIQUIDAÇÃO 2025'!$C:$C,'MEDIÇÃO '!$B$28,'LIQUIDAÇÃO 2025'!$H:$H,'MEDIÇÃO '!L$30,'LIQUIDAÇÃO 2025'!$F:$F,'MEDIÇÃO '!$A$35)</f>
        <v>0</v>
      </c>
      <c r="M35" s="132">
        <f>SUMIFS('LIQUIDAÇÃO 2025'!$K:$K,'LIQUIDAÇÃO 2025'!$B:$B,'MEDIÇÃO '!$A$28,'LIQUIDAÇÃO 2025'!$C:$C,'MEDIÇÃO '!$B$28,'LIQUIDAÇÃO 2025'!$H:$H,'MEDIÇÃO '!M$30,'LIQUIDAÇÃO 2025'!$F:$F,'MEDIÇÃO '!$A$35)</f>
        <v>0</v>
      </c>
      <c r="N35" s="1067"/>
    </row>
    <row r="36" spans="1:14" s="57" customFormat="1">
      <c r="A36" s="131" cm="1">
        <f t="array" ref="A36">IFERROR(INDEX(Tabela3[[CÓDIGO
 EMPRESA ]:[EMPENHO]],SMALL(IF(Tabela3[CÓDIGO
 EMPRESA ]='MEDIÇÃO '!$A$28,ROW(Tabela3[CÓDIGO
 EMPRESA ])-3),ROW(P5)),3),"")</f>
        <v>9363</v>
      </c>
      <c r="B36" s="132">
        <f>SUMIFS('LIQUIDAÇÃO 2025'!$K:$K,'LIQUIDAÇÃO 2025'!$B:$B,'MEDIÇÃO '!$A$28,'LIQUIDAÇÃO 2025'!$C:$C,'MEDIÇÃO '!$B$28,'LIQUIDAÇÃO 2025'!$H:$H,'MEDIÇÃO '!B$30,'LIQUIDAÇÃO 2025'!$F:$F,'MEDIÇÃO '!$A$32)</f>
        <v>0</v>
      </c>
      <c r="C36" s="132"/>
      <c r="D36" s="132"/>
      <c r="E36" s="132"/>
      <c r="F36" s="132"/>
      <c r="G36" s="132"/>
      <c r="H36" s="132"/>
      <c r="I36" s="132"/>
      <c r="J36" s="132">
        <f>SUMIFS('LIQUIDAÇÃO 2025'!$K:$K,'LIQUIDAÇÃO 2025'!$B:$B,'MEDIÇÃO '!$A$28,'LIQUIDAÇÃO 2025'!$C:$C,'MEDIÇÃO '!$B$28,'LIQUIDAÇÃO 2025'!$H:$H,'MEDIÇÃO '!J$30,'LIQUIDAÇÃO 2025'!$F:$F,'MEDIÇÃO '!$A$39)</f>
        <v>3500000</v>
      </c>
      <c r="K36" s="132"/>
      <c r="L36" s="132"/>
      <c r="M36" s="132"/>
      <c r="N36" s="1067"/>
    </row>
    <row r="37" spans="1:14" s="57" customFormat="1">
      <c r="A37" s="131" cm="1">
        <f t="array" ref="A37">IFERROR(INDEX(Tabela3[[CÓDIGO
 EMPRESA ]:[EMPENHO]],SMALL(IF(Tabela3[CÓDIGO
 EMPRESA ]='MEDIÇÃO '!$A$28,ROW(Tabela3[CÓDIGO
 EMPRESA ])-3),ROW(P6)),3),"")</f>
        <v>11507</v>
      </c>
      <c r="B37" s="132">
        <f>SUMIFS('LIQUIDAÇÃO 2025'!$K:$K,'LIQUIDAÇÃO 2025'!$B:$B,'MEDIÇÃO '!$A$28,'LIQUIDAÇÃO 2025'!$C:$C,'MEDIÇÃO '!$B$28,'LIQUIDAÇÃO 2025'!$H:$H,'MEDIÇÃO '!B$30,'LIQUIDAÇÃO 2025'!$F:$F,'MEDIÇÃO '!$A$32)</f>
        <v>0</v>
      </c>
      <c r="C37" s="132"/>
      <c r="D37" s="132"/>
      <c r="E37" s="132"/>
      <c r="F37" s="132"/>
      <c r="G37" s="132"/>
      <c r="H37" s="132"/>
      <c r="I37" s="132"/>
      <c r="J37" s="132">
        <f>SUMIFS('LIQUIDAÇÃO 2025'!$K:$K,'LIQUIDAÇÃO 2025'!$B:$B,'MEDIÇÃO '!$A$28,'LIQUIDAÇÃO 2025'!$C:$C,'MEDIÇÃO '!$B$28,'LIQUIDAÇÃO 2025'!$H:$H,'MEDIÇÃO '!J$30,'LIQUIDAÇÃO 2025'!$F:$F,'MEDIÇÃO '!$A$40)</f>
        <v>83806.100000000006</v>
      </c>
      <c r="K37" s="132"/>
      <c r="L37" s="132"/>
      <c r="M37" s="132"/>
      <c r="N37" s="1067"/>
    </row>
    <row r="38" spans="1:14" s="57" customFormat="1">
      <c r="A38" s="131" cm="1">
        <f t="array" ref="A38">IFERROR(INDEX(Tabela3[[CÓDIGO
 EMPRESA ]:[EMPENHO]],SMALL(IF(Tabela3[CÓDIGO
 EMPRESA ]='MEDIÇÃO '!$A$28,ROW(Tabela3[CÓDIGO
 EMPRESA ])-3),ROW(P7)),3),"")</f>
        <v>13555</v>
      </c>
      <c r="B38" s="132">
        <f>SUMIFS('LIQUIDAÇÃO 2025'!$K:$K,'LIQUIDAÇÃO 2025'!$B:$B,'MEDIÇÃO '!$A$28,'LIQUIDAÇÃO 2025'!$C:$C,'MEDIÇÃO '!$B$28,'LIQUIDAÇÃO 2025'!$H:$H,'MEDIÇÃO '!B$30,'LIQUIDAÇÃO 2025'!$F:$F,'MEDIÇÃO '!$A$32)</f>
        <v>0</v>
      </c>
      <c r="C38" s="132"/>
      <c r="D38" s="132"/>
      <c r="E38" s="132"/>
      <c r="F38" s="132"/>
      <c r="G38" s="132"/>
      <c r="H38" s="132"/>
      <c r="I38" s="132"/>
      <c r="J38" s="132">
        <f>SUMIFS('LIQUIDAÇÃO 2025'!$K:$K,'LIQUIDAÇÃO 2025'!$B:$B,'MEDIÇÃO '!$A$28,'LIQUIDAÇÃO 2025'!$C:$C,'MEDIÇÃO '!$B$28,'LIQUIDAÇÃO 2025'!$H:$H,'MEDIÇÃO '!J$30,'LIQUIDAÇÃO 2025'!$F:$F,'MEDIÇÃO '!$A$32)</f>
        <v>0</v>
      </c>
      <c r="K38" s="132"/>
      <c r="L38" s="132"/>
      <c r="M38" s="132"/>
      <c r="N38" s="1067"/>
    </row>
    <row r="39" spans="1:14" s="57" customFormat="1">
      <c r="A39" s="131" cm="1">
        <f t="array" ref="A39">IFERROR(INDEX(Tabela3[[CÓDIGO
 EMPRESA ]:[EMPENHO]],SMALL(IF(Tabela3[CÓDIGO
 EMPRESA ]='MEDIÇÃO '!$A$28,ROW(Tabela3[CÓDIGO
 EMPRESA ])-3),ROW(P8)),3),"")</f>
        <v>17388</v>
      </c>
      <c r="B39" s="132">
        <f>SUMIFS('LIQUIDAÇÃO 2025'!$K:$K,'LIQUIDAÇÃO 2025'!$B:$B,'MEDIÇÃO '!$A$28,'LIQUIDAÇÃO 2025'!$C:$C,'MEDIÇÃO '!$B$28,'LIQUIDAÇÃO 2025'!$H:$H,'MEDIÇÃO '!B$30,'LIQUIDAÇÃO 2025'!$F:$F,'MEDIÇÃO '!$A$32)</f>
        <v>0</v>
      </c>
      <c r="C39" s="132"/>
      <c r="D39" s="132"/>
      <c r="E39" s="132"/>
      <c r="F39" s="132"/>
      <c r="G39" s="132"/>
      <c r="H39" s="132"/>
      <c r="I39" s="132"/>
      <c r="J39" s="132">
        <f>SUMIFS('LIQUIDAÇÃO 2025'!$K:$K,'LIQUIDAÇÃO 2025'!$B:$B,'MEDIÇÃO '!$A$28,'LIQUIDAÇÃO 2025'!$C:$C,'MEDIÇÃO '!$B$28,'LIQUIDAÇÃO 2025'!$H:$H,'MEDIÇÃO '!J$30,'LIQUIDAÇÃO 2025'!$F:$F,'MEDIÇÃO '!$A$32)</f>
        <v>0</v>
      </c>
      <c r="K39" s="132"/>
      <c r="L39" s="132"/>
      <c r="M39" s="132"/>
      <c r="N39" s="1067"/>
    </row>
    <row r="40" spans="1:14" s="57" customFormat="1">
      <c r="A40" s="131" cm="1">
        <f t="array" ref="A40">IFERROR(INDEX(Tabela3[[CÓDIGO
 EMPRESA ]:[EMPENHO]],SMALL(IF(Tabela3[CÓDIGO
 EMPRESA ]='MEDIÇÃO '!$A$28,ROW(Tabela3[CÓDIGO
 EMPRESA ])-3),ROW(P9)),3),"")</f>
        <v>18903</v>
      </c>
      <c r="B40" s="132">
        <f>SUMIFS('LIQUIDAÇÃO 2025'!$K:$K,'LIQUIDAÇÃO 2025'!$B:$B,'MEDIÇÃO '!$A$28,'LIQUIDAÇÃO 2025'!$C:$C,'MEDIÇÃO '!$B$28,'LIQUIDAÇÃO 2025'!$H:$H,'MEDIÇÃO '!B$30,'LIQUIDAÇÃO 2025'!$F:$F,'MEDIÇÃO '!$A$32)</f>
        <v>0</v>
      </c>
      <c r="C40" s="132"/>
      <c r="D40" s="132"/>
      <c r="E40" s="132"/>
      <c r="F40" s="132"/>
      <c r="G40" s="132"/>
      <c r="H40" s="132"/>
      <c r="I40" s="132"/>
      <c r="J40" s="132">
        <f>SUMIFS('LIQUIDAÇÃO 2025'!$K:$K,'LIQUIDAÇÃO 2025'!$B:$B,'MEDIÇÃO '!$A$28,'LIQUIDAÇÃO 2025'!$C:$C,'MEDIÇÃO '!$B$28,'LIQUIDAÇÃO 2025'!$H:$H,'MEDIÇÃO '!J$30,'LIQUIDAÇÃO 2025'!$F:$F,'MEDIÇÃO '!$A$32)</f>
        <v>0</v>
      </c>
      <c r="K40" s="132"/>
      <c r="L40" s="132"/>
      <c r="M40" s="132"/>
      <c r="N40" s="1067"/>
    </row>
    <row r="41" spans="1:14" s="57" customFormat="1">
      <c r="A41" s="131"/>
      <c r="B41" s="132">
        <f>SUMIFS('LIQUIDAÇÃO 2025'!$K:$K,'LIQUIDAÇÃO 2025'!$B:$B,'MEDIÇÃO '!$A$28,'LIQUIDAÇÃO 2025'!$C:$C,'MEDIÇÃO '!$B$28,'LIQUIDAÇÃO 2025'!$H:$H,'MEDIÇÃO '!B$30,'LIQUIDAÇÃO 2025'!$F:$F,'MEDIÇÃO '!$A$32)</f>
        <v>0</v>
      </c>
      <c r="C41" s="132"/>
      <c r="D41" s="132"/>
      <c r="E41" s="132"/>
      <c r="F41" s="132"/>
      <c r="G41" s="132"/>
      <c r="H41" s="132"/>
      <c r="I41" s="132"/>
      <c r="J41" s="132">
        <f>SUMIFS('LIQUIDAÇÃO 2025'!$K:$K,'LIQUIDAÇÃO 2025'!$B:$B,'MEDIÇÃO '!$A$28,'LIQUIDAÇÃO 2025'!$C:$C,'MEDIÇÃO '!$B$28,'LIQUIDAÇÃO 2025'!$H:$H,'MEDIÇÃO '!J$30,'LIQUIDAÇÃO 2025'!$F:$F,'MEDIÇÃO '!$A$32)</f>
        <v>0</v>
      </c>
      <c r="K41" s="132"/>
      <c r="L41" s="132"/>
      <c r="M41" s="132"/>
      <c r="N41" s="1067"/>
    </row>
    <row r="42" spans="1:14" s="57" customFormat="1" ht="15.75" thickBot="1">
      <c r="A42" s="131"/>
      <c r="B42" s="132">
        <f>SUMIFS('LIQUIDAÇÃO 2025'!$K:$K,'LIQUIDAÇÃO 2025'!$B:$B,'MEDIÇÃO '!$A$28,'LIQUIDAÇÃO 2025'!$C:$C,'MEDIÇÃO '!$B$28,'LIQUIDAÇÃO 2025'!$H:$H,'MEDIÇÃO '!B$30,'LIQUIDAÇÃO 2025'!$F:$F,'MEDIÇÃO '!$A$42)</f>
        <v>0</v>
      </c>
      <c r="C42" s="132">
        <f>SUMIFS('LIQUIDAÇÃO 2025'!$K:$K,'LIQUIDAÇÃO 2025'!$B:$B,'MEDIÇÃO '!$A$28,'LIQUIDAÇÃO 2025'!$C:$C,'MEDIÇÃO '!$B$28,'LIQUIDAÇÃO 2025'!$H:$H,'MEDIÇÃO '!C$30,'LIQUIDAÇÃO 2025'!$F:$F,'MEDIÇÃO '!$A$42)</f>
        <v>0</v>
      </c>
      <c r="D42" s="132">
        <f>SUMIFS('LIQUIDAÇÃO 2025'!$K:$K,'LIQUIDAÇÃO 2025'!$B:$B,'MEDIÇÃO '!$A$28,'LIQUIDAÇÃO 2025'!$C:$C,'MEDIÇÃO '!$B$28,'LIQUIDAÇÃO 2025'!$H:$H,'MEDIÇÃO '!D$30,'LIQUIDAÇÃO 2025'!$F:$F,'MEDIÇÃO '!$A$42)</f>
        <v>0</v>
      </c>
      <c r="E42" s="132">
        <f>SUMIFS('LIQUIDAÇÃO 2025'!$K:$K,'LIQUIDAÇÃO 2025'!$B:$B,'MEDIÇÃO '!$A$28,'LIQUIDAÇÃO 2025'!$C:$C,'MEDIÇÃO '!$B$28,'LIQUIDAÇÃO 2025'!$H:$H,'MEDIÇÃO '!E$30,'LIQUIDAÇÃO 2025'!$F:$F,'MEDIÇÃO '!$A$42)</f>
        <v>0</v>
      </c>
      <c r="F42" s="132">
        <f>SUMIFS('LIQUIDAÇÃO 2025'!$K:$K,'LIQUIDAÇÃO 2025'!$B:$B,'MEDIÇÃO '!$A$28,'LIQUIDAÇÃO 2025'!$C:$C,'MEDIÇÃO '!$B$28,'LIQUIDAÇÃO 2025'!$H:$H,'MEDIÇÃO '!F$30,'LIQUIDAÇÃO 2025'!$F:$F,'MEDIÇÃO '!$A$42)</f>
        <v>0</v>
      </c>
      <c r="G42" s="132">
        <f>SUMIFS('LIQUIDAÇÃO 2025'!$K:$K,'LIQUIDAÇÃO 2025'!$B:$B,'MEDIÇÃO '!$A$28,'LIQUIDAÇÃO 2025'!$C:$C,'MEDIÇÃO '!$B$28,'LIQUIDAÇÃO 2025'!$H:$H,'MEDIÇÃO '!G$30,'LIQUIDAÇÃO 2025'!$F:$F,'MEDIÇÃO '!$A$36)</f>
        <v>598285.30000000005</v>
      </c>
      <c r="H42" s="132">
        <f>SUMIFS('LIQUIDAÇÃO 2025'!$K:$K,'LIQUIDAÇÃO 2025'!$B:$B,'MEDIÇÃO '!$A$28,'LIQUIDAÇÃO 2025'!$C:$C,'MEDIÇÃO '!$B$28,'LIQUIDAÇÃO 2025'!$H:$H,'MEDIÇÃO '!H$30,'LIQUIDAÇÃO 2025'!$F:$F,'MEDIÇÃO '!$A$36)</f>
        <v>2811714.7</v>
      </c>
      <c r="I42" s="132">
        <f>SUMIFS('LIQUIDAÇÃO 2025'!$K:$K,'LIQUIDAÇÃO 2025'!$B:$B,'MEDIÇÃO '!$A$28,'LIQUIDAÇÃO 2025'!$C:$C,'MEDIÇÃO '!$B$28,'LIQUIDAÇÃO 2025'!$H:$H,'MEDIÇÃO '!I$30,'LIQUIDAÇÃO 2025'!$F:$F,'MEDIÇÃO '!$A$35)</f>
        <v>0</v>
      </c>
      <c r="J42" s="132">
        <f>SUMIFS('LIQUIDAÇÃO 2025'!$K:$K,'LIQUIDAÇÃO 2025'!$B:$B,'MEDIÇÃO '!$A$28,'LIQUIDAÇÃO 2025'!$C:$C,'MEDIÇÃO '!$B$28,'LIQUIDAÇÃO 2025'!$H:$H,'MEDIÇÃO '!J$30,'LIQUIDAÇÃO 2025'!$F:$F,'MEDIÇÃO '!$A$32)</f>
        <v>0</v>
      </c>
      <c r="K42" s="132">
        <f>SUMIFS('LIQUIDAÇÃO 2025'!$K:$K,'LIQUIDAÇÃO 2025'!$B:$B,'MEDIÇÃO '!$A$28,'LIQUIDAÇÃO 2025'!$C:$C,'MEDIÇÃO '!$B$28,'LIQUIDAÇÃO 2025'!$H:$H,'MEDIÇÃO '!K$30,'LIQUIDAÇÃO 2025'!$F:$F,'MEDIÇÃO '!$A$42)</f>
        <v>0</v>
      </c>
      <c r="L42" s="132">
        <f>SUMIFS('LIQUIDAÇÃO 2025'!$K:$K,'LIQUIDAÇÃO 2025'!$B:$B,'MEDIÇÃO '!$A$28,'LIQUIDAÇÃO 2025'!$C:$C,'MEDIÇÃO '!$B$28,'LIQUIDAÇÃO 2025'!$H:$H,'MEDIÇÃO '!L$30,'LIQUIDAÇÃO 2025'!$F:$F,'MEDIÇÃO '!$A$42)</f>
        <v>0</v>
      </c>
      <c r="M42" s="132">
        <f>SUMIFS('LIQUIDAÇÃO 2025'!$K:$K,'LIQUIDAÇÃO 2025'!$B:$B,'MEDIÇÃO '!$A$28,'LIQUIDAÇÃO 2025'!$C:$C,'MEDIÇÃO '!$B$28,'LIQUIDAÇÃO 2025'!$H:$H,'MEDIÇÃO '!M$30,'LIQUIDAÇÃO 2025'!$F:$F,'MEDIÇÃO '!$A$42)</f>
        <v>0</v>
      </c>
      <c r="N42" s="1067"/>
    </row>
    <row r="43" spans="1:14" s="57" customFormat="1" ht="16.5" thickBot="1">
      <c r="A43" s="214" t="s">
        <v>38</v>
      </c>
      <c r="B43" s="215">
        <v>0</v>
      </c>
      <c r="C43" s="215">
        <v>0</v>
      </c>
      <c r="D43" s="215">
        <v>0</v>
      </c>
      <c r="E43" s="215">
        <v>0</v>
      </c>
      <c r="F43" s="215">
        <v>0</v>
      </c>
      <c r="G43" s="215">
        <v>0</v>
      </c>
      <c r="H43" s="215">
        <v>0</v>
      </c>
      <c r="I43" s="215">
        <v>0</v>
      </c>
      <c r="J43" s="215">
        <v>0</v>
      </c>
      <c r="K43" s="215">
        <v>0</v>
      </c>
      <c r="L43" s="215">
        <v>0</v>
      </c>
      <c r="M43" s="215">
        <v>0</v>
      </c>
      <c r="N43" s="1068"/>
    </row>
    <row r="44" spans="1:14" s="57" customFormat="1" ht="15.75">
      <c r="A44" s="212" t="s">
        <v>127</v>
      </c>
      <c r="B44" s="216">
        <f>IF(SUM(B32:B42)&lt;&gt;0,B31-B43-SUM(B32:B42),(B31-SUM(B32:B42)-B43))</f>
        <v>0</v>
      </c>
      <c r="C44" s="216">
        <f>IF(SUM(C32:C42)&lt;&gt;0,C31-C43-SUM(C32:C42),(C31-SUM(C32:C42)-C43))</f>
        <v>0</v>
      </c>
      <c r="D44" s="216">
        <f t="shared" ref="D44" si="23">IF(SUM(D32:D42)&lt;&gt;0,D31-D43-SUM(D32:D42),(D31-SUM(D32:D42)-D43))</f>
        <v>-469649.1</v>
      </c>
      <c r="E44" s="216">
        <f t="shared" ref="E44" si="24">IF(SUM(E32:E42)&lt;&gt;0,E31-E43-SUM(E32:E42),(E31-SUM(E32:E42)-E43))</f>
        <v>59751.7</v>
      </c>
      <c r="F44" s="216">
        <f t="shared" ref="F44" si="25">IF(SUM(F32:F42)&lt;&gt;0,F31-F43-SUM(F32:F42),(F31-SUM(F32:F42)-F43))</f>
        <v>3600000</v>
      </c>
      <c r="G44" s="216">
        <f>IF(SUM(G32:G42)&lt;&gt;0,G31-G43-SUM(G32:G42),(G31-SUM(G32:G42)-G43))</f>
        <v>-378387.9</v>
      </c>
      <c r="H44" s="216">
        <f>IF(SUM(H32:H42)&lt;&gt;0,H31-H43-SUM(H32:H42),(H31-SUM(H32:H42)-H43))</f>
        <v>-2767364.7</v>
      </c>
      <c r="I44" s="216">
        <f t="shared" ref="I44" si="26">IF(SUM(I32:I42)&lt;&gt;0,I31-I43-SUM(I32:I42),(I31-SUM(I32:I42)-I43))</f>
        <v>273526.3</v>
      </c>
      <c r="J44" s="216">
        <f t="shared" ref="J44" si="27">IF(SUM(J32:J42)&lt;&gt;0,J31-J43-SUM(J32:J42),(J31-SUM(J32:J42)-J43))</f>
        <v>-317876.3</v>
      </c>
      <c r="K44" s="216">
        <f t="shared" ref="K44" si="28">IF(SUM(K32:K42)&lt;&gt;0,K31-K43-SUM(K32:K42),(K31-SUM(K32:K42)-K43))</f>
        <v>0</v>
      </c>
      <c r="L44" s="216">
        <f t="shared" ref="L44" si="29">IF(SUM(L32:L42)&lt;&gt;0,L31-L43-SUM(L32:L42),(L31-SUM(L32:L42)-L43))</f>
        <v>0</v>
      </c>
      <c r="M44" s="216">
        <f t="shared" ref="M44" si="30">IF(SUM(M32:M42)&lt;&gt;0,M31-M43-SUM(M32:M42),(M31-SUM(M32:M42)-M43))</f>
        <v>0</v>
      </c>
      <c r="N44" s="213">
        <f>SUM(B44:M44)</f>
        <v>0</v>
      </c>
    </row>
    <row r="45" spans="1:14" s="57" customFormat="1" ht="15.75">
      <c r="A45" s="207"/>
      <c r="B45" s="138"/>
      <c r="C45" s="138"/>
      <c r="D45" s="138"/>
      <c r="E45" s="138"/>
      <c r="F45" s="138"/>
      <c r="G45" s="138"/>
      <c r="H45" s="138"/>
      <c r="I45" s="138"/>
      <c r="J45" s="138"/>
      <c r="K45" s="138"/>
      <c r="L45" s="138"/>
      <c r="M45" s="138"/>
      <c r="N45" s="209"/>
    </row>
    <row r="46" spans="1:14" s="57" customFormat="1">
      <c r="J46" s="86"/>
      <c r="K46" s="86"/>
      <c r="L46" s="86"/>
      <c r="M46" s="86"/>
      <c r="N46" s="210"/>
    </row>
    <row r="47" spans="1:14" s="57" customFormat="1" ht="15.75" customHeight="1">
      <c r="A47" s="123">
        <v>76457</v>
      </c>
      <c r="B47" s="118" t="s">
        <v>58</v>
      </c>
      <c r="D47" s="115"/>
      <c r="E47" s="115"/>
      <c r="F47" s="91" t="s">
        <v>116</v>
      </c>
      <c r="G47" s="92" t="s">
        <v>117</v>
      </c>
      <c r="H47" s="1062" t="s">
        <v>113</v>
      </c>
      <c r="I47" s="1062"/>
      <c r="J47" s="1062" t="s">
        <v>114</v>
      </c>
      <c r="K47" s="1062"/>
      <c r="L47" s="1062" t="s">
        <v>118</v>
      </c>
      <c r="M47" s="1062"/>
      <c r="N47" s="92" t="s">
        <v>115</v>
      </c>
    </row>
    <row r="48" spans="1:14" s="57" customFormat="1" ht="15.75" customHeight="1">
      <c r="A48" s="121"/>
      <c r="B48" s="121"/>
      <c r="C48" s="121"/>
      <c r="D48" s="121"/>
      <c r="E48" s="121"/>
      <c r="F48" s="97" t="str">
        <f>VALIDAÇÕES!C9</f>
        <v>6231/2022</v>
      </c>
      <c r="G48" s="97" t="str">
        <f>VALIDAÇÕES!D9</f>
        <v>32701/2022</v>
      </c>
      <c r="H48" s="1061">
        <f>VALIDAÇÕES!G9</f>
        <v>16013761.859999999</v>
      </c>
      <c r="I48" s="1061"/>
      <c r="J48" s="1061">
        <f>VALIDAÇÕES!H9</f>
        <v>13330100.810000001</v>
      </c>
      <c r="K48" s="1061"/>
      <c r="L48" s="1063">
        <f>VALIDAÇÕES!E9</f>
        <v>45203</v>
      </c>
      <c r="M48" s="1063"/>
      <c r="N48" s="202">
        <f>VALIDAÇÕES!F9</f>
        <v>45569</v>
      </c>
    </row>
    <row r="49" spans="1:14" s="57" customFormat="1" ht="15.75" customHeight="1">
      <c r="A49" s="1060" t="s">
        <v>7</v>
      </c>
      <c r="B49" s="89" t="s">
        <v>44</v>
      </c>
      <c r="C49" s="89" t="s">
        <v>43</v>
      </c>
      <c r="D49" s="89" t="s">
        <v>45</v>
      </c>
      <c r="E49" s="89" t="s">
        <v>46</v>
      </c>
      <c r="F49" s="89" t="s">
        <v>47</v>
      </c>
      <c r="G49" s="89" t="s">
        <v>48</v>
      </c>
      <c r="H49" s="89" t="s">
        <v>49</v>
      </c>
      <c r="I49" s="89" t="s">
        <v>50</v>
      </c>
      <c r="J49" s="89" t="s">
        <v>51</v>
      </c>
      <c r="K49" s="89" t="s">
        <v>52</v>
      </c>
      <c r="L49" s="89" t="s">
        <v>53</v>
      </c>
      <c r="M49" s="89" t="s">
        <v>54</v>
      </c>
      <c r="N49" s="1066" t="s">
        <v>112</v>
      </c>
    </row>
    <row r="50" spans="1:14" s="57" customFormat="1" ht="15" customHeight="1">
      <c r="A50" s="1060"/>
      <c r="B50" s="246"/>
      <c r="C50" s="98"/>
      <c r="D50" s="98">
        <v>82754.2</v>
      </c>
      <c r="E50" s="98"/>
      <c r="F50" s="98"/>
      <c r="G50" s="98"/>
      <c r="H50" s="98"/>
      <c r="I50" s="98"/>
      <c r="J50" s="99"/>
      <c r="K50" s="99"/>
      <c r="L50" s="99"/>
      <c r="M50" s="100"/>
      <c r="N50" s="1067"/>
    </row>
    <row r="51" spans="1:14" s="57" customFormat="1">
      <c r="A51" s="131" cm="1">
        <f t="array" ref="A51">IFERROR(INDEX(Tabela3[[CÓDIGO
 EMPRESA ]:[EMPENHO]],SMALL(IF(Tabela3[CÓDIGO
 EMPRESA ]='MEDIÇÃO '!$A$47,ROW(Tabela3[CÓDIGO
 EMPRESA ])-3),ROW(P1)),3),"")</f>
        <v>5804</v>
      </c>
      <c r="B51" s="132">
        <f>SUMIFS('LIQUIDAÇÃO 2025'!$K:$K,'LIQUIDAÇÃO 2025'!$B:$B,'MEDIÇÃO '!$A$47,'LIQUIDAÇÃO 2025'!$C:$C,'MEDIÇÃO '!$B$47,'LIQUIDAÇÃO 2025'!$H:$H,'MEDIÇÃO '!B$49,'LIQUIDAÇÃO 2025'!$F:$F,'MEDIÇÃO '!$A$51)</f>
        <v>0</v>
      </c>
      <c r="C51" s="132">
        <f>SUMIFS('LIQUIDAÇÃO 2025'!$K:$K,'LIQUIDAÇÃO 2025'!$B:$B,'MEDIÇÃO '!$A$47,'LIQUIDAÇÃO 2025'!$C:$C,'MEDIÇÃO '!$B$47,'LIQUIDAÇÃO 2025'!$H:$H,'MEDIÇÃO '!C$49,'LIQUIDAÇÃO 2025'!$F:$F,'MEDIÇÃO '!$A$51)</f>
        <v>0</v>
      </c>
      <c r="D51" s="132">
        <f>SUMIFS('LIQUIDAÇÃO 2025'!$K:$K,'LIQUIDAÇÃO 2025'!$B:$B,'MEDIÇÃO '!$A$47,'LIQUIDAÇÃO 2025'!$C:$C,'MEDIÇÃO '!$B$47,'LIQUIDAÇÃO 2025'!$H:$H,'MEDIÇÃO '!D$49,'LIQUIDAÇÃO 2025'!$F:$F,'MEDIÇÃO '!$A$51)</f>
        <v>82754.2</v>
      </c>
      <c r="E51" s="132">
        <f>SUMIFS('LIQUIDAÇÃO 2025'!$K:$K,'LIQUIDAÇÃO 2025'!$B:$B,'MEDIÇÃO '!$A$47,'LIQUIDAÇÃO 2025'!$C:$C,'MEDIÇÃO '!$B$47,'LIQUIDAÇÃO 2025'!$H:$H,'MEDIÇÃO '!E$49,'LIQUIDAÇÃO 2025'!$F:$F,'MEDIÇÃO '!$A$51)</f>
        <v>0</v>
      </c>
      <c r="F51" s="132">
        <f>SUMIFS('LIQUIDAÇÃO 2025'!$K:$K,'LIQUIDAÇÃO 2025'!$B:$B,'MEDIÇÃO '!$A$47,'LIQUIDAÇÃO 2025'!$C:$C,'MEDIÇÃO '!$B$47,'LIQUIDAÇÃO 2025'!$H:$H,'MEDIÇÃO '!F$49,'LIQUIDAÇÃO 2025'!$F:$F,'MEDIÇÃO '!$A$51)</f>
        <v>0</v>
      </c>
      <c r="G51" s="132">
        <f>SUMIFS('LIQUIDAÇÃO 2025'!$K:$K,'LIQUIDAÇÃO 2025'!$B:$B,'MEDIÇÃO '!$A$47,'LIQUIDAÇÃO 2025'!$C:$C,'MEDIÇÃO '!$B$47,'LIQUIDAÇÃO 2025'!$H:$H,'MEDIÇÃO '!G$49,'LIQUIDAÇÃO 2025'!$F:$F,'MEDIÇÃO '!$A$51)</f>
        <v>0</v>
      </c>
      <c r="H51" s="132">
        <f>SUMIFS('LIQUIDAÇÃO 2025'!$K:$K,'LIQUIDAÇÃO 2025'!$B:$B,'MEDIÇÃO '!$A$47,'LIQUIDAÇÃO 2025'!$C:$C,'MEDIÇÃO '!$B$47,'LIQUIDAÇÃO 2025'!$H:$H,'MEDIÇÃO '!H$49,'LIQUIDAÇÃO 2025'!$F:$F,'MEDIÇÃO '!$A$51)</f>
        <v>0</v>
      </c>
      <c r="I51" s="132">
        <f>SUMIFS('LIQUIDAÇÃO 2025'!$K:$K,'LIQUIDAÇÃO 2025'!$B:$B,'MEDIÇÃO '!$A$47,'LIQUIDAÇÃO 2025'!$C:$C,'MEDIÇÃO '!$B$47,'LIQUIDAÇÃO 2025'!$H:$H,'MEDIÇÃO '!I$49,'LIQUIDAÇÃO 2025'!$F:$F,'MEDIÇÃO '!$A$51)</f>
        <v>0</v>
      </c>
      <c r="J51" s="132">
        <f>SUMIFS('LIQUIDAÇÃO 2025'!$K:$K,'LIQUIDAÇÃO 2025'!$B:$B,'MEDIÇÃO '!$A$47,'LIQUIDAÇÃO 2025'!$C:$C,'MEDIÇÃO '!$B$47,'LIQUIDAÇÃO 2025'!$H:$H,'MEDIÇÃO '!J$49,'LIQUIDAÇÃO 2025'!$F:$F,'MEDIÇÃO '!$A$51)</f>
        <v>0</v>
      </c>
      <c r="K51" s="132">
        <f>SUMIFS('LIQUIDAÇÃO 2025'!$K:$K,'LIQUIDAÇÃO 2025'!$B:$B,'MEDIÇÃO '!$A$47,'LIQUIDAÇÃO 2025'!$C:$C,'MEDIÇÃO '!$B$47,'LIQUIDAÇÃO 2025'!$H:$H,'MEDIÇÃO '!K$49,'LIQUIDAÇÃO 2025'!$F:$F,'MEDIÇÃO '!$A$51)</f>
        <v>0</v>
      </c>
      <c r="L51" s="132">
        <f>SUMIFS('LIQUIDAÇÃO 2025'!$K:$K,'LIQUIDAÇÃO 2025'!$B:$B,'MEDIÇÃO '!$A$47,'LIQUIDAÇÃO 2025'!$C:$C,'MEDIÇÃO '!$B$47,'LIQUIDAÇÃO 2025'!$H:$H,'MEDIÇÃO '!L$49,'LIQUIDAÇÃO 2025'!$F:$F,'MEDIÇÃO '!$A$51)</f>
        <v>0</v>
      </c>
      <c r="M51" s="132">
        <f>SUMIFS('LIQUIDAÇÃO 2025'!$K:$K,'LIQUIDAÇÃO 2025'!$B:$B,'MEDIÇÃO '!$A$47,'LIQUIDAÇÃO 2025'!$C:$C,'MEDIÇÃO '!$B$47,'LIQUIDAÇÃO 2025'!$H:$H,'MEDIÇÃO '!M$49,'LIQUIDAÇÃO 2025'!$F:$F,'MEDIÇÃO '!$A$51)</f>
        <v>0</v>
      </c>
      <c r="N51" s="1067"/>
    </row>
    <row r="52" spans="1:14" s="57" customFormat="1">
      <c r="A52" s="131" t="str" cm="1">
        <f t="array" ref="A52">IFERROR(INDEX(Tabela3[[CÓDIGO
 EMPRESA ]:[EMPENHO]],SMALL(IF(Tabela3[CÓDIGO
 EMPRESA ]='MEDIÇÃO '!$A$47,ROW(Tabela3[CÓDIGO
 EMPRESA ])-3),ROW(P2)),3),"")</f>
        <v/>
      </c>
      <c r="B52" s="132">
        <f>SUMIFS('LIQUIDAÇÃO 2025'!$K:$K,'LIQUIDAÇÃO 2025'!$B:$B,'MEDIÇÃO '!$A$47,'LIQUIDAÇÃO 2025'!$C:$C,'MEDIÇÃO '!$B$47,'LIQUIDAÇÃO 2025'!$H:$H,'MEDIÇÃO '!B$49,'LIQUIDAÇÃO 2025'!$F:$F,'MEDIÇÃO '!$A$52)</f>
        <v>0</v>
      </c>
      <c r="C52" s="132">
        <f>SUMIFS('LIQUIDAÇÃO 2025'!$K:$K,'LIQUIDAÇÃO 2025'!$B:$B,'MEDIÇÃO '!$A$47,'LIQUIDAÇÃO 2025'!$C:$C,'MEDIÇÃO '!$B$47,'LIQUIDAÇÃO 2025'!$H:$H,'MEDIÇÃO '!C$49,'LIQUIDAÇÃO 2025'!$F:$F,'MEDIÇÃO '!$A$52)</f>
        <v>0</v>
      </c>
      <c r="D52" s="132">
        <f>SUMIFS('LIQUIDAÇÃO 2025'!$K:$K,'LIQUIDAÇÃO 2025'!$B:$B,'MEDIÇÃO '!$A$47,'LIQUIDAÇÃO 2025'!$C:$C,'MEDIÇÃO '!$B$47,'LIQUIDAÇÃO 2025'!$H:$H,'MEDIÇÃO '!D$49,'LIQUIDAÇÃO 2025'!$F:$F,'MEDIÇÃO '!$A$52)</f>
        <v>0</v>
      </c>
      <c r="E52" s="132">
        <f>SUMIFS('LIQUIDAÇÃO 2025'!$K:$K,'LIQUIDAÇÃO 2025'!$B:$B,'MEDIÇÃO '!$A$47,'LIQUIDAÇÃO 2025'!$C:$C,'MEDIÇÃO '!$B$47,'LIQUIDAÇÃO 2025'!$H:$H,'MEDIÇÃO '!E$49,'LIQUIDAÇÃO 2025'!$F:$F,'MEDIÇÃO '!$A$52)</f>
        <v>0</v>
      </c>
      <c r="F52" s="132">
        <f>SUMIFS('LIQUIDAÇÃO 2025'!$K:$K,'LIQUIDAÇÃO 2025'!$B:$B,'MEDIÇÃO '!$A$47,'LIQUIDAÇÃO 2025'!$C:$C,'MEDIÇÃO '!$B$47,'LIQUIDAÇÃO 2025'!$H:$H,'MEDIÇÃO '!F$49,'LIQUIDAÇÃO 2025'!$F:$F,'MEDIÇÃO '!$A$52)</f>
        <v>0</v>
      </c>
      <c r="G52" s="132">
        <f>SUMIFS('LIQUIDAÇÃO 2025'!$K:$K,'LIQUIDAÇÃO 2025'!$B:$B,'MEDIÇÃO '!$A$47,'LIQUIDAÇÃO 2025'!$C:$C,'MEDIÇÃO '!$B$47,'LIQUIDAÇÃO 2025'!$H:$H,'MEDIÇÃO '!G$49,'LIQUIDAÇÃO 2025'!$F:$F,'MEDIÇÃO '!$A$52)</f>
        <v>0</v>
      </c>
      <c r="H52" s="132">
        <f>SUMIFS('LIQUIDAÇÃO 2025'!$K:$K,'LIQUIDAÇÃO 2025'!$B:$B,'MEDIÇÃO '!$A$47,'LIQUIDAÇÃO 2025'!$C:$C,'MEDIÇÃO '!$B$47,'LIQUIDAÇÃO 2025'!$H:$H,'MEDIÇÃO '!H$49,'LIQUIDAÇÃO 2025'!$F:$F,'MEDIÇÃO '!$A$52)</f>
        <v>0</v>
      </c>
      <c r="I52" s="132">
        <f>SUMIFS('LIQUIDAÇÃO 2025'!$K:$K,'LIQUIDAÇÃO 2025'!$B:$B,'MEDIÇÃO '!$A$47,'LIQUIDAÇÃO 2025'!$C:$C,'MEDIÇÃO '!$B$47,'LIQUIDAÇÃO 2025'!$H:$H,'MEDIÇÃO '!I$49,'LIQUIDAÇÃO 2025'!$F:$F,'MEDIÇÃO '!$A$52)</f>
        <v>0</v>
      </c>
      <c r="J52" s="132">
        <f>SUMIFS('LIQUIDAÇÃO 2025'!$K:$K,'LIQUIDAÇÃO 2025'!$B:$B,'MEDIÇÃO '!$A$47,'LIQUIDAÇÃO 2025'!$C:$C,'MEDIÇÃO '!$B$47,'LIQUIDAÇÃO 2025'!$H:$H,'MEDIÇÃO '!J$49,'LIQUIDAÇÃO 2025'!$F:$F,'MEDIÇÃO '!$A$52)</f>
        <v>0</v>
      </c>
      <c r="K52" s="132">
        <f>SUMIFS('LIQUIDAÇÃO 2025'!$K:$K,'LIQUIDAÇÃO 2025'!$B:$B,'MEDIÇÃO '!$A$47,'LIQUIDAÇÃO 2025'!$C:$C,'MEDIÇÃO '!$B$47,'LIQUIDAÇÃO 2025'!$H:$H,'MEDIÇÃO '!K$49,'LIQUIDAÇÃO 2025'!$F:$F,'MEDIÇÃO '!$A$52)</f>
        <v>0</v>
      </c>
      <c r="L52" s="132">
        <f>SUMIFS('LIQUIDAÇÃO 2025'!$K:$K,'LIQUIDAÇÃO 2025'!$B:$B,'MEDIÇÃO '!$A$47,'LIQUIDAÇÃO 2025'!$C:$C,'MEDIÇÃO '!$B$47,'LIQUIDAÇÃO 2025'!$H:$H,'MEDIÇÃO '!L$49,'LIQUIDAÇÃO 2025'!$F:$F,'MEDIÇÃO '!$A$52)</f>
        <v>0</v>
      </c>
      <c r="M52" s="132">
        <f>SUMIFS('LIQUIDAÇÃO 2025'!$K:$K,'LIQUIDAÇÃO 2025'!$B:$B,'MEDIÇÃO '!$A$47,'LIQUIDAÇÃO 2025'!$C:$C,'MEDIÇÃO '!$B$47,'LIQUIDAÇÃO 2025'!$H:$H,'MEDIÇÃO '!M$49,'LIQUIDAÇÃO 2025'!$F:$F,'MEDIÇÃO '!$A$52)</f>
        <v>0</v>
      </c>
      <c r="N52" s="1067"/>
    </row>
    <row r="53" spans="1:14" s="57" customFormat="1">
      <c r="A53" s="131" t="str" cm="1">
        <f t="array" ref="A53">IFERROR(INDEX(Tabela3[[CÓDIGO
 EMPRESA ]:[EMPENHO]],SMALL(IF(Tabela3[CÓDIGO
 EMPRESA ]='MEDIÇÃO '!$A$47,ROW(Tabela3[CÓDIGO
 EMPRESA ])-3),ROW(P3)),3),"")</f>
        <v/>
      </c>
      <c r="B53" s="132">
        <f>SUMIFS('LIQUIDAÇÃO 2025'!$K:$K,'LIQUIDAÇÃO 2025'!$B:$B,'MEDIÇÃO '!$A$47,'LIQUIDAÇÃO 2025'!$C:$C,'MEDIÇÃO '!$B$47,'LIQUIDAÇÃO 2025'!$H:$H,'MEDIÇÃO '!B$49,'LIQUIDAÇÃO 2025'!$F:$F,'MEDIÇÃO '!$A$53)</f>
        <v>0</v>
      </c>
      <c r="C53" s="132">
        <f>SUMIFS('LIQUIDAÇÃO 2025'!$K:$K,'LIQUIDAÇÃO 2025'!$B:$B,'MEDIÇÃO '!$A$47,'LIQUIDAÇÃO 2025'!$C:$C,'MEDIÇÃO '!$B$47,'LIQUIDAÇÃO 2025'!$H:$H,'MEDIÇÃO '!C$49,'LIQUIDAÇÃO 2025'!$F:$F,'MEDIÇÃO '!$A$53)</f>
        <v>0</v>
      </c>
      <c r="D53" s="132">
        <f>SUMIFS('LIQUIDAÇÃO 2025'!$K:$K,'LIQUIDAÇÃO 2025'!$B:$B,'MEDIÇÃO '!$A$47,'LIQUIDAÇÃO 2025'!$C:$C,'MEDIÇÃO '!$B$47,'LIQUIDAÇÃO 2025'!$H:$H,'MEDIÇÃO '!D$49,'LIQUIDAÇÃO 2025'!$F:$F,'MEDIÇÃO '!$A$53)</f>
        <v>0</v>
      </c>
      <c r="E53" s="132">
        <f>SUMIFS('LIQUIDAÇÃO 2025'!$K:$K,'LIQUIDAÇÃO 2025'!$B:$B,'MEDIÇÃO '!$A$47,'LIQUIDAÇÃO 2025'!$C:$C,'MEDIÇÃO '!$B$47,'LIQUIDAÇÃO 2025'!$H:$H,'MEDIÇÃO '!E$49,'LIQUIDAÇÃO 2025'!$F:$F,'MEDIÇÃO '!$A$53)</f>
        <v>0</v>
      </c>
      <c r="F53" s="132">
        <f>SUMIFS('LIQUIDAÇÃO 2025'!$K:$K,'LIQUIDAÇÃO 2025'!$B:$B,'MEDIÇÃO '!$A$47,'LIQUIDAÇÃO 2025'!$C:$C,'MEDIÇÃO '!$B$47,'LIQUIDAÇÃO 2025'!$H:$H,'MEDIÇÃO '!F$49,'LIQUIDAÇÃO 2025'!$F:$F,'MEDIÇÃO '!$A$53)</f>
        <v>0</v>
      </c>
      <c r="G53" s="132">
        <f>SUMIFS('LIQUIDAÇÃO 2025'!$K:$K,'LIQUIDAÇÃO 2025'!$B:$B,'MEDIÇÃO '!$A$47,'LIQUIDAÇÃO 2025'!$C:$C,'MEDIÇÃO '!$B$47,'LIQUIDAÇÃO 2025'!$H:$H,'MEDIÇÃO '!G$49,'LIQUIDAÇÃO 2025'!$F:$F,'MEDIÇÃO '!$A$53)</f>
        <v>0</v>
      </c>
      <c r="H53" s="132">
        <f>SUMIFS('LIQUIDAÇÃO 2025'!$K:$K,'LIQUIDAÇÃO 2025'!$B:$B,'MEDIÇÃO '!$A$47,'LIQUIDAÇÃO 2025'!$C:$C,'MEDIÇÃO '!$B$47,'LIQUIDAÇÃO 2025'!$H:$H,'MEDIÇÃO '!H$49,'LIQUIDAÇÃO 2025'!$F:$F,'MEDIÇÃO '!$A$53)</f>
        <v>0</v>
      </c>
      <c r="I53" s="132">
        <f>SUMIFS('LIQUIDAÇÃO 2025'!$K:$K,'LIQUIDAÇÃO 2025'!$B:$B,'MEDIÇÃO '!$A$47,'LIQUIDAÇÃO 2025'!$C:$C,'MEDIÇÃO '!$B$47,'LIQUIDAÇÃO 2025'!$H:$H,'MEDIÇÃO '!I$49,'LIQUIDAÇÃO 2025'!$F:$F,'MEDIÇÃO '!$A$53)</f>
        <v>0</v>
      </c>
      <c r="J53" s="132">
        <f>SUMIFS('LIQUIDAÇÃO 2025'!$K:$K,'LIQUIDAÇÃO 2025'!$B:$B,'MEDIÇÃO '!$A$47,'LIQUIDAÇÃO 2025'!$C:$C,'MEDIÇÃO '!$B$47,'LIQUIDAÇÃO 2025'!$H:$H,'MEDIÇÃO '!J$49,'LIQUIDAÇÃO 2025'!$F:$F,'MEDIÇÃO '!$A$53)</f>
        <v>0</v>
      </c>
      <c r="K53" s="132">
        <f>SUMIFS('LIQUIDAÇÃO 2025'!$K:$K,'LIQUIDAÇÃO 2025'!$B:$B,'MEDIÇÃO '!$A$47,'LIQUIDAÇÃO 2025'!$C:$C,'MEDIÇÃO '!$B$47,'LIQUIDAÇÃO 2025'!$H:$H,'MEDIÇÃO '!K$49,'LIQUIDAÇÃO 2025'!$F:$F,'MEDIÇÃO '!$A$53)</f>
        <v>0</v>
      </c>
      <c r="L53" s="132">
        <f>SUMIFS('LIQUIDAÇÃO 2025'!$K:$K,'LIQUIDAÇÃO 2025'!$B:$B,'MEDIÇÃO '!$A$47,'LIQUIDAÇÃO 2025'!$C:$C,'MEDIÇÃO '!$B$47,'LIQUIDAÇÃO 2025'!$H:$H,'MEDIÇÃO '!L$49,'LIQUIDAÇÃO 2025'!$F:$F,'MEDIÇÃO '!$A$53)</f>
        <v>0</v>
      </c>
      <c r="M53" s="132">
        <f>SUMIFS('LIQUIDAÇÃO 2025'!$K:$K,'LIQUIDAÇÃO 2025'!$B:$B,'MEDIÇÃO '!$A$47,'LIQUIDAÇÃO 2025'!$C:$C,'MEDIÇÃO '!$B$47,'LIQUIDAÇÃO 2025'!$H:$H,'MEDIÇÃO '!M$49,'LIQUIDAÇÃO 2025'!$F:$F,'MEDIÇÃO '!$A$53)</f>
        <v>0</v>
      </c>
      <c r="N53" s="1067"/>
    </row>
    <row r="54" spans="1:14" s="57" customFormat="1">
      <c r="A54" s="131" t="str" cm="1">
        <f t="array" ref="A54">IFERROR(INDEX(Tabela3[[CÓDIGO
 EMPRESA ]:[EMPENHO]],SMALL(IF(Tabela3[CÓDIGO
 EMPRESA ]='MEDIÇÃO '!$A$47,ROW(Tabela3[CÓDIGO
 EMPRESA ])-3),ROW(P4)),3),"")</f>
        <v/>
      </c>
      <c r="B54" s="132">
        <f>SUMIFS('LIQUIDAÇÃO 2025'!$K:$K,'LIQUIDAÇÃO 2025'!$B:$B,'MEDIÇÃO '!$A$47,'LIQUIDAÇÃO 2025'!$C:$C,'MEDIÇÃO '!$B$47,'LIQUIDAÇÃO 2025'!$H:$H,'MEDIÇÃO '!B$49,'LIQUIDAÇÃO 2025'!$F:$F,'MEDIÇÃO '!$A$54)</f>
        <v>0</v>
      </c>
      <c r="C54" s="132">
        <f>SUMIFS('LIQUIDAÇÃO 2025'!$K:$K,'LIQUIDAÇÃO 2025'!$B:$B,'MEDIÇÃO '!$A$47,'LIQUIDAÇÃO 2025'!$C:$C,'MEDIÇÃO '!$B$47,'LIQUIDAÇÃO 2025'!$H:$H,'MEDIÇÃO '!C$49,'LIQUIDAÇÃO 2025'!$F:$F,'MEDIÇÃO '!$A$54)</f>
        <v>0</v>
      </c>
      <c r="D54" s="132">
        <f>SUMIFS('LIQUIDAÇÃO 2025'!$K:$K,'LIQUIDAÇÃO 2025'!$B:$B,'MEDIÇÃO '!$A$47,'LIQUIDAÇÃO 2025'!$C:$C,'MEDIÇÃO '!$B$47,'LIQUIDAÇÃO 2025'!$H:$H,'MEDIÇÃO '!D$49,'LIQUIDAÇÃO 2025'!$F:$F,'MEDIÇÃO '!$A$54)</f>
        <v>0</v>
      </c>
      <c r="E54" s="132">
        <f>SUMIFS('LIQUIDAÇÃO 2025'!$K:$K,'LIQUIDAÇÃO 2025'!$B:$B,'MEDIÇÃO '!$A$47,'LIQUIDAÇÃO 2025'!$C:$C,'MEDIÇÃO '!$B$47,'LIQUIDAÇÃO 2025'!$H:$H,'MEDIÇÃO '!E$49,'LIQUIDAÇÃO 2025'!$F:$F,'MEDIÇÃO '!$A$54)</f>
        <v>0</v>
      </c>
      <c r="F54" s="132">
        <f>SUMIFS('LIQUIDAÇÃO 2025'!$K:$K,'LIQUIDAÇÃO 2025'!$B:$B,'MEDIÇÃO '!$A$47,'LIQUIDAÇÃO 2025'!$C:$C,'MEDIÇÃO '!$B$47,'LIQUIDAÇÃO 2025'!$H:$H,'MEDIÇÃO '!F$49,'LIQUIDAÇÃO 2025'!$F:$F,'MEDIÇÃO '!$A$54)</f>
        <v>0</v>
      </c>
      <c r="G54" s="132">
        <f>SUMIFS('LIQUIDAÇÃO 2025'!$K:$K,'LIQUIDAÇÃO 2025'!$B:$B,'MEDIÇÃO '!$A$47,'LIQUIDAÇÃO 2025'!$C:$C,'MEDIÇÃO '!$B$47,'LIQUIDAÇÃO 2025'!$H:$H,'MEDIÇÃO '!G$49,'LIQUIDAÇÃO 2025'!$F:$F,'MEDIÇÃO '!$A$54)</f>
        <v>0</v>
      </c>
      <c r="H54" s="132">
        <f>SUMIFS('LIQUIDAÇÃO 2025'!$K:$K,'LIQUIDAÇÃO 2025'!$B:$B,'MEDIÇÃO '!$A$47,'LIQUIDAÇÃO 2025'!$C:$C,'MEDIÇÃO '!$B$47,'LIQUIDAÇÃO 2025'!$H:$H,'MEDIÇÃO '!H$49,'LIQUIDAÇÃO 2025'!$F:$F,'MEDIÇÃO '!$A$54)</f>
        <v>0</v>
      </c>
      <c r="I54" s="132">
        <f>SUMIFS('LIQUIDAÇÃO 2025'!$K:$K,'LIQUIDAÇÃO 2025'!$B:$B,'MEDIÇÃO '!$A$47,'LIQUIDAÇÃO 2025'!$C:$C,'MEDIÇÃO '!$B$47,'LIQUIDAÇÃO 2025'!$H:$H,'MEDIÇÃO '!I$49,'LIQUIDAÇÃO 2025'!$F:$F,'MEDIÇÃO '!$A$54)</f>
        <v>0</v>
      </c>
      <c r="J54" s="132">
        <f>SUMIFS('LIQUIDAÇÃO 2025'!$K:$K,'LIQUIDAÇÃO 2025'!$B:$B,'MEDIÇÃO '!$A$47,'LIQUIDAÇÃO 2025'!$C:$C,'MEDIÇÃO '!$B$47,'LIQUIDAÇÃO 2025'!$H:$H,'MEDIÇÃO '!J$49,'LIQUIDAÇÃO 2025'!$F:$F,'MEDIÇÃO '!$A$54)</f>
        <v>0</v>
      </c>
      <c r="K54" s="132">
        <f>SUMIFS('LIQUIDAÇÃO 2025'!$K:$K,'LIQUIDAÇÃO 2025'!$B:$B,'MEDIÇÃO '!$A$47,'LIQUIDAÇÃO 2025'!$C:$C,'MEDIÇÃO '!$B$47,'LIQUIDAÇÃO 2025'!$H:$H,'MEDIÇÃO '!K$49,'LIQUIDAÇÃO 2025'!$F:$F,'MEDIÇÃO '!$A$54)</f>
        <v>0</v>
      </c>
      <c r="L54" s="132">
        <f>SUMIFS('LIQUIDAÇÃO 2025'!$K:$K,'LIQUIDAÇÃO 2025'!$B:$B,'MEDIÇÃO '!$A$47,'LIQUIDAÇÃO 2025'!$C:$C,'MEDIÇÃO '!$B$47,'LIQUIDAÇÃO 2025'!$H:$H,'MEDIÇÃO '!L$49,'LIQUIDAÇÃO 2025'!$F:$F,'MEDIÇÃO '!$A$54)</f>
        <v>0</v>
      </c>
      <c r="M54" s="132">
        <f>SUMIFS('LIQUIDAÇÃO 2025'!$K:$K,'LIQUIDAÇÃO 2025'!$B:$B,'MEDIÇÃO '!$A$47,'LIQUIDAÇÃO 2025'!$C:$C,'MEDIÇÃO '!$B$47,'LIQUIDAÇÃO 2025'!$H:$H,'MEDIÇÃO '!M$49,'LIQUIDAÇÃO 2025'!$F:$F,'MEDIÇÃO '!$A$54)</f>
        <v>0</v>
      </c>
      <c r="N54" s="1067"/>
    </row>
    <row r="55" spans="1:14" s="57" customFormat="1" ht="15.75" thickBot="1">
      <c r="A55" s="131" t="str" cm="1">
        <f t="array" ref="A55">IFERROR(INDEX(Tabela3[[CÓDIGO
 EMPRESA ]:[EMPENHO]],SMALL(IF(Tabela3[CÓDIGO
 EMPRESA ]='MEDIÇÃO '!$A$47,ROW(Tabela3[CÓDIGO
 EMPRESA ])-3),ROW(P5)),3),"")</f>
        <v/>
      </c>
      <c r="B55" s="132">
        <f>SUMIFS('LIQUIDAÇÃO 2025'!$K:$K,'LIQUIDAÇÃO 2025'!$B:$B,'MEDIÇÃO '!$A$47,'LIQUIDAÇÃO 2025'!$C:$C,'MEDIÇÃO '!$B$47,'LIQUIDAÇÃO 2025'!$H:$H,'MEDIÇÃO '!B$49,'LIQUIDAÇÃO 2025'!$F:$F,'MEDIÇÃO '!$A$55)</f>
        <v>0</v>
      </c>
      <c r="C55" s="132">
        <f>SUMIFS('LIQUIDAÇÃO 2025'!$K:$K,'LIQUIDAÇÃO 2025'!$B:$B,'MEDIÇÃO '!$A$47,'LIQUIDAÇÃO 2025'!$C:$C,'MEDIÇÃO '!$B$47,'LIQUIDAÇÃO 2025'!$H:$H,'MEDIÇÃO '!C$49,'LIQUIDAÇÃO 2025'!$F:$F,'MEDIÇÃO '!$A$55)</f>
        <v>0</v>
      </c>
      <c r="D55" s="132">
        <f>SUMIFS('LIQUIDAÇÃO 2025'!$K:$K,'LIQUIDAÇÃO 2025'!$B:$B,'MEDIÇÃO '!$A$47,'LIQUIDAÇÃO 2025'!$C:$C,'MEDIÇÃO '!$B$47,'LIQUIDAÇÃO 2025'!$H:$H,'MEDIÇÃO '!D$49,'LIQUIDAÇÃO 2025'!$F:$F,'MEDIÇÃO '!$A$55)</f>
        <v>0</v>
      </c>
      <c r="E55" s="132">
        <f>SUMIFS('LIQUIDAÇÃO 2025'!$K:$K,'LIQUIDAÇÃO 2025'!$B:$B,'MEDIÇÃO '!$A$47,'LIQUIDAÇÃO 2025'!$C:$C,'MEDIÇÃO '!$B$47,'LIQUIDAÇÃO 2025'!$H:$H,'MEDIÇÃO '!E$49,'LIQUIDAÇÃO 2025'!$F:$F,'MEDIÇÃO '!$A$55)</f>
        <v>0</v>
      </c>
      <c r="F55" s="132">
        <f>SUMIFS('LIQUIDAÇÃO 2025'!$K:$K,'LIQUIDAÇÃO 2025'!$B:$B,'MEDIÇÃO '!$A$47,'LIQUIDAÇÃO 2025'!$C:$C,'MEDIÇÃO '!$B$47,'LIQUIDAÇÃO 2025'!$H:$H,'MEDIÇÃO '!F$49,'LIQUIDAÇÃO 2025'!$F:$F,'MEDIÇÃO '!$A$55)</f>
        <v>0</v>
      </c>
      <c r="G55" s="132">
        <f>SUMIFS('LIQUIDAÇÃO 2025'!$K:$K,'LIQUIDAÇÃO 2025'!$B:$B,'MEDIÇÃO '!$A$47,'LIQUIDAÇÃO 2025'!$C:$C,'MEDIÇÃO '!$B$47,'LIQUIDAÇÃO 2025'!$H:$H,'MEDIÇÃO '!G$49,'LIQUIDAÇÃO 2025'!$F:$F,'MEDIÇÃO '!$A$55)</f>
        <v>0</v>
      </c>
      <c r="H55" s="132">
        <f>SUMIFS('LIQUIDAÇÃO 2025'!$K:$K,'LIQUIDAÇÃO 2025'!$B:$B,'MEDIÇÃO '!$A$47,'LIQUIDAÇÃO 2025'!$C:$C,'MEDIÇÃO '!$B$47,'LIQUIDAÇÃO 2025'!$H:$H,'MEDIÇÃO '!H$49,'LIQUIDAÇÃO 2025'!$F:$F,'MEDIÇÃO '!$A$55)</f>
        <v>0</v>
      </c>
      <c r="I55" s="132">
        <f>SUMIFS('LIQUIDAÇÃO 2025'!$K:$K,'LIQUIDAÇÃO 2025'!$B:$B,'MEDIÇÃO '!$A$47,'LIQUIDAÇÃO 2025'!$C:$C,'MEDIÇÃO '!$B$47,'LIQUIDAÇÃO 2025'!$H:$H,'MEDIÇÃO '!I$49,'LIQUIDAÇÃO 2025'!$F:$F,'MEDIÇÃO '!$A$55)</f>
        <v>0</v>
      </c>
      <c r="J55" s="132">
        <f>SUMIFS('LIQUIDAÇÃO 2025'!$K:$K,'LIQUIDAÇÃO 2025'!$B:$B,'MEDIÇÃO '!$A$47,'LIQUIDAÇÃO 2025'!$C:$C,'MEDIÇÃO '!$B$47,'LIQUIDAÇÃO 2025'!$H:$H,'MEDIÇÃO '!J$49,'LIQUIDAÇÃO 2025'!$F:$F,'MEDIÇÃO '!$A$55)</f>
        <v>0</v>
      </c>
      <c r="K55" s="132">
        <f>SUMIFS('LIQUIDAÇÃO 2025'!$K:$K,'LIQUIDAÇÃO 2025'!$B:$B,'MEDIÇÃO '!$A$47,'LIQUIDAÇÃO 2025'!$C:$C,'MEDIÇÃO '!$B$47,'LIQUIDAÇÃO 2025'!$H:$H,'MEDIÇÃO '!K$49,'LIQUIDAÇÃO 2025'!$F:$F,'MEDIÇÃO '!$A$55)</f>
        <v>0</v>
      </c>
      <c r="L55" s="132">
        <f>SUMIFS('LIQUIDAÇÃO 2025'!$K:$K,'LIQUIDAÇÃO 2025'!$B:$B,'MEDIÇÃO '!$A$47,'LIQUIDAÇÃO 2025'!$C:$C,'MEDIÇÃO '!$B$47,'LIQUIDAÇÃO 2025'!$H:$H,'MEDIÇÃO '!L$49,'LIQUIDAÇÃO 2025'!$F:$F,'MEDIÇÃO '!$A$55)</f>
        <v>0</v>
      </c>
      <c r="M55" s="132">
        <f>SUMIFS('LIQUIDAÇÃO 2025'!$K:$K,'LIQUIDAÇÃO 2025'!$B:$B,'MEDIÇÃO '!$A$47,'LIQUIDAÇÃO 2025'!$C:$C,'MEDIÇÃO '!$B$47,'LIQUIDAÇÃO 2025'!$H:$H,'MEDIÇÃO '!M$49,'LIQUIDAÇÃO 2025'!$F:$F,'MEDIÇÃO '!$A$55)</f>
        <v>0</v>
      </c>
      <c r="N55" s="1067"/>
    </row>
    <row r="56" spans="1:14" s="57" customFormat="1" ht="16.5" thickBot="1">
      <c r="A56" s="214" t="s">
        <v>38</v>
      </c>
      <c r="B56" s="215"/>
      <c r="C56" s="215"/>
      <c r="D56" s="215"/>
      <c r="E56" s="215"/>
      <c r="F56" s="215"/>
      <c r="G56" s="215"/>
      <c r="H56" s="215"/>
      <c r="I56" s="215"/>
      <c r="J56" s="215"/>
      <c r="K56" s="215"/>
      <c r="L56" s="215"/>
      <c r="M56" s="215"/>
      <c r="N56" s="1068"/>
    </row>
    <row r="57" spans="1:14" s="57" customFormat="1" ht="15.75">
      <c r="A57" s="212" t="s">
        <v>127</v>
      </c>
      <c r="B57" s="216">
        <f>IF(SUM(B51:B55)&lt;&gt;0,B50-B56-SUM(B51:B55),(B50-SUM(B51:B55)-B56))</f>
        <v>0</v>
      </c>
      <c r="C57" s="216">
        <f t="shared" ref="C57" si="31">IF(SUM(C51:C55)&lt;&gt;0,C50-C56-SUM(C51:C55),(C50-SUM(C51:C55)-C56))</f>
        <v>0</v>
      </c>
      <c r="D57" s="216">
        <f t="shared" ref="D57" si="32">IF(SUM(D51:D55)&lt;&gt;0,D50-D56-SUM(D51:D55),(D50-SUM(D51:D55)-D56))</f>
        <v>0</v>
      </c>
      <c r="E57" s="216">
        <f t="shared" ref="E57" si="33">IF(SUM(E51:E55)&lt;&gt;0,E50-E56-SUM(E51:E55),(E50-SUM(E51:E55)-E56))</f>
        <v>0</v>
      </c>
      <c r="F57" s="216">
        <f t="shared" ref="F57" si="34">IF(SUM(F51:F55)&lt;&gt;0,F50-F56-SUM(F51:F55),(F50-SUM(F51:F55)-F56))</f>
        <v>0</v>
      </c>
      <c r="G57" s="216">
        <f>IF(SUM(G51:G55)&lt;&gt;0,G50-G56-SUM(G51:G55),(G50-SUM(G51:G55)-G56))</f>
        <v>0</v>
      </c>
      <c r="H57" s="216">
        <f t="shared" ref="H57" si="35">IF(SUM(H51:H55)&lt;&gt;0,H50-H56-SUM(H51:H55),(H50-SUM(H51:H55)-H56))</f>
        <v>0</v>
      </c>
      <c r="I57" s="216">
        <f t="shared" ref="I57:M57" si="36">IF(SUM(I51:I55)&lt;&gt;0,I50-I56-SUM(I51:I55),(I50-SUM(I51:I55)-I56))</f>
        <v>0</v>
      </c>
      <c r="J57" s="216">
        <f t="shared" si="36"/>
        <v>0</v>
      </c>
      <c r="K57" s="216">
        <f t="shared" si="36"/>
        <v>0</v>
      </c>
      <c r="L57" s="216">
        <f t="shared" si="36"/>
        <v>0</v>
      </c>
      <c r="M57" s="216">
        <f t="shared" si="36"/>
        <v>0</v>
      </c>
      <c r="N57" s="213">
        <f>SUM(B57:M57)</f>
        <v>0</v>
      </c>
    </row>
    <row r="58" spans="1:14" s="57" customFormat="1" ht="15.75">
      <c r="A58" s="207"/>
      <c r="B58" s="138"/>
      <c r="C58" s="138"/>
      <c r="D58" s="138"/>
      <c r="E58" s="138"/>
      <c r="F58" s="138"/>
      <c r="G58" s="138"/>
      <c r="H58" s="138"/>
      <c r="I58" s="138"/>
      <c r="J58" s="138"/>
      <c r="K58" s="138"/>
      <c r="L58" s="138"/>
      <c r="M58" s="138"/>
      <c r="N58" s="209"/>
    </row>
    <row r="59" spans="1:14" s="57" customFormat="1" ht="15.75" customHeight="1">
      <c r="A59" s="123">
        <v>73115</v>
      </c>
      <c r="B59" s="118" t="s">
        <v>29</v>
      </c>
      <c r="C59" s="115"/>
      <c r="D59" s="115"/>
      <c r="E59" s="115"/>
      <c r="F59" s="91" t="s">
        <v>116</v>
      </c>
      <c r="G59" s="92" t="s">
        <v>117</v>
      </c>
      <c r="H59" s="1062" t="s">
        <v>113</v>
      </c>
      <c r="I59" s="1062"/>
      <c r="J59" s="1062" t="s">
        <v>114</v>
      </c>
      <c r="K59" s="1062"/>
      <c r="L59" s="1062" t="s">
        <v>118</v>
      </c>
      <c r="M59" s="1062"/>
      <c r="N59" s="92" t="s">
        <v>115</v>
      </c>
    </row>
    <row r="60" spans="1:14" s="57" customFormat="1" ht="18.75" customHeight="1">
      <c r="A60" s="121"/>
      <c r="B60" s="121"/>
      <c r="C60" s="121"/>
      <c r="D60" s="121"/>
      <c r="E60" s="121"/>
      <c r="F60" s="97" t="str">
        <f>VALIDAÇÕES!C10</f>
        <v>53689/2017</v>
      </c>
      <c r="G60" s="97" t="str">
        <f>VALIDAÇÕES!D10</f>
        <v>35401/2022</v>
      </c>
      <c r="H60" s="1061">
        <f>VALIDAÇÕES!G10</f>
        <v>97462201.640000001</v>
      </c>
      <c r="I60" s="1061"/>
      <c r="J60" s="1061">
        <f>VALIDAÇÕES!H10</f>
        <v>44172864.240000002</v>
      </c>
      <c r="K60" s="1061"/>
      <c r="L60" s="1063">
        <f>VALIDAÇÕES!E10</f>
        <v>45455</v>
      </c>
      <c r="M60" s="1063"/>
      <c r="N60" s="202">
        <f>VALIDAÇÕES!F10</f>
        <v>45820</v>
      </c>
    </row>
    <row r="61" spans="1:14" s="57" customFormat="1" ht="15.75" customHeight="1">
      <c r="A61" s="1060" t="s">
        <v>7</v>
      </c>
      <c r="B61" s="89" t="s">
        <v>44</v>
      </c>
      <c r="C61" s="89" t="s">
        <v>43</v>
      </c>
      <c r="D61" s="89" t="s">
        <v>45</v>
      </c>
      <c r="E61" s="89" t="s">
        <v>46</v>
      </c>
      <c r="F61" s="89" t="s">
        <v>47</v>
      </c>
      <c r="G61" s="89" t="s">
        <v>48</v>
      </c>
      <c r="H61" s="89" t="s">
        <v>49</v>
      </c>
      <c r="I61" s="89" t="s">
        <v>50</v>
      </c>
      <c r="J61" s="89" t="s">
        <v>51</v>
      </c>
      <c r="K61" s="89" t="s">
        <v>52</v>
      </c>
      <c r="L61" s="89" t="s">
        <v>53</v>
      </c>
      <c r="M61" s="89" t="s">
        <v>54</v>
      </c>
      <c r="N61" s="1066" t="s">
        <v>112</v>
      </c>
    </row>
    <row r="62" spans="1:14" s="57" customFormat="1" ht="15" customHeight="1">
      <c r="A62" s="1060"/>
      <c r="B62" s="98"/>
      <c r="C62" s="98">
        <v>8466219.5800000001</v>
      </c>
      <c r="D62" s="98">
        <v>8466219.5800000001</v>
      </c>
      <c r="E62" s="98">
        <v>8666219.5800000001</v>
      </c>
      <c r="F62" s="98">
        <v>8466219.5800000001</v>
      </c>
      <c r="G62" s="98">
        <v>5935121.6799999997</v>
      </c>
      <c r="H62" s="98">
        <v>4800000</v>
      </c>
      <c r="I62" s="98">
        <v>317420.40999999997</v>
      </c>
      <c r="J62" s="98">
        <v>4218445.87</v>
      </c>
      <c r="K62" s="98">
        <v>18000000</v>
      </c>
      <c r="L62" s="98"/>
      <c r="M62" s="98"/>
      <c r="N62" s="1067"/>
    </row>
    <row r="63" spans="1:14" s="57" customFormat="1">
      <c r="A63" s="131" cm="1">
        <f t="array" ref="A63">IFERROR(INDEX(Tabela3[[CÓDIGO
 EMPRESA ]:[EMPENHO]],SMALL(IF(Tabela3[CÓDIGO
 EMPRESA ]='MEDIÇÃO '!$A$59,ROW(Tabela3[CÓDIGO
 EMPRESA ])-3),ROW(P1)),3),"")</f>
        <v>2921</v>
      </c>
      <c r="B63" s="132">
        <f>SUMIFS('LIQUIDAÇÃO 2025'!$K:$K,'LIQUIDAÇÃO 2025'!$B:$B,'MEDIÇÃO '!$A$59,'LIQUIDAÇÃO 2025'!$C:$C,'MEDIÇÃO '!$B$59,'LIQUIDAÇÃO 2025'!$H:$H,'MEDIÇÃO '!B$61,'LIQUIDAÇÃO 2025'!$F:$F,'MEDIÇÃO '!$A$63)</f>
        <v>0</v>
      </c>
      <c r="C63" s="132">
        <f>SUMIFS('LIQUIDAÇÃO 2025'!$K:$K,'LIQUIDAÇÃO 2025'!$B:$B,'MEDIÇÃO '!$A$59,'LIQUIDAÇÃO 2025'!$C:$C,'MEDIÇÃO '!$B$59,'LIQUIDAÇÃO 2025'!$H:$H,'MEDIÇÃO '!C$61,'LIQUIDAÇÃO 2025'!$F:$F,'MEDIÇÃO '!$A$63)</f>
        <v>8466219.5800000001</v>
      </c>
      <c r="D63" s="132">
        <f>SUMIFS('LIQUIDAÇÃO 2025'!$K:$K,'LIQUIDAÇÃO 2025'!$B:$B,'MEDIÇÃO '!$A$59,'LIQUIDAÇÃO 2025'!$C:$C,'MEDIÇÃO '!$B$59,'LIQUIDAÇÃO 2025'!$H:$H,'MEDIÇÃO '!D$61,'LIQUIDAÇÃO 2025'!$F:$F,'MEDIÇÃO '!$A$63)</f>
        <v>0</v>
      </c>
      <c r="E63" s="132">
        <f>SUMIFS('LIQUIDAÇÃO 2025'!$K:$K,'LIQUIDAÇÃO 2025'!$B:$B,'MEDIÇÃO '!$A$59,'LIQUIDAÇÃO 2025'!$C:$C,'MEDIÇÃO '!$B$59,'LIQUIDAÇÃO 2025'!$H:$H,'MEDIÇÃO '!E$61,'LIQUIDAÇÃO 2025'!$F:$F,'MEDIÇÃO '!$A$63)</f>
        <v>0</v>
      </c>
      <c r="F63" s="132">
        <f>SUMIFS('LIQUIDAÇÃO 2025'!$K:$K,'LIQUIDAÇÃO 2025'!$B:$B,'MEDIÇÃO '!$A$59,'LIQUIDAÇÃO 2025'!$C:$C,'MEDIÇÃO '!$B$59,'LIQUIDAÇÃO 2025'!$H:$H,'MEDIÇÃO '!F$61,'LIQUIDAÇÃO 2025'!$F:$F,'MEDIÇÃO '!$A$63)</f>
        <v>0</v>
      </c>
      <c r="G63" s="132"/>
      <c r="H63" s="132">
        <f>SUMIFS('LIQUIDAÇÃO 2025'!$K:$K,'LIQUIDAÇÃO 2025'!$B:$B,'MEDIÇÃO '!$A$59,'LIQUIDAÇÃO 2025'!$C:$C,'MEDIÇÃO '!$B$59,'LIQUIDAÇÃO 2025'!$H:$H,'MEDIÇÃO '!H$61,'LIQUIDAÇÃO 2025'!$F:$F,'MEDIÇÃO '!$A$63)</f>
        <v>0</v>
      </c>
      <c r="I63" s="132">
        <f>SUMIFS('LIQUIDAÇÃO 2025'!$K:$K,'LIQUIDAÇÃO 2025'!$B:$B,'MEDIÇÃO '!$A$59,'LIQUIDAÇÃO 2025'!$C:$C,'MEDIÇÃO '!$B$59,'LIQUIDAÇÃO 2025'!$H:$H,'MEDIÇÃO '!I$61,'LIQUIDAÇÃO 2025'!$F:$F,'MEDIÇÃO '!$A$63)</f>
        <v>0</v>
      </c>
      <c r="J63" s="132">
        <f>SUMIFS('LIQUIDAÇÃO 2025'!$K:$K,'LIQUIDAÇÃO 2025'!$B:$B,'MEDIÇÃO '!$A$59,'LIQUIDAÇÃO 2025'!$C:$C,'MEDIÇÃO '!$B$59,'LIQUIDAÇÃO 2025'!$H:$H,'MEDIÇÃO '!J$61,'LIQUIDAÇÃO 2025'!$F:$F,'MEDIÇÃO '!$A$63)</f>
        <v>0</v>
      </c>
      <c r="K63" s="132">
        <f>SUMIFS('LIQUIDAÇÃO 2025'!$K:$K,'LIQUIDAÇÃO 2025'!$B:$B,'MEDIÇÃO '!$A$59,'LIQUIDAÇÃO 2025'!$C:$C,'MEDIÇÃO '!$B$59,'LIQUIDAÇÃO 2025'!$H:$H,'MEDIÇÃO '!K$61,'LIQUIDAÇÃO 2025'!$F:$F,'MEDIÇÃO '!$A$63)</f>
        <v>0</v>
      </c>
      <c r="L63" s="132">
        <f>SUMIFS('LIQUIDAÇÃO 2025'!$K:$K,'LIQUIDAÇÃO 2025'!$B:$B,'MEDIÇÃO '!$A$59,'LIQUIDAÇÃO 2025'!$C:$C,'MEDIÇÃO '!$B$59,'LIQUIDAÇÃO 2025'!$H:$H,'MEDIÇÃO '!L$61,'LIQUIDAÇÃO 2025'!$F:$F,'MEDIÇÃO '!$A$63)</f>
        <v>0</v>
      </c>
      <c r="M63" s="132">
        <f>SUMIFS('LIQUIDAÇÃO 2025'!$K:$K,'LIQUIDAÇÃO 2025'!$B:$B,'MEDIÇÃO '!$A$59,'LIQUIDAÇÃO 2025'!$C:$C,'MEDIÇÃO '!$B$59,'LIQUIDAÇÃO 2025'!$H:$H,'MEDIÇÃO '!M$61,'LIQUIDAÇÃO 2025'!$F:$F,'MEDIÇÃO '!$A$63)</f>
        <v>0</v>
      </c>
      <c r="N63" s="1067"/>
    </row>
    <row r="64" spans="1:14" s="57" customFormat="1">
      <c r="A64" s="131" cm="1">
        <f t="array" ref="A64">IFERROR(INDEX(Tabela3[[CÓDIGO
 EMPRESA ]:[EMPENHO]],SMALL(IF(Tabela3[CÓDIGO
 EMPRESA ]='MEDIÇÃO '!$A$59,ROW(Tabela3[CÓDIGO
 EMPRESA ])-3),ROW(P2)),3),"")</f>
        <v>3258</v>
      </c>
      <c r="B64" s="132">
        <f>SUMIFS('LIQUIDAÇÃO 2025'!$K:$K,'LIQUIDAÇÃO 2025'!$B:$B,'MEDIÇÃO '!$A$59,'LIQUIDAÇÃO 2025'!$C:$C,'MEDIÇÃO '!$B$59,'LIQUIDAÇÃO 2025'!$H:$H,'MEDIÇÃO '!B$61,'LIQUIDAÇÃO 2025'!$F:$F,'MEDIÇÃO '!$A$64)</f>
        <v>0</v>
      </c>
      <c r="C64" s="132">
        <f>SUMIFS('LIQUIDAÇÃO 2025'!$K:$K,'LIQUIDAÇÃO 2025'!$B:$B,'MEDIÇÃO '!$A$59,'LIQUIDAÇÃO 2025'!$C:$C,'MEDIÇÃO '!$B$59,'LIQUIDAÇÃO 2025'!$H:$H,'MEDIÇÃO '!C$61,'LIQUIDAÇÃO 2025'!$F:$F,'MEDIÇÃO '!$A$64)</f>
        <v>0</v>
      </c>
      <c r="D64" s="132">
        <f>SUMIFS('LIQUIDAÇÃO 2025'!$K:$K,'LIQUIDAÇÃO 2025'!$B:$B,'MEDIÇÃO '!$A$59,'LIQUIDAÇÃO 2025'!$C:$C,'MEDIÇÃO '!$B$59,'LIQUIDAÇÃO 2025'!$H:$H,'MEDIÇÃO '!D$61,'LIQUIDAÇÃO 2025'!$F:$F,'MEDIÇÃO '!$A$64)</f>
        <v>8178945.9699999997</v>
      </c>
      <c r="E64" s="132">
        <f>SUMIFS('LIQUIDAÇÃO 2025'!$K:$K,'LIQUIDAÇÃO 2025'!$B:$B,'MEDIÇÃO '!$A$59,'LIQUIDAÇÃO 2025'!$C:$C,'MEDIÇÃO '!$B$59,'LIQUIDAÇÃO 2025'!$H:$H,'MEDIÇÃO '!E$61,'LIQUIDAÇÃO 2025'!$F:$F,'MEDIÇÃO '!$A$64)</f>
        <v>0</v>
      </c>
      <c r="F64" s="132">
        <f>SUMIFS('LIQUIDAÇÃO 2025'!$K:$K,'LIQUIDAÇÃO 2025'!$B:$B,'MEDIÇÃO '!$A$59,'LIQUIDAÇÃO 2025'!$C:$C,'MEDIÇÃO '!$B$59,'LIQUIDAÇÃO 2025'!$H:$H,'MEDIÇÃO '!F$61,'LIQUIDAÇÃO 2025'!$F:$F,'MEDIÇÃO '!$A$64)</f>
        <v>287273.61</v>
      </c>
      <c r="G64" s="132">
        <f>SUMIFS('LIQUIDAÇÃO 2025'!$K:$K,'LIQUIDAÇÃO 2025'!$B:$B,'MEDIÇÃO '!$A$59,'LIQUIDAÇÃO 2025'!$C:$C,'MEDIÇÃO '!$B$59,'LIQUIDAÇÃO 2025'!$H:$H,'MEDIÇÃO '!G$61,'LIQUIDAÇÃO 2025'!$F:$F,'MEDIÇÃO '!$A$64)</f>
        <v>0</v>
      </c>
      <c r="H64" s="132">
        <f>SUMIFS('LIQUIDAÇÃO 2025'!$K:$K,'LIQUIDAÇÃO 2025'!$B:$B,'MEDIÇÃO '!$A$59,'LIQUIDAÇÃO 2025'!$C:$C,'MEDIÇÃO '!$B$59,'LIQUIDAÇÃO 2025'!$H:$H,'MEDIÇÃO '!H$61,'LIQUIDAÇÃO 2025'!$F:$F,'MEDIÇÃO '!$A$63)</f>
        <v>0</v>
      </c>
      <c r="I64" s="132">
        <f>SUMIFS('LIQUIDAÇÃO 2025'!$K:$K,'LIQUIDAÇÃO 2025'!$B:$B,'MEDIÇÃO '!$A$59,'LIQUIDAÇÃO 2025'!$C:$C,'MEDIÇÃO '!$B$59,'LIQUIDAÇÃO 2025'!$H:$H,'MEDIÇÃO '!I$61,'LIQUIDAÇÃO 2025'!$F:$F,'MEDIÇÃO '!$A$64)</f>
        <v>0</v>
      </c>
      <c r="J64" s="132">
        <f>SUMIFS('LIQUIDAÇÃO 2025'!$K:$K,'LIQUIDAÇÃO 2025'!$B:$B,'MEDIÇÃO '!$A$59,'LIQUIDAÇÃO 2025'!$C:$C,'MEDIÇÃO '!$B$59,'LIQUIDAÇÃO 2025'!$H:$H,'MEDIÇÃO '!J$61,'LIQUIDAÇÃO 2025'!$F:$F,'MEDIÇÃO '!$A$64)</f>
        <v>0</v>
      </c>
      <c r="K64" s="132">
        <f>SUMIFS('LIQUIDAÇÃO 2025'!$K:$K,'LIQUIDAÇÃO 2025'!$B:$B,'MEDIÇÃO '!$A$59,'LIQUIDAÇÃO 2025'!$C:$C,'MEDIÇÃO '!$B$59,'LIQUIDAÇÃO 2025'!$H:$H,'MEDIÇÃO '!K$61,'LIQUIDAÇÃO 2025'!$F:$F,'MEDIÇÃO '!$A$64)</f>
        <v>0</v>
      </c>
      <c r="L64" s="132">
        <f>SUMIFS('LIQUIDAÇÃO 2025'!$K:$K,'LIQUIDAÇÃO 2025'!$B:$B,'MEDIÇÃO '!$A$59,'LIQUIDAÇÃO 2025'!$C:$C,'MEDIÇÃO '!$B$59,'LIQUIDAÇÃO 2025'!$H:$H,'MEDIÇÃO '!L$61,'LIQUIDAÇÃO 2025'!$F:$F,'MEDIÇÃO '!$A$64)</f>
        <v>0</v>
      </c>
      <c r="M64" s="132">
        <f>SUMIFS('LIQUIDAÇÃO 2025'!$K:$K,'LIQUIDAÇÃO 2025'!$B:$B,'MEDIÇÃO '!$A$59,'LIQUIDAÇÃO 2025'!$C:$C,'MEDIÇÃO '!$B$59,'LIQUIDAÇÃO 2025'!$H:$H,'MEDIÇÃO '!M$61,'LIQUIDAÇÃO 2025'!$F:$F,'MEDIÇÃO '!$A$64)</f>
        <v>0</v>
      </c>
      <c r="N64" s="1067"/>
    </row>
    <row r="65" spans="1:14" s="57" customFormat="1">
      <c r="A65" s="131" cm="1">
        <f t="array" ref="A65">IFERROR(INDEX(Tabela3[[CÓDIGO
 EMPRESA ]:[EMPENHO]],SMALL(IF(Tabela3[CÓDIGO
 EMPRESA ]='MEDIÇÃO '!$A$59,ROW(Tabela3[CÓDIGO
 EMPRESA ])-3),ROW(P3)),3),"")</f>
        <v>4202</v>
      </c>
      <c r="B65" s="132">
        <f>SUMIFS('LIQUIDAÇÃO 2025'!$K:$K,'LIQUIDAÇÃO 2025'!$B:$B,'MEDIÇÃO '!$A$59,'LIQUIDAÇÃO 2025'!$C:$C,'MEDIÇÃO '!$B$59,'LIQUIDAÇÃO 2025'!$H:$H,'MEDIÇÃO '!B$61,'LIQUIDAÇÃO 2025'!$F:$F,'MEDIÇÃO '!$A$65)</f>
        <v>0</v>
      </c>
      <c r="C65" s="132">
        <f>SUMIFS('LIQUIDAÇÃO 2025'!$K:$K,'LIQUIDAÇÃO 2025'!$B:$B,'MEDIÇÃO '!$A$59,'LIQUIDAÇÃO 2025'!$C:$C,'MEDIÇÃO '!$B$59,'LIQUIDAÇÃO 2025'!$H:$H,'MEDIÇÃO '!C$61,'LIQUIDAÇÃO 2025'!$F:$F,'MEDIÇÃO '!$A$65)</f>
        <v>0</v>
      </c>
      <c r="D65" s="132">
        <f>SUMIFS('LIQUIDAÇÃO 2025'!$K:$K,'LIQUIDAÇÃO 2025'!$B:$B,'MEDIÇÃO '!$A$59,'LIQUIDAÇÃO 2025'!$C:$C,'MEDIÇÃO '!$B$59,'LIQUIDAÇÃO 2025'!$H:$H,'MEDIÇÃO '!D$61,'LIQUIDAÇÃO 2025'!$F:$F,'MEDIÇÃO '!$A$65)</f>
        <v>0</v>
      </c>
      <c r="E65" s="132">
        <f>SUMIFS('LIQUIDAÇÃO 2025'!$K:$K,'LIQUIDAÇÃO 2025'!$B:$B,'MEDIÇÃO '!$A$59,'LIQUIDAÇÃO 2025'!$C:$C,'MEDIÇÃO '!$B$59,'LIQUIDAÇÃO 2025'!$H:$H,'MEDIÇÃO '!E$61,'LIQUIDAÇÃO 2025'!$F:$F,'MEDIÇÃO '!$A$65)</f>
        <v>0</v>
      </c>
      <c r="F65" s="132">
        <f>SUMIFS('LIQUIDAÇÃO 2025'!$K:$K,'LIQUIDAÇÃO 2025'!$B:$B,'MEDIÇÃO '!$A$59,'LIQUIDAÇÃO 2025'!$C:$C,'MEDIÇÃO '!$B$59,'LIQUIDAÇÃO 2025'!$H:$H,'MEDIÇÃO '!F$61,'LIQUIDAÇÃO 2025'!$F:$F,'MEDIÇÃO '!$A$65)</f>
        <v>7795102.2400000002</v>
      </c>
      <c r="G65" s="132">
        <f>SUMIFS('LIQUIDAÇÃO 2025'!$K:$K,'LIQUIDAÇÃO 2025'!$B:$B,'MEDIÇÃO '!$A$59,'LIQUIDAÇÃO 2025'!$C:$C,'MEDIÇÃO '!$B$59,'LIQUIDAÇÃO 2025'!$H:$H,'MEDIÇÃO '!G$61,'LIQUIDAÇÃO 2025'!$F:$F,'MEDIÇÃO '!$A$65)</f>
        <v>871117.34</v>
      </c>
      <c r="H65" s="132">
        <f>SUMIFS('LIQUIDAÇÃO 2025'!$K:$K,'LIQUIDAÇÃO 2025'!$B:$B,'MEDIÇÃO '!$A$59,'LIQUIDAÇÃO 2025'!$C:$C,'MEDIÇÃO '!$B$59,'LIQUIDAÇÃO 2025'!$H:$H,'MEDIÇÃO '!H$61,'LIQUIDAÇÃO 2025'!$F:$F,'MEDIÇÃO '!$A$68)</f>
        <v>3660135.95</v>
      </c>
      <c r="I65" s="132">
        <f>SUMIFS('LIQUIDAÇÃO 2025'!$K:$K,'LIQUIDAÇÃO 2025'!$B:$B,'MEDIÇÃO '!$A$59,'LIQUIDAÇÃO 2025'!$C:$C,'MEDIÇÃO '!$B$59,'LIQUIDAÇÃO 2025'!$H:$H,'MEDIÇÃO '!I$61,'LIQUIDAÇÃO 2025'!$F:$F,'MEDIÇÃO '!$A$65)</f>
        <v>0</v>
      </c>
      <c r="J65" s="132">
        <f>SUMIFS('LIQUIDAÇÃO 2025'!$K:$K,'LIQUIDAÇÃO 2025'!$B:$B,'MEDIÇÃO '!$A$59,'LIQUIDAÇÃO 2025'!$C:$C,'MEDIÇÃO '!$B$59,'LIQUIDAÇÃO 2025'!$H:$H,'MEDIÇÃO '!J$61,'LIQUIDAÇÃO 2025'!$F:$F,'MEDIÇÃO '!$A$65)</f>
        <v>0</v>
      </c>
      <c r="K65" s="132">
        <f>SUMIFS('LIQUIDAÇÃO 2025'!$K:$K,'LIQUIDAÇÃO 2025'!$B:$B,'MEDIÇÃO '!$A$59,'LIQUIDAÇÃO 2025'!$C:$C,'MEDIÇÃO '!$B$59,'LIQUIDAÇÃO 2025'!$H:$H,'MEDIÇÃO '!K$61,'LIQUIDAÇÃO 2025'!$F:$F,'MEDIÇÃO '!$A$65)</f>
        <v>0</v>
      </c>
      <c r="L65" s="132">
        <f>SUMIFS('LIQUIDAÇÃO 2025'!$K:$K,'LIQUIDAÇÃO 2025'!$B:$B,'MEDIÇÃO '!$A$59,'LIQUIDAÇÃO 2025'!$C:$C,'MEDIÇÃO '!$B$59,'LIQUIDAÇÃO 2025'!$H:$H,'MEDIÇÃO '!L$61,'LIQUIDAÇÃO 2025'!$F:$F,'MEDIÇÃO '!$A$65)</f>
        <v>0</v>
      </c>
      <c r="M65" s="132">
        <f>SUMIFS('LIQUIDAÇÃO 2025'!$K:$K,'LIQUIDAÇÃO 2025'!$B:$B,'MEDIÇÃO '!$A$59,'LIQUIDAÇÃO 2025'!$C:$C,'MEDIÇÃO '!$B$59,'LIQUIDAÇÃO 2025'!$H:$H,'MEDIÇÃO '!M$61,'LIQUIDAÇÃO 2025'!$F:$F,'MEDIÇÃO '!$A$65)</f>
        <v>0</v>
      </c>
      <c r="N65" s="1067"/>
    </row>
    <row r="66" spans="1:14" s="57" customFormat="1">
      <c r="A66" s="131" cm="1">
        <f t="array" ref="A66">IFERROR(INDEX(Tabela3[[CÓDIGO
 EMPRESA ]:[EMPENHO]],SMALL(IF(Tabela3[CÓDIGO
 EMPRESA ]='MEDIÇÃO '!$A$59,ROW(Tabela3[CÓDIGO
 EMPRESA ])-3),ROW(P4)),3),"")</f>
        <v>7019</v>
      </c>
      <c r="B66" s="132">
        <f>SUMIFS('LIQUIDAÇÃO 2025'!$K:$K,'LIQUIDAÇÃO 2025'!$B:$B,'MEDIÇÃO '!$A$59,'LIQUIDAÇÃO 2025'!$C:$C,'MEDIÇÃO '!$B$59,'LIQUIDAÇÃO 2025'!$H:$H,'MEDIÇÃO '!B$61,'LIQUIDAÇÃO 2025'!$F:$F,'MEDIÇÃO '!$A$66)</f>
        <v>0</v>
      </c>
      <c r="C66" s="132">
        <f>SUMIFS('LIQUIDAÇÃO 2025'!$K:$K,'LIQUIDAÇÃO 2025'!$B:$B,'MEDIÇÃO '!$A$59,'LIQUIDAÇÃO 2025'!$C:$C,'MEDIÇÃO '!$B$59,'LIQUIDAÇÃO 2025'!$H:$H,'MEDIÇÃO '!C$61,'LIQUIDAÇÃO 2025'!$F:$F,'MEDIÇÃO '!$A$66)</f>
        <v>0</v>
      </c>
      <c r="D66" s="132">
        <f>SUMIFS('LIQUIDAÇÃO 2025'!$K:$K,'LIQUIDAÇÃO 2025'!$B:$B,'MEDIÇÃO '!$A$59,'LIQUIDAÇÃO 2025'!$C:$C,'MEDIÇÃO '!$B$59,'LIQUIDAÇÃO 2025'!$H:$H,'MEDIÇÃO '!D$61,'LIQUIDAÇÃO 2025'!$F:$F,'MEDIÇÃO '!$A$66)</f>
        <v>0</v>
      </c>
      <c r="E66" s="132">
        <f>SUMIFS('LIQUIDAÇÃO 2025'!$K:$K,'LIQUIDAÇÃO 2025'!$B:$B,'MEDIÇÃO '!$A$59,'LIQUIDAÇÃO 2025'!$C:$C,'MEDIÇÃO '!$B$59,'LIQUIDAÇÃO 2025'!$H:$H,'MEDIÇÃO '!E$61,'LIQUIDAÇÃO 2025'!$F:$F,'MEDIÇÃO '!$A$66)</f>
        <v>8140322.7599999998</v>
      </c>
      <c r="F66" s="132">
        <f>SUMIFS('LIQUIDAÇÃO 2025'!$K:$K,'LIQUIDAÇÃO 2025'!$B:$B,'MEDIÇÃO '!$A$59,'LIQUIDAÇÃO 2025'!$C:$C,'MEDIÇÃO '!$B$59,'LIQUIDAÇÃO 2025'!$H:$H,'MEDIÇÃO '!F$61,'LIQUIDAÇÃO 2025'!$F:$F,'MEDIÇÃO '!$A$66)</f>
        <v>0</v>
      </c>
      <c r="G66" s="132">
        <f>SUMIFS('LIQUIDAÇÃO 2025'!$K:$K,'LIQUIDAÇÃO 2025'!$B:$B,'MEDIÇÃO '!$A$59,'LIQUIDAÇÃO 2025'!$C:$C,'MEDIÇÃO '!$B$59,'LIQUIDAÇÃO 2025'!$H:$H,'MEDIÇÃO '!G$61,'LIQUIDAÇÃO 2025'!$F:$F,'MEDIÇÃO '!$A$66)</f>
        <v>325896.82</v>
      </c>
      <c r="H66" s="132"/>
      <c r="I66" s="132">
        <f>SUMIFS('LIQUIDAÇÃO 2025'!$K:$K,'LIQUIDAÇÃO 2025'!$B:$B,'MEDIÇÃO '!$A$59,'LIQUIDAÇÃO 2025'!$C:$C,'MEDIÇÃO '!$B$59,'LIQUIDAÇÃO 2025'!$H:$H,'MEDIÇÃO '!I$61,'LIQUIDAÇÃO 2025'!$F:$F,'MEDIÇÃO '!$A$66)</f>
        <v>0</v>
      </c>
      <c r="J66" s="132">
        <f>SUMIFS('LIQUIDAÇÃO 2025'!$K:$K,'LIQUIDAÇÃO 2025'!$B:$B,'MEDIÇÃO '!$A$59,'LIQUIDAÇÃO 2025'!$C:$C,'MEDIÇÃO '!$B$59,'LIQUIDAÇÃO 2025'!$H:$H,'MEDIÇÃO '!J$61,'LIQUIDAÇÃO 2025'!$F:$F,'MEDIÇÃO '!$A$66)</f>
        <v>0</v>
      </c>
      <c r="K66" s="132">
        <f>SUMIFS('LIQUIDAÇÃO 2025'!$K:$K,'LIQUIDAÇÃO 2025'!$B:$B,'MEDIÇÃO '!$A$59,'LIQUIDAÇÃO 2025'!$C:$C,'MEDIÇÃO '!$B$59,'LIQUIDAÇÃO 2025'!$H:$H,'MEDIÇÃO '!K$61,'LIQUIDAÇÃO 2025'!$F:$F,'MEDIÇÃO '!$A$66)</f>
        <v>0</v>
      </c>
      <c r="L66" s="132">
        <f>SUMIFS('LIQUIDAÇÃO 2025'!$K:$K,'LIQUIDAÇÃO 2025'!$B:$B,'MEDIÇÃO '!$A$59,'LIQUIDAÇÃO 2025'!$C:$C,'MEDIÇÃO '!$B$59,'LIQUIDAÇÃO 2025'!$H:$H,'MEDIÇÃO '!L$61,'LIQUIDAÇÃO 2025'!$F:$F,'MEDIÇÃO '!$A$66)</f>
        <v>0</v>
      </c>
      <c r="M66" s="132">
        <f>SUMIFS('LIQUIDAÇÃO 2025'!$K:$K,'LIQUIDAÇÃO 2025'!$B:$B,'MEDIÇÃO '!$A$59,'LIQUIDAÇÃO 2025'!$C:$C,'MEDIÇÃO '!$B$59,'LIQUIDAÇÃO 2025'!$H:$H,'MEDIÇÃO '!M$61,'LIQUIDAÇÃO 2025'!$F:$F,'MEDIÇÃO '!$A$66)</f>
        <v>0</v>
      </c>
      <c r="N66" s="1067"/>
    </row>
    <row r="67" spans="1:14" s="57" customFormat="1">
      <c r="A67" s="131" cm="1">
        <f t="array" ref="A67">IFERROR(INDEX(Tabela3[[CÓDIGO
 EMPRESA ]:[EMPENHO]],SMALL(IF(Tabela3[CÓDIGO
 EMPRESA ]='MEDIÇÃO '!$A$59,ROW(Tabela3[CÓDIGO
 EMPRESA ])-3),ROW(P5)),3),"")</f>
        <v>11477</v>
      </c>
      <c r="B67" s="132">
        <f>SUMIFS('LIQUIDAÇÃO 2025'!$K:$K,'LIQUIDAÇÃO 2025'!$B:$B,'MEDIÇÃO '!$A$59,'LIQUIDAÇÃO 2025'!$C:$C,'MEDIÇÃO '!$B$59,'LIQUIDAÇÃO 2025'!$H:$H,'MEDIÇÃO '!B$61,'LIQUIDAÇÃO 2025'!$F:$F,'MEDIÇÃO '!$A$67)</f>
        <v>0</v>
      </c>
      <c r="C67" s="132">
        <f>SUMIFS('LIQUIDAÇÃO 2025'!$K:$K,'LIQUIDAÇÃO 2025'!$B:$B,'MEDIÇÃO '!$A$59,'LIQUIDAÇÃO 2025'!$C:$C,'MEDIÇÃO '!$B$59,'LIQUIDAÇÃO 2025'!$H:$H,'MEDIÇÃO '!C$61,'LIQUIDAÇÃO 2025'!$F:$F,'MEDIÇÃO '!$A$67)</f>
        <v>0</v>
      </c>
      <c r="D67" s="132">
        <f>SUMIFS('LIQUIDAÇÃO 2025'!$K:$K,'LIQUIDAÇÃO 2025'!$B:$B,'MEDIÇÃO '!$A$59,'LIQUIDAÇÃO 2025'!$C:$C,'MEDIÇÃO '!$B$59,'LIQUIDAÇÃO 2025'!$H:$H,'MEDIÇÃO '!D$61,'LIQUIDAÇÃO 2025'!$F:$F,'MEDIÇÃO '!$A$67)</f>
        <v>0</v>
      </c>
      <c r="E67" s="132">
        <f>SUMIFS('LIQUIDAÇÃO 2025'!$K:$K,'LIQUIDAÇÃO 2025'!$B:$B,'MEDIÇÃO '!$A$59,'LIQUIDAÇÃO 2025'!$C:$C,'MEDIÇÃO '!$B$59,'LIQUIDAÇÃO 2025'!$H:$H,'MEDIÇÃO '!E$61,'LIQUIDAÇÃO 2025'!$F:$F,'MEDIÇÃO '!$A$67)</f>
        <v>0</v>
      </c>
      <c r="F67" s="132">
        <f>SUMIFS('LIQUIDAÇÃO 2025'!$K:$K,'LIQUIDAÇÃO 2025'!$B:$B,'MEDIÇÃO '!$A$59,'LIQUIDAÇÃO 2025'!$C:$C,'MEDIÇÃO '!$B$59,'LIQUIDAÇÃO 2025'!$H:$H,'MEDIÇÃO '!F$61,'LIQUIDAÇÃO 2025'!$F:$F,'MEDIÇÃO '!$A$67)</f>
        <v>0</v>
      </c>
      <c r="G67" s="132">
        <f>SUMIFS('LIQUIDAÇÃO 2025'!$K:$K,'LIQUIDAÇÃO 2025'!$B:$B,'MEDIÇÃO '!$A$59,'LIQUIDAÇÃO 2025'!$C:$C,'MEDIÇÃO '!$B$59,'LIQUIDAÇÃO 2025'!$H:$H,'MEDIÇÃO '!G$61,'LIQUIDAÇÃO 2025'!$F:$F,'MEDIÇÃO '!$A$67)</f>
        <v>5935121.6799999997</v>
      </c>
      <c r="H67" s="132"/>
      <c r="I67" s="132">
        <f>SUMIFS('LIQUIDAÇÃO 2025'!$K:$K,'LIQUIDAÇÃO 2025'!$B:$B,'MEDIÇÃO '!$A$59,'LIQUIDAÇÃO 2025'!$C:$C,'MEDIÇÃO '!$B$59,'LIQUIDAÇÃO 2025'!$H:$H,'MEDIÇÃO '!I$61,'LIQUIDAÇÃO 2025'!$F:$F,'MEDIÇÃO '!$A$67)</f>
        <v>0</v>
      </c>
      <c r="J67" s="132">
        <f>SUMIFS('LIQUIDAÇÃO 2025'!$K:$K,'LIQUIDAÇÃO 2025'!$B:$B,'MEDIÇÃO '!$A$59,'LIQUIDAÇÃO 2025'!$C:$C,'MEDIÇÃO '!$B$59,'LIQUIDAÇÃO 2025'!$H:$H,'MEDIÇÃO '!J$61,'LIQUIDAÇÃO 2025'!$F:$F,'MEDIÇÃO '!$A$67)</f>
        <v>0</v>
      </c>
      <c r="K67" s="132">
        <f>SUMIFS('LIQUIDAÇÃO 2025'!$K:$K,'LIQUIDAÇÃO 2025'!$B:$B,'MEDIÇÃO '!$A$59,'LIQUIDAÇÃO 2025'!$C:$C,'MEDIÇÃO '!$B$59,'LIQUIDAÇÃO 2025'!$H:$H,'MEDIÇÃO '!K$61,'LIQUIDAÇÃO 2025'!$F:$F,'MEDIÇÃO '!$A$67)</f>
        <v>0</v>
      </c>
      <c r="L67" s="132">
        <f>SUMIFS('LIQUIDAÇÃO 2025'!$K:$K,'LIQUIDAÇÃO 2025'!$B:$B,'MEDIÇÃO '!$A$59,'LIQUIDAÇÃO 2025'!$C:$C,'MEDIÇÃO '!$B$59,'LIQUIDAÇÃO 2025'!$H:$H,'MEDIÇÃO '!L$61,'LIQUIDAÇÃO 2025'!$F:$F,'MEDIÇÃO '!$A$67)</f>
        <v>0</v>
      </c>
      <c r="M67" s="132">
        <f>SUMIFS('LIQUIDAÇÃO 2025'!$K:$K,'LIQUIDAÇÃO 2025'!$B:$B,'MEDIÇÃO '!$A$59,'LIQUIDAÇÃO 2025'!$C:$C,'MEDIÇÃO '!$B$59,'LIQUIDAÇÃO 2025'!$H:$H,'MEDIÇÃO '!M$61,'LIQUIDAÇÃO 2025'!$F:$F,'MEDIÇÃO '!$A$67)</f>
        <v>0</v>
      </c>
      <c r="N67" s="1067"/>
    </row>
    <row r="68" spans="1:14" s="57" customFormat="1">
      <c r="A68" s="131">
        <v>11869</v>
      </c>
      <c r="B68" s="132"/>
      <c r="C68" s="132"/>
      <c r="D68" s="132"/>
      <c r="E68" s="132"/>
      <c r="F68" s="132"/>
      <c r="G68" s="132">
        <f>SUMIFS('LIQUIDAÇÃO 2025'!$K:$K,'LIQUIDAÇÃO 2025'!$B:$B,'MEDIÇÃO '!$A$59,'LIQUIDAÇÃO 2025'!$C:$C,'MEDIÇÃO '!$B$59,'LIQUIDAÇÃO 2025'!$H:$H,'MEDIÇÃO '!G$61,'LIQUIDAÇÃO 2025'!$F:$F,'MEDIÇÃO '!$A$69)</f>
        <v>317420.40999999997</v>
      </c>
      <c r="H68" s="132">
        <f>SUMIFS('LIQUIDAÇÃO 2025'!$K:$K,'LIQUIDAÇÃO 2025'!$B:$B,'MEDIÇÃO '!$A$59,'LIQUIDAÇÃO 2025'!$C:$C,'MEDIÇÃO '!$B$59,'LIQUIDAÇÃO 2025'!$H:$H,'MEDIÇÃO '!H$61,'LIQUIDAÇÃO 2025'!$F:$F,'MEDIÇÃO '!$A$63)</f>
        <v>0</v>
      </c>
      <c r="I68" s="132"/>
      <c r="J68" s="132"/>
      <c r="K68" s="132"/>
      <c r="L68" s="132"/>
      <c r="M68" s="132"/>
      <c r="N68" s="1067"/>
    </row>
    <row r="69" spans="1:14" s="57" customFormat="1">
      <c r="A69" s="131">
        <v>14444</v>
      </c>
      <c r="B69" s="132"/>
      <c r="C69" s="132"/>
      <c r="D69" s="132"/>
      <c r="E69" s="132"/>
      <c r="F69" s="132"/>
      <c r="G69" s="132">
        <f>SUMIFS('LIQUIDAÇÃO 2025'!$K:$K,'LIQUIDAÇÃO 2025'!$B:$B,'MEDIÇÃO '!$A$59,'LIQUIDAÇÃO 2025'!$C:$C,'MEDIÇÃO '!$B$59,'LIQUIDAÇÃO 2025'!$H:$H,'MEDIÇÃO '!G$61,'LIQUIDAÇÃO 2025'!$F:$F,'MEDIÇÃO '!$A$68)</f>
        <v>1139864.05</v>
      </c>
      <c r="H69" s="132">
        <f>SUMIFS('LIQUIDAÇÃO 2025'!$K:$K,'LIQUIDAÇÃO 2025'!$B:$B,'MEDIÇÃO '!$A$59,'LIQUIDAÇÃO 2025'!$C:$C,'MEDIÇÃO '!$B$59,'LIQUIDAÇÃO 2025'!$H:$H,'MEDIÇÃO '!H$61,'LIQUIDAÇÃO 2025'!$F:$F,'MEDIÇÃO '!$A$70)</f>
        <v>4218445.87</v>
      </c>
      <c r="I69" s="132"/>
      <c r="J69" s="132"/>
      <c r="K69" s="132"/>
      <c r="L69" s="132"/>
      <c r="M69" s="132"/>
      <c r="N69" s="1067"/>
    </row>
    <row r="70" spans="1:14" s="57" customFormat="1">
      <c r="A70" s="131">
        <v>16759</v>
      </c>
      <c r="B70" s="132"/>
      <c r="C70" s="132"/>
      <c r="D70" s="132"/>
      <c r="E70" s="132"/>
      <c r="F70" s="132"/>
      <c r="G70" s="132"/>
      <c r="H70" s="132">
        <f>SUMIFS('LIQUIDAÇÃO 2025'!$K:$K,'LIQUIDAÇÃO 2025'!$B:$B,'MEDIÇÃO '!$A$59,'LIQUIDAÇÃO 2025'!$C:$C,'MEDIÇÃO '!$B$59,'LIQUIDAÇÃO 2025'!$H:$H,'MEDIÇÃO '!H$61,'LIQUIDAÇÃO 2025'!$F:$F,'MEDIÇÃO '!$A$63)</f>
        <v>0</v>
      </c>
      <c r="I70" s="132"/>
      <c r="J70" s="132"/>
      <c r="K70" s="132"/>
      <c r="L70" s="132"/>
      <c r="M70" s="132"/>
      <c r="N70" s="1067"/>
    </row>
    <row r="71" spans="1:14" s="57" customFormat="1">
      <c r="A71" s="131">
        <v>12613</v>
      </c>
      <c r="B71" s="132"/>
      <c r="C71" s="132"/>
      <c r="D71" s="132"/>
      <c r="E71" s="132"/>
      <c r="F71" s="132"/>
      <c r="G71" s="132"/>
      <c r="H71" s="132">
        <f>SUMIFS('LIQUIDAÇÃO 2025'!$K:$K,'LIQUIDAÇÃO 2025'!$B:$B,'MEDIÇÃO '!$A$59,'LIQUIDAÇÃO 2025'!$C:$C,'MEDIÇÃO '!$B$59,'LIQUIDAÇÃO 2025'!$H:$H,'MEDIÇÃO '!H$61,'LIQUIDAÇÃO 2025'!$F:$F,'MEDIÇÃO '!$A$63)</f>
        <v>0</v>
      </c>
      <c r="I71" s="132"/>
      <c r="J71" s="132"/>
      <c r="K71" s="132"/>
      <c r="L71" s="132"/>
      <c r="M71" s="132"/>
      <c r="N71" s="1067"/>
    </row>
    <row r="72" spans="1:14" s="57" customFormat="1">
      <c r="A72" s="131"/>
      <c r="B72" s="132"/>
      <c r="C72" s="132"/>
      <c r="D72" s="132"/>
      <c r="E72" s="132"/>
      <c r="F72" s="132"/>
      <c r="G72" s="132"/>
      <c r="H72" s="132">
        <f>SUMIFS('LIQUIDAÇÃO 2025'!$K:$K,'LIQUIDAÇÃO 2025'!$B:$B,'MEDIÇÃO '!$A$59,'LIQUIDAÇÃO 2025'!$C:$C,'MEDIÇÃO '!$B$59,'LIQUIDAÇÃO 2025'!$H:$H,'MEDIÇÃO '!H$61,'LIQUIDAÇÃO 2025'!$F:$F,'MEDIÇÃO '!$A$63)</f>
        <v>0</v>
      </c>
      <c r="I72" s="132"/>
      <c r="J72" s="132"/>
      <c r="K72" s="132"/>
      <c r="L72" s="132"/>
      <c r="M72" s="132"/>
      <c r="N72" s="1067"/>
    </row>
    <row r="73" spans="1:14" s="57" customFormat="1">
      <c r="A73" s="131"/>
      <c r="B73" s="132"/>
      <c r="C73" s="132"/>
      <c r="D73" s="132"/>
      <c r="E73" s="132"/>
      <c r="F73" s="132"/>
      <c r="G73" s="132"/>
      <c r="H73" s="132">
        <f>SUMIFS('LIQUIDAÇÃO 2025'!$K:$K,'LIQUIDAÇÃO 2025'!$B:$B,'MEDIÇÃO '!$A$59,'LIQUIDAÇÃO 2025'!$C:$C,'MEDIÇÃO '!$B$59,'LIQUIDAÇÃO 2025'!$H:$H,'MEDIÇÃO '!H$61,'LIQUIDAÇÃO 2025'!$F:$F,'MEDIÇÃO '!$A$63)</f>
        <v>0</v>
      </c>
      <c r="I73" s="132"/>
      <c r="J73" s="132"/>
      <c r="K73" s="132"/>
      <c r="L73" s="132"/>
      <c r="M73" s="132"/>
      <c r="N73" s="1067"/>
    </row>
    <row r="74" spans="1:14" s="57" customFormat="1" ht="15.75" thickBot="1">
      <c r="A74" s="131"/>
      <c r="B74" s="132"/>
      <c r="C74" s="132"/>
      <c r="D74" s="132"/>
      <c r="E74" s="132"/>
      <c r="F74" s="132"/>
      <c r="G74" s="132"/>
      <c r="H74" s="132">
        <f>SUMIFS('LIQUIDAÇÃO 2025'!$K:$K,'LIQUIDAÇÃO 2025'!$B:$B,'MEDIÇÃO '!$A$59,'LIQUIDAÇÃO 2025'!$C:$C,'MEDIÇÃO '!$B$59,'LIQUIDAÇÃO 2025'!$H:$H,'MEDIÇÃO '!H$61,'LIQUIDAÇÃO 2025'!$F:$F,'MEDIÇÃO '!$A$63)</f>
        <v>0</v>
      </c>
      <c r="I74" s="132"/>
      <c r="J74" s="132"/>
      <c r="K74" s="132"/>
      <c r="L74" s="132"/>
      <c r="M74" s="132"/>
      <c r="N74" s="1067"/>
    </row>
    <row r="75" spans="1:14" s="57" customFormat="1" ht="16.5" thickBot="1">
      <c r="A75" s="214" t="s">
        <v>38</v>
      </c>
      <c r="B75" s="215"/>
      <c r="C75" s="215"/>
      <c r="D75" s="215"/>
      <c r="E75" s="215"/>
      <c r="F75" s="215"/>
      <c r="G75" s="215"/>
      <c r="H75" s="215"/>
      <c r="I75" s="215"/>
      <c r="J75" s="215"/>
      <c r="K75" s="215">
        <v>2118445.87</v>
      </c>
      <c r="L75" s="215"/>
      <c r="M75" s="215"/>
      <c r="N75" s="1068"/>
    </row>
    <row r="76" spans="1:14" s="57" customFormat="1" ht="15.75">
      <c r="A76" s="212" t="s">
        <v>127</v>
      </c>
      <c r="B76" s="216">
        <f>IF(SUM(B63:B67)&lt;&gt;0,B62-B75-SUM(B63:B67),(B62-SUM(B63:B67)-B75))</f>
        <v>0</v>
      </c>
      <c r="C76" s="216">
        <f t="shared" ref="C76" si="37">IF(SUM(C63:C67)&lt;&gt;0,C62-C75-SUM(C63:C67),(C62-SUM(C63:C67)-C75))</f>
        <v>0</v>
      </c>
      <c r="D76" s="216">
        <f t="shared" ref="D76" si="38">IF(SUM(D63:D67)&lt;&gt;0,D62-D75-SUM(D63:D67),(D62-SUM(D63:D67)-D75))</f>
        <v>287273.61</v>
      </c>
      <c r="E76" s="216">
        <f t="shared" ref="E76" si="39">IF(SUM(E63:E67)&lt;&gt;0,E62-E75-SUM(E63:E67),(E62-SUM(E63:E67)-E75))</f>
        <v>525896.81999999995</v>
      </c>
      <c r="F76" s="216">
        <f t="shared" ref="F76" si="40">IF(SUM(F63:F67)&lt;&gt;0,F62-F75-SUM(F63:F67),(F62-SUM(F63:F67)-F75))</f>
        <v>383843.73</v>
      </c>
      <c r="G76" s="216">
        <f>IF(SUM(G63:G67)&lt;&gt;0,G62-G75-SUM(G63:G67),(G62-SUM(G63:G67)-G75))</f>
        <v>-1197014.1599999999</v>
      </c>
      <c r="H76" s="216">
        <f t="shared" ref="H76" si="41">IF(SUM(H63:H67)&lt;&gt;0,H62-H75-SUM(H63:H67),(H62-SUM(H63:H67)-H75))</f>
        <v>1139864.05</v>
      </c>
      <c r="I76" s="216">
        <f t="shared" ref="I76" si="42">IF(SUM(I63:I67)&lt;&gt;0,I62-I75-SUM(I63:I67),(I62-SUM(I63:I67)-I75))</f>
        <v>317420.40999999997</v>
      </c>
      <c r="J76" s="216">
        <f t="shared" ref="J76" si="43">IF(SUM(J63:J67)&lt;&gt;0,J62-J75-SUM(J63:J67),(J62-SUM(J63:J67)-J75))</f>
        <v>4218445.87</v>
      </c>
      <c r="K76" s="216">
        <f t="shared" ref="K76" si="44">IF(SUM(K63:K67)&lt;&gt;0,K62-K75-SUM(K63:K67),(K62-SUM(K63:K67)-K75))</f>
        <v>15881554.130000001</v>
      </c>
      <c r="L76" s="216">
        <f t="shared" ref="L76" si="45">IF(SUM(L63:L67)&lt;&gt;0,L62-L75-SUM(L63:L67),(L62-SUM(L63:L67)-L75))</f>
        <v>0</v>
      </c>
      <c r="M76" s="216">
        <f t="shared" ref="M76" si="46">IF(SUM(M63:M67)&lt;&gt;0,M62-M75-SUM(M63:M67),(M62-SUM(M63:M67)-M75))</f>
        <v>0</v>
      </c>
      <c r="N76" s="213">
        <f>SUM(B62:M62)-SUM(B63:M74)-SUM(B75:M75)</f>
        <v>15881554.130000001</v>
      </c>
    </row>
    <row r="77" spans="1:14" s="57" customFormat="1" ht="15.75">
      <c r="A77" s="207"/>
      <c r="B77" s="138"/>
      <c r="C77" s="138"/>
      <c r="D77" s="138"/>
      <c r="E77" s="138"/>
      <c r="F77" s="138"/>
      <c r="G77" s="138"/>
      <c r="H77" s="138"/>
      <c r="I77" s="138"/>
      <c r="J77" s="138"/>
      <c r="K77" s="138"/>
      <c r="L77" s="138"/>
      <c r="M77" s="138"/>
      <c r="N77" s="209"/>
    </row>
    <row r="78" spans="1:14" s="57" customFormat="1" ht="18.75" customHeight="1">
      <c r="A78" s="116">
        <v>2808</v>
      </c>
      <c r="B78" s="118" t="s">
        <v>59</v>
      </c>
      <c r="C78" s="115"/>
      <c r="D78" s="115"/>
      <c r="E78" s="115"/>
      <c r="F78" s="91" t="s">
        <v>116</v>
      </c>
      <c r="G78" s="92" t="s">
        <v>117</v>
      </c>
      <c r="H78" s="1062" t="s">
        <v>113</v>
      </c>
      <c r="I78" s="1062"/>
      <c r="J78" s="1062" t="s">
        <v>114</v>
      </c>
      <c r="K78" s="1062"/>
      <c r="L78" s="1062" t="s">
        <v>118</v>
      </c>
      <c r="M78" s="1062"/>
      <c r="N78" s="92" t="s">
        <v>115</v>
      </c>
    </row>
    <row r="79" spans="1:14" s="57" customFormat="1" ht="18.75" customHeight="1">
      <c r="A79" s="121"/>
      <c r="B79" s="121"/>
      <c r="C79" s="121"/>
      <c r="D79" s="121"/>
      <c r="E79" s="121"/>
      <c r="F79" s="97" t="str">
        <f>VALIDAÇÕES!C11</f>
        <v>37432/2020</v>
      </c>
      <c r="G79" s="97" t="str">
        <f>VALIDAÇÕES!D11</f>
        <v>9912505446/2020</v>
      </c>
      <c r="H79" s="1061">
        <f>VALIDAÇÕES!G11</f>
        <v>48139.88</v>
      </c>
      <c r="I79" s="1061"/>
      <c r="J79" s="1061">
        <f>VALIDAÇÕES!H11</f>
        <v>37040.980000000003</v>
      </c>
      <c r="K79" s="1061"/>
      <c r="L79" s="1063">
        <f>VALIDAÇÕES!E11</f>
        <v>45206</v>
      </c>
      <c r="M79" s="1063"/>
      <c r="N79" s="202">
        <f>VALIDAÇÕES!F11</f>
        <v>45572</v>
      </c>
    </row>
    <row r="80" spans="1:14" s="57" customFormat="1" ht="15.75" customHeight="1">
      <c r="A80" s="1060" t="s">
        <v>7</v>
      </c>
      <c r="B80" s="89" t="s">
        <v>44</v>
      </c>
      <c r="C80" s="89" t="s">
        <v>43</v>
      </c>
      <c r="D80" s="89" t="s">
        <v>45</v>
      </c>
      <c r="E80" s="89" t="s">
        <v>46</v>
      </c>
      <c r="F80" s="89" t="s">
        <v>47</v>
      </c>
      <c r="G80" s="89" t="s">
        <v>48</v>
      </c>
      <c r="H80" s="89" t="s">
        <v>49</v>
      </c>
      <c r="I80" s="89" t="s">
        <v>50</v>
      </c>
      <c r="J80" s="89" t="s">
        <v>51</v>
      </c>
      <c r="K80" s="89" t="s">
        <v>52</v>
      </c>
      <c r="L80" s="89" t="s">
        <v>53</v>
      </c>
      <c r="M80" s="89" t="s">
        <v>54</v>
      </c>
      <c r="N80" s="1066" t="s">
        <v>112</v>
      </c>
    </row>
    <row r="81" spans="1:18" s="57" customFormat="1" ht="15" customHeight="1">
      <c r="A81" s="1060"/>
      <c r="B81" s="277"/>
      <c r="C81" s="98">
        <v>4011.65</v>
      </c>
      <c r="D81" s="98">
        <v>4011.65</v>
      </c>
      <c r="E81" s="98">
        <v>4011.65</v>
      </c>
      <c r="F81" s="98">
        <v>4011.65</v>
      </c>
      <c r="G81" s="98">
        <v>4011.65</v>
      </c>
      <c r="H81" s="98">
        <v>4011.65</v>
      </c>
      <c r="I81" s="98">
        <v>4011.65</v>
      </c>
      <c r="J81" s="98">
        <v>4011.65</v>
      </c>
      <c r="K81" s="98">
        <v>4011.65</v>
      </c>
      <c r="L81" s="99">
        <v>936.05</v>
      </c>
      <c r="M81" s="100"/>
      <c r="N81" s="1067"/>
    </row>
    <row r="82" spans="1:18" s="57" customFormat="1">
      <c r="A82" s="131" cm="1">
        <f t="array" ref="A82">IFERROR(INDEX(Tabela3[[CÓDIGO
 EMPRESA ]:[EMPENHO]],SMALL(IF(Tabela3[CÓDIGO
 EMPRESA ]='MEDIÇÃO '!$A$78,ROW(Tabela3[CÓDIGO
 EMPRESA ])-3),ROW(P1)),3),"")</f>
        <v>3678</v>
      </c>
      <c r="B82" s="132">
        <f>SUMIFS('LIQUIDAÇÃO 2025'!$K:$K,'LIQUIDAÇÃO 2025'!$B:$B,'MEDIÇÃO '!$A$78,'LIQUIDAÇÃO 2025'!$C:$C,'MEDIÇÃO '!$B$78,'LIQUIDAÇÃO 2025'!$H:$H,'MEDIÇÃO '!B$80,'LIQUIDAÇÃO 2025'!$F:$F,'MEDIÇÃO '!$A$82)</f>
        <v>0</v>
      </c>
      <c r="C82" s="132">
        <f>SUMIFS('LIQUIDAÇÃO 2025'!$K:$K,'LIQUIDAÇÃO 2025'!$B:$B,'MEDIÇÃO '!$A$78,'LIQUIDAÇÃO 2025'!$C:$C,'MEDIÇÃO '!$B$78,'LIQUIDAÇÃO 2025'!$H:$H,'MEDIÇÃO '!C$80,'LIQUIDAÇÃO 2025'!$F:$F,'MEDIÇÃO '!$A$82)</f>
        <v>3918.25</v>
      </c>
      <c r="D82" s="132">
        <f>SUMIFS('LIQUIDAÇÃO 2025'!$K:$K,'LIQUIDAÇÃO 2025'!$B:$B,'MEDIÇÃO '!$A$78,'LIQUIDAÇÃO 2025'!$C:$C,'MEDIÇÃO '!$B$78,'LIQUIDAÇÃO 2025'!$H:$H,'MEDIÇÃO '!D$80,'LIQUIDAÇÃO 2025'!$F:$F,'MEDIÇÃO '!$A$82)</f>
        <v>0</v>
      </c>
      <c r="E82" s="132">
        <f>SUMIFS('LIQUIDAÇÃO 2025'!$K:$K,'LIQUIDAÇÃO 2025'!$B:$B,'MEDIÇÃO '!$A$78,'LIQUIDAÇÃO 2025'!$C:$C,'MEDIÇÃO '!$B$78,'LIQUIDAÇÃO 2025'!$H:$H,'MEDIÇÃO '!E$80,'LIQUIDAÇÃO 2025'!$F:$F,'MEDIÇÃO '!$A$82)</f>
        <v>0</v>
      </c>
      <c r="F82" s="132">
        <f>SUMIFS('LIQUIDAÇÃO 2025'!$K:$K,'LIQUIDAÇÃO 2025'!$B:$B,'MEDIÇÃO '!$A$78,'LIQUIDAÇÃO 2025'!$C:$C,'MEDIÇÃO '!$B$78,'LIQUIDAÇÃO 2025'!$H:$H,'MEDIÇÃO '!F$80,'LIQUIDAÇÃO 2025'!$F:$F,'MEDIÇÃO '!$A$82)</f>
        <v>0</v>
      </c>
      <c r="G82" s="132">
        <f>SUMIFS('LIQUIDAÇÃO 2025'!$K:$K,'LIQUIDAÇÃO 2025'!$B:$B,'MEDIÇÃO '!$A$78,'LIQUIDAÇÃO 2025'!$C:$C,'MEDIÇÃO '!$B$78,'LIQUIDAÇÃO 2025'!$H:$H,'MEDIÇÃO '!G$80,'LIQUIDAÇÃO 2025'!$F:$F,'MEDIÇÃO '!$A$82)</f>
        <v>0</v>
      </c>
      <c r="H82" s="132">
        <f>SUMIFS('LIQUIDAÇÃO 2025'!$K:$K,'LIQUIDAÇÃO 2025'!$B:$B,'MEDIÇÃO '!$A$78,'LIQUIDAÇÃO 2025'!$C:$C,'MEDIÇÃO '!$B$78,'LIQUIDAÇÃO 2025'!$H:$H,'MEDIÇÃO '!H$80,'LIQUIDAÇÃO 2025'!$F:$F,'MEDIÇÃO '!$A$82)</f>
        <v>4262.71</v>
      </c>
      <c r="I82" s="132">
        <f>SUMIFS('LIQUIDAÇÃO 2025'!$K:$K,'LIQUIDAÇÃO 2025'!$B:$B,'MEDIÇÃO '!$A$78,'LIQUIDAÇÃO 2025'!$C:$C,'MEDIÇÃO '!$B$78,'LIQUIDAÇÃO 2025'!$H:$H,'MEDIÇÃO '!I$80,'LIQUIDAÇÃO 2025'!$F:$F,'MEDIÇÃO '!$A$82)</f>
        <v>778.39</v>
      </c>
      <c r="J82" s="132">
        <f>SUMIFS('LIQUIDAÇÃO 2025'!$K:$K,'LIQUIDAÇÃO 2025'!$B:$B,'MEDIÇÃO '!$A$78,'LIQUIDAÇÃO 2025'!$C:$C,'MEDIÇÃO '!$B$78,'LIQUIDAÇÃO 2025'!$H:$H,'MEDIÇÃO '!J$80,'LIQUIDAÇÃO 2025'!$F:$F,'MEDIÇÃO '!$A$82)</f>
        <v>0</v>
      </c>
      <c r="K82" s="132">
        <f>SUMIFS('LIQUIDAÇÃO 2025'!$K:$K,'LIQUIDAÇÃO 2025'!$B:$B,'MEDIÇÃO '!$A$78,'LIQUIDAÇÃO 2025'!$C:$C,'MEDIÇÃO '!$B$78,'LIQUIDAÇÃO 2025'!$H:$H,'MEDIÇÃO '!K$80,'LIQUIDAÇÃO 2025'!$F:$F,'MEDIÇÃO '!$A$82)</f>
        <v>0</v>
      </c>
      <c r="L82" s="132">
        <f>SUMIFS('LIQUIDAÇÃO 2025'!$K:$K,'LIQUIDAÇÃO 2025'!$B:$B,'MEDIÇÃO '!$A$78,'LIQUIDAÇÃO 2025'!$C:$C,'MEDIÇÃO '!$B$78,'LIQUIDAÇÃO 2025'!$H:$H,'MEDIÇÃO '!L$80,'LIQUIDAÇÃO 2025'!$F:$F,'MEDIÇÃO '!$A$82)</f>
        <v>0</v>
      </c>
      <c r="M82" s="132">
        <f>SUMIFS('LIQUIDAÇÃO 2025'!$K:$K,'LIQUIDAÇÃO 2025'!$B:$B,'MEDIÇÃO '!$A$78,'LIQUIDAÇÃO 2025'!$C:$C,'MEDIÇÃO '!$B$78,'LIQUIDAÇÃO 2025'!$H:$H,'MEDIÇÃO '!M$80,'LIQUIDAÇÃO 2025'!$F:$F,'MEDIÇÃO '!$A$82)</f>
        <v>0</v>
      </c>
      <c r="N82" s="1067"/>
    </row>
    <row r="83" spans="1:18" s="57" customFormat="1">
      <c r="A83" s="131" cm="1">
        <f t="array" ref="A83">IFERROR(INDEX(Tabela3[[CÓDIGO
 EMPRESA ]:[EMPENHO]],SMALL(IF(Tabela3[CÓDIGO
 EMPRESA ]='MEDIÇÃO '!$A$78,ROW(Tabela3[CÓDIGO
 EMPRESA ])-3),ROW(P2)),3),"")</f>
        <v>5908</v>
      </c>
      <c r="B83" s="132">
        <f>SUMIFS('LIQUIDAÇÃO 2025'!$K:$K,'LIQUIDAÇÃO 2025'!$B:$B,'MEDIÇÃO '!$A$78,'LIQUIDAÇÃO 2025'!$C:$C,'MEDIÇÃO '!$B$78,'LIQUIDAÇÃO 2025'!$H:$H,'MEDIÇÃO '!B$80,'LIQUIDAÇÃO 2025'!$F:$F,'MEDIÇÃO '!$A$83)</f>
        <v>0</v>
      </c>
      <c r="C83" s="132">
        <f>SUMIFS('LIQUIDAÇÃO 2025'!$K:$K,'LIQUIDAÇÃO 2025'!$B:$B,'MEDIÇÃO '!$A$78,'LIQUIDAÇÃO 2025'!$C:$C,'MEDIÇÃO '!$B$78,'LIQUIDAÇÃO 2025'!$H:$H,'MEDIÇÃO '!C$80,'LIQUIDAÇÃO 2025'!$F:$F,'MEDIÇÃO '!$A$83)</f>
        <v>0</v>
      </c>
      <c r="D83" s="132">
        <f>SUMIFS('LIQUIDAÇÃO 2025'!$K:$K,'LIQUIDAÇÃO 2025'!$B:$B,'MEDIÇÃO '!$A$78,'LIQUIDAÇÃO 2025'!$C:$C,'MEDIÇÃO '!$B$78,'LIQUIDAÇÃO 2025'!$H:$H,'MEDIÇÃO '!D$80,'LIQUIDAÇÃO 2025'!$F:$F,'MEDIÇÃO '!$A$83)</f>
        <v>4265.6499999999996</v>
      </c>
      <c r="E83" s="132">
        <f>SUMIFS('LIQUIDAÇÃO 2025'!$K:$K,'LIQUIDAÇÃO 2025'!$B:$B,'MEDIÇÃO '!$A$78,'LIQUIDAÇÃO 2025'!$C:$C,'MEDIÇÃO '!$B$78,'LIQUIDAÇÃO 2025'!$H:$H,'MEDIÇÃO '!E$80,'LIQUIDAÇÃO 2025'!$F:$F,'MEDIÇÃO '!$A$83)</f>
        <v>0</v>
      </c>
      <c r="F83" s="132">
        <f>SUMIFS('LIQUIDAÇÃO 2025'!$K:$K,'LIQUIDAÇÃO 2025'!$B:$B,'MEDIÇÃO '!$A$78,'LIQUIDAÇÃO 2025'!$C:$C,'MEDIÇÃO '!$B$78,'LIQUIDAÇÃO 2025'!$H:$H,'MEDIÇÃO '!F$80,'LIQUIDAÇÃO 2025'!$F:$F,'MEDIÇÃO '!$A$83)</f>
        <v>0</v>
      </c>
      <c r="G83" s="132">
        <f>SUMIFS('LIQUIDAÇÃO 2025'!$K:$K,'LIQUIDAÇÃO 2025'!$B:$B,'MEDIÇÃO '!$A$78,'LIQUIDAÇÃO 2025'!$C:$C,'MEDIÇÃO '!$B$78,'LIQUIDAÇÃO 2025'!$H:$H,'MEDIÇÃO '!G$80,'LIQUIDAÇÃO 2025'!$F:$F,'MEDIÇÃO '!$A$83)</f>
        <v>0</v>
      </c>
      <c r="H83" s="132">
        <f>SUMIFS('LIQUIDAÇÃO 2025'!$K:$K,'LIQUIDAÇÃO 2025'!$B:$B,'MEDIÇÃO '!$A$78,'LIQUIDAÇÃO 2025'!$C:$C,'MEDIÇÃO '!$B$78,'LIQUIDAÇÃO 2025'!$H:$H,'MEDIÇÃO '!H$80,'LIQUIDAÇÃO 2025'!$F:$F,'MEDIÇÃO '!$A$83)</f>
        <v>0</v>
      </c>
      <c r="I83" s="132">
        <f>SUMIFS('LIQUIDAÇÃO 2025'!$K:$K,'LIQUIDAÇÃO 2025'!$B:$B,'MEDIÇÃO '!$A$78,'LIQUIDAÇÃO 2025'!$C:$C,'MEDIÇÃO '!$B$78,'LIQUIDAÇÃO 2025'!$H:$H,'MEDIÇÃO '!I$80,'LIQUIDAÇÃO 2025'!$F:$F,'MEDIÇÃO '!$A$83)</f>
        <v>0</v>
      </c>
      <c r="J83" s="132">
        <f>SUMIFS('LIQUIDAÇÃO 2025'!$K:$K,'LIQUIDAÇÃO 2025'!$B:$B,'MEDIÇÃO '!$A$78,'LIQUIDAÇÃO 2025'!$C:$C,'MEDIÇÃO '!$B$78,'LIQUIDAÇÃO 2025'!$H:$H,'MEDIÇÃO '!J$80,'LIQUIDAÇÃO 2025'!$F:$F,'MEDIÇÃO '!$A$83)</f>
        <v>0</v>
      </c>
      <c r="K83" s="132">
        <f>SUMIFS('LIQUIDAÇÃO 2025'!$K:$K,'LIQUIDAÇÃO 2025'!$B:$B,'MEDIÇÃO '!$A$78,'LIQUIDAÇÃO 2025'!$C:$C,'MEDIÇÃO '!$B$78,'LIQUIDAÇÃO 2025'!$H:$H,'MEDIÇÃO '!K$80,'LIQUIDAÇÃO 2025'!$F:$F,'MEDIÇÃO '!$A$83)</f>
        <v>0</v>
      </c>
      <c r="L83" s="132">
        <f>SUMIFS('LIQUIDAÇÃO 2025'!$K:$K,'LIQUIDAÇÃO 2025'!$B:$B,'MEDIÇÃO '!$A$78,'LIQUIDAÇÃO 2025'!$C:$C,'MEDIÇÃO '!$B$78,'LIQUIDAÇÃO 2025'!$H:$H,'MEDIÇÃO '!L$80,'LIQUIDAÇÃO 2025'!$F:$F,'MEDIÇÃO '!$A$83)</f>
        <v>0</v>
      </c>
      <c r="M83" s="132">
        <f>SUMIFS('LIQUIDAÇÃO 2025'!$K:$K,'LIQUIDAÇÃO 2025'!$B:$B,'MEDIÇÃO '!$A$78,'LIQUIDAÇÃO 2025'!$C:$C,'MEDIÇÃO '!$B$78,'LIQUIDAÇÃO 2025'!$H:$H,'MEDIÇÃO '!M$80,'LIQUIDAÇÃO 2025'!$F:$F,'MEDIÇÃO '!$A$83)</f>
        <v>0</v>
      </c>
      <c r="N83" s="1067"/>
    </row>
    <row r="84" spans="1:18" s="57" customFormat="1">
      <c r="A84" s="131" cm="1">
        <f t="array" ref="A84">IFERROR(INDEX(Tabela3[[CÓDIGO
 EMPRESA ]:[EMPENHO]],SMALL(IF(Tabela3[CÓDIGO
 EMPRESA ]='MEDIÇÃO '!$A$78,ROW(Tabela3[CÓDIGO
 EMPRESA ])-3),ROW(P3)),3),"")</f>
        <v>7398</v>
      </c>
      <c r="B84" s="132">
        <f>SUMIFS('LIQUIDAÇÃO 2025'!$K:$K,'LIQUIDAÇÃO 2025'!$B:$B,'MEDIÇÃO '!$A$78,'LIQUIDAÇÃO 2025'!$C:$C,'MEDIÇÃO '!$B$78,'LIQUIDAÇÃO 2025'!$H:$H,'MEDIÇÃO '!B$80,'LIQUIDAÇÃO 2025'!$F:$F,'MEDIÇÃO '!$A$84)</f>
        <v>0</v>
      </c>
      <c r="C84" s="132">
        <f>SUMIFS('LIQUIDAÇÃO 2025'!$K:$K,'LIQUIDAÇÃO 2025'!$B:$B,'MEDIÇÃO '!$A$78,'LIQUIDAÇÃO 2025'!$C:$C,'MEDIÇÃO '!$B$78,'LIQUIDAÇÃO 2025'!$H:$H,'MEDIÇÃO '!C$80,'LIQUIDAÇÃO 2025'!$F:$F,'MEDIÇÃO '!$A$84)</f>
        <v>0</v>
      </c>
      <c r="D84" s="132">
        <f>SUMIFS('LIQUIDAÇÃO 2025'!$K:$K,'LIQUIDAÇÃO 2025'!$B:$B,'MEDIÇÃO '!$A$78,'LIQUIDAÇÃO 2025'!$C:$C,'MEDIÇÃO '!$B$78,'LIQUIDAÇÃO 2025'!$H:$H,'MEDIÇÃO '!D$80,'LIQUIDAÇÃO 2025'!$F:$F,'MEDIÇÃO '!$A$84)</f>
        <v>0</v>
      </c>
      <c r="E84" s="132">
        <f>SUMIFS('LIQUIDAÇÃO 2025'!$K:$K,'LIQUIDAÇÃO 2025'!$B:$B,'MEDIÇÃO '!$A$78,'LIQUIDAÇÃO 2025'!$C:$C,'MEDIÇÃO '!$B$78,'LIQUIDAÇÃO 2025'!$H:$H,'MEDIÇÃO '!E$80,'LIQUIDAÇÃO 2025'!$F:$F,'MEDIÇÃO '!$A$84)</f>
        <v>1867.09</v>
      </c>
      <c r="F84" s="132">
        <f>SUMIFS('LIQUIDAÇÃO 2025'!$K:$K,'LIQUIDAÇÃO 2025'!$B:$B,'MEDIÇÃO '!$A$78,'LIQUIDAÇÃO 2025'!$C:$C,'MEDIÇÃO '!$B$78,'LIQUIDAÇÃO 2025'!$H:$H,'MEDIÇÃO '!F$80,'LIQUIDAÇÃO 2025'!$F:$F,'MEDIÇÃO '!$A$84)</f>
        <v>0</v>
      </c>
      <c r="G84" s="132">
        <f>SUMIFS('LIQUIDAÇÃO 2025'!$K:$K,'LIQUIDAÇÃO 2025'!$B:$B,'MEDIÇÃO '!$A$78,'LIQUIDAÇÃO 2025'!$C:$C,'MEDIÇÃO '!$B$78,'LIQUIDAÇÃO 2025'!$H:$H,'MEDIÇÃO '!G$80,'LIQUIDAÇÃO 2025'!$F:$F,'MEDIÇÃO '!$A$84)</f>
        <v>0</v>
      </c>
      <c r="H84" s="132">
        <f>SUMIFS('LIQUIDAÇÃO 2025'!$K:$K,'LIQUIDAÇÃO 2025'!$B:$B,'MEDIÇÃO '!$A$78,'LIQUIDAÇÃO 2025'!$C:$C,'MEDIÇÃO '!$B$78,'LIQUIDAÇÃO 2025'!$H:$H,'MEDIÇÃO '!H$80,'LIQUIDAÇÃO 2025'!$F:$F,'MEDIÇÃO '!$A$84)</f>
        <v>0</v>
      </c>
      <c r="I84" s="132">
        <f>SUMIFS('LIQUIDAÇÃO 2025'!$K:$K,'LIQUIDAÇÃO 2025'!$B:$B,'MEDIÇÃO '!$A$78,'LIQUIDAÇÃO 2025'!$C:$C,'MEDIÇÃO '!$B$78,'LIQUIDAÇÃO 2025'!$H:$H,'MEDIÇÃO '!I$80,'LIQUIDAÇÃO 2025'!$F:$F,'MEDIÇÃO '!$A$84)</f>
        <v>687.85</v>
      </c>
      <c r="J84" s="132">
        <f>SUMIFS('LIQUIDAÇÃO 2025'!$K:$K,'LIQUIDAÇÃO 2025'!$B:$B,'MEDIÇÃO '!$A$78,'LIQUIDAÇÃO 2025'!$C:$C,'MEDIÇÃO '!$B$78,'LIQUIDAÇÃO 2025'!$H:$H,'MEDIÇÃO '!J$80,'LIQUIDAÇÃO 2025'!$F:$F,'MEDIÇÃO '!$A$84)</f>
        <v>1456.71</v>
      </c>
      <c r="K84" s="132">
        <f>SUMIFS('LIQUIDAÇÃO 2025'!$K:$K,'LIQUIDAÇÃO 2025'!$B:$B,'MEDIÇÃO '!$A$78,'LIQUIDAÇÃO 2025'!$C:$C,'MEDIÇÃO '!$B$78,'LIQUIDAÇÃO 2025'!$H:$H,'MEDIÇÃO '!K$80,'LIQUIDAÇÃO 2025'!$F:$F,'MEDIÇÃO '!$A$84)</f>
        <v>0</v>
      </c>
      <c r="L84" s="132">
        <f>SUMIFS('LIQUIDAÇÃO 2025'!$K:$K,'LIQUIDAÇÃO 2025'!$B:$B,'MEDIÇÃO '!$A$78,'LIQUIDAÇÃO 2025'!$C:$C,'MEDIÇÃO '!$B$78,'LIQUIDAÇÃO 2025'!$H:$H,'MEDIÇÃO '!L$80,'LIQUIDAÇÃO 2025'!$F:$F,'MEDIÇÃO '!$A$84)</f>
        <v>0</v>
      </c>
      <c r="M84" s="132">
        <f>SUMIFS('LIQUIDAÇÃO 2025'!$K:$K,'LIQUIDAÇÃO 2025'!$B:$B,'MEDIÇÃO '!$A$78,'LIQUIDAÇÃO 2025'!$C:$C,'MEDIÇÃO '!$B$78,'LIQUIDAÇÃO 2025'!$H:$H,'MEDIÇÃO '!M$80,'LIQUIDAÇÃO 2025'!$F:$F,'MEDIÇÃO '!$A$84)</f>
        <v>0</v>
      </c>
      <c r="N84" s="1067"/>
    </row>
    <row r="85" spans="1:18" s="57" customFormat="1">
      <c r="A85" s="131" cm="1">
        <f t="array" ref="A85">IFERROR(INDEX(Tabela3[[CÓDIGO
 EMPRESA ]:[EMPENHO]],SMALL(IF(Tabela3[CÓDIGO
 EMPRESA ]='MEDIÇÃO '!$A$78,ROW(Tabela3[CÓDIGO
 EMPRESA ])-3),ROW(P4)),3),"")</f>
        <v>9359</v>
      </c>
      <c r="B85" s="132">
        <f>SUMIFS('LIQUIDAÇÃO 2025'!$K:$K,'LIQUIDAÇÃO 2025'!$B:$B,'MEDIÇÃO '!$A$78,'LIQUIDAÇÃO 2025'!$C:$C,'MEDIÇÃO '!$B$78,'LIQUIDAÇÃO 2025'!$H:$H,'MEDIÇÃO '!B$80,'LIQUIDAÇÃO 2025'!$F:$F,'MEDIÇÃO '!$A$85)</f>
        <v>0</v>
      </c>
      <c r="C85" s="132">
        <f>SUMIFS('LIQUIDAÇÃO 2025'!$K:$K,'LIQUIDAÇÃO 2025'!$B:$B,'MEDIÇÃO '!$A$78,'LIQUIDAÇÃO 2025'!$C:$C,'MEDIÇÃO '!$B$78,'LIQUIDAÇÃO 2025'!$H:$H,'MEDIÇÃO '!C$80,'LIQUIDAÇÃO 2025'!$F:$F,'MEDIÇÃO '!$A$85)</f>
        <v>0</v>
      </c>
      <c r="D85" s="132">
        <f>SUMIFS('LIQUIDAÇÃO 2025'!$K:$K,'LIQUIDAÇÃO 2025'!$B:$B,'MEDIÇÃO '!$A$78,'LIQUIDAÇÃO 2025'!$C:$C,'MEDIÇÃO '!$B$78,'LIQUIDAÇÃO 2025'!$H:$H,'MEDIÇÃO '!D$80,'LIQUIDAÇÃO 2025'!$F:$F,'MEDIÇÃO '!$A$85)</f>
        <v>0</v>
      </c>
      <c r="E85" s="132">
        <f>SUMIFS('LIQUIDAÇÃO 2025'!$K:$K,'LIQUIDAÇÃO 2025'!$B:$B,'MEDIÇÃO '!$A$78,'LIQUIDAÇÃO 2025'!$C:$C,'MEDIÇÃO '!$B$78,'LIQUIDAÇÃO 2025'!$H:$H,'MEDIÇÃO '!E$80,'LIQUIDAÇÃO 2025'!$F:$F,'MEDIÇÃO '!$A$85)</f>
        <v>0</v>
      </c>
      <c r="F85" s="132">
        <f>SUMIFS('LIQUIDAÇÃO 2025'!$K:$K,'LIQUIDAÇÃO 2025'!$B:$B,'MEDIÇÃO '!$A$78,'LIQUIDAÇÃO 2025'!$C:$C,'MEDIÇÃO '!$B$78,'LIQUIDAÇÃO 2025'!$H:$H,'MEDIÇÃO '!F$80,'LIQUIDAÇÃO 2025'!$F:$F,'MEDIÇÃO '!$A$85)</f>
        <v>589.98</v>
      </c>
      <c r="G85" s="132">
        <f>SUMIFS('LIQUIDAÇÃO 2025'!$K:$K,'LIQUIDAÇÃO 2025'!$B:$B,'MEDIÇÃO '!$A$78,'LIQUIDAÇÃO 2025'!$C:$C,'MEDIÇÃO '!$B$78,'LIQUIDAÇÃO 2025'!$H:$H,'MEDIÇÃO '!G$80,'LIQUIDAÇÃO 2025'!$F:$F,'MEDIÇÃO '!$A$85)</f>
        <v>0</v>
      </c>
      <c r="H85" s="132">
        <f>SUMIFS('LIQUIDAÇÃO 2025'!$K:$K,'LIQUIDAÇÃO 2025'!$B:$B,'MEDIÇÃO '!$A$78,'LIQUIDAÇÃO 2025'!$C:$C,'MEDIÇÃO '!$B$78,'LIQUIDAÇÃO 2025'!$H:$H,'MEDIÇÃO '!H$80,'LIQUIDAÇÃO 2025'!$F:$F,'MEDIÇÃO '!$A$85)</f>
        <v>0</v>
      </c>
      <c r="I85" s="132">
        <f>SUMIFS('LIQUIDAÇÃO 2025'!$K:$K,'LIQUIDAÇÃO 2025'!$B:$B,'MEDIÇÃO '!$A$78,'LIQUIDAÇÃO 2025'!$C:$C,'MEDIÇÃO '!$B$78,'LIQUIDAÇÃO 2025'!$H:$H,'MEDIÇÃO '!I$80,'LIQUIDAÇÃO 2025'!$F:$F,'MEDIÇÃO '!$A$85)</f>
        <v>0</v>
      </c>
      <c r="J85" s="132">
        <f>SUMIFS('LIQUIDAÇÃO 2025'!$K:$K,'LIQUIDAÇÃO 2025'!$B:$B,'MEDIÇÃO '!$A$78,'LIQUIDAÇÃO 2025'!$C:$C,'MEDIÇÃO '!$B$78,'LIQUIDAÇÃO 2025'!$H:$H,'MEDIÇÃO '!J$80,'LIQUIDAÇÃO 2025'!$F:$F,'MEDIÇÃO '!$A$85)</f>
        <v>1750.35</v>
      </c>
      <c r="K85" s="132">
        <f>SUMIFS('LIQUIDAÇÃO 2025'!$K:$K,'LIQUIDAÇÃO 2025'!$B:$B,'MEDIÇÃO '!$A$78,'LIQUIDAÇÃO 2025'!$C:$C,'MEDIÇÃO '!$B$78,'LIQUIDAÇÃO 2025'!$H:$H,'MEDIÇÃO '!K$80,'LIQUIDAÇÃO 2025'!$F:$F,'MEDIÇÃO '!$A$85)</f>
        <v>1671.32</v>
      </c>
      <c r="L85" s="132">
        <f>SUMIFS('LIQUIDAÇÃO 2025'!$K:$K,'LIQUIDAÇÃO 2025'!$B:$B,'MEDIÇÃO '!$A$78,'LIQUIDAÇÃO 2025'!$C:$C,'MEDIÇÃO '!$B$78,'LIQUIDAÇÃO 2025'!$H:$H,'MEDIÇÃO '!L$80,'LIQUIDAÇÃO 2025'!$F:$F,'MEDIÇÃO '!$A$85)</f>
        <v>0</v>
      </c>
      <c r="M85" s="132">
        <f>SUMIFS('LIQUIDAÇÃO 2025'!$K:$K,'LIQUIDAÇÃO 2025'!$B:$B,'MEDIÇÃO '!$A$78,'LIQUIDAÇÃO 2025'!$C:$C,'MEDIÇÃO '!$B$78,'LIQUIDAÇÃO 2025'!$H:$H,'MEDIÇÃO '!M$80,'LIQUIDAÇÃO 2025'!$F:$F,'MEDIÇÃO '!$A$85)</f>
        <v>0</v>
      </c>
      <c r="N85" s="1067"/>
    </row>
    <row r="86" spans="1:18" s="57" customFormat="1" ht="15.75" thickBot="1">
      <c r="A86" s="131" cm="1">
        <f t="array" ref="A86">IFERROR(INDEX(Tabela3[[CÓDIGO
 EMPRESA ]:[EMPENHO]],SMALL(IF(Tabela3[CÓDIGO
 EMPRESA ]='MEDIÇÃO '!$A$78,ROW(Tabela3[CÓDIGO
 EMPRESA ])-3),ROW(P5)),3),"")</f>
        <v>17981</v>
      </c>
      <c r="B86" s="132">
        <f>SUMIFS('LIQUIDAÇÃO 2025'!$K:$K,'LIQUIDAÇÃO 2025'!$B:$B,'MEDIÇÃO '!$A$78,'LIQUIDAÇÃO 2025'!$C:$C,'MEDIÇÃO '!$B$78,'LIQUIDAÇÃO 2025'!$H:$H,'MEDIÇÃO '!B$80,'LIQUIDAÇÃO 2025'!$F:$F,'MEDIÇÃO '!$A$86)</f>
        <v>2830.34</v>
      </c>
      <c r="C86" s="132">
        <f>SUMIFS('LIQUIDAÇÃO 2025'!L:L,'LIQUIDAÇÃO 2025'!C:C,'MEDIÇÃO '!$A$78,'LIQUIDAÇÃO 2025'!D:D,'MEDIÇÃO '!$B$78,'LIQUIDAÇÃO 2025'!$H:$H,'MEDIÇÃO '!C$80,'LIQUIDAÇÃO 2025'!$F:$F,'MEDIÇÃO '!$A$86)</f>
        <v>0</v>
      </c>
      <c r="D86" s="132">
        <f>SUMIFS('LIQUIDAÇÃO 2025'!M:M,'LIQUIDAÇÃO 2025'!D:D,'MEDIÇÃO '!$A$78,'LIQUIDAÇÃO 2025'!E:E,'MEDIÇÃO '!$B$78,'LIQUIDAÇÃO 2025'!$H:$H,'MEDIÇÃO '!D$80,'LIQUIDAÇÃO 2025'!$F:$F,'MEDIÇÃO '!$A$86)</f>
        <v>0</v>
      </c>
      <c r="E86" s="132">
        <f>SUMIFS('LIQUIDAÇÃO 2025'!N:N,'LIQUIDAÇÃO 2025'!E:E,'MEDIÇÃO '!$A$78,'LIQUIDAÇÃO 2025'!F:F,'MEDIÇÃO '!$B$78,'LIQUIDAÇÃO 2025'!$H:$H,'MEDIÇÃO '!E$80,'LIQUIDAÇÃO 2025'!$F:$F,'MEDIÇÃO '!$A$86)</f>
        <v>0</v>
      </c>
      <c r="F86" s="132">
        <f>SUMIFS('LIQUIDAÇÃO 2025'!O:O,'LIQUIDAÇÃO 2025'!F:F,'MEDIÇÃO '!$A$78,'LIQUIDAÇÃO 2025'!G:G,'MEDIÇÃO '!$B$78,'LIQUIDAÇÃO 2025'!$H:$H,'MEDIÇÃO '!F$80,'LIQUIDAÇÃO 2025'!$F:$F,'MEDIÇÃO '!$A$86)</f>
        <v>0</v>
      </c>
      <c r="G86" s="132">
        <f>SUMIFS('LIQUIDAÇÃO 2025'!P:P,'LIQUIDAÇÃO 2025'!G:G,'MEDIÇÃO '!$A$78,'LIQUIDAÇÃO 2025'!H:H,'MEDIÇÃO '!$B$78,'LIQUIDAÇÃO 2025'!$H:$H,'MEDIÇÃO '!G$80,'LIQUIDAÇÃO 2025'!$F:$F,'MEDIÇÃO '!$A$86)</f>
        <v>0</v>
      </c>
      <c r="H86" s="132">
        <f>SUMIFS('LIQUIDAÇÃO 2025'!Q:Q,'LIQUIDAÇÃO 2025'!H:H,'MEDIÇÃO '!$A$78,'LIQUIDAÇÃO 2025'!I:I,'MEDIÇÃO '!$B$78,'LIQUIDAÇÃO 2025'!$H:$H,'MEDIÇÃO '!H$80,'LIQUIDAÇÃO 2025'!$F:$F,'MEDIÇÃO '!$A$86)</f>
        <v>0</v>
      </c>
      <c r="I86" s="132">
        <f>SUMIFS('LIQUIDAÇÃO 2025'!R:R,'LIQUIDAÇÃO 2025'!I:I,'MEDIÇÃO '!$A$78,'LIQUIDAÇÃO 2025'!J:J,'MEDIÇÃO '!$B$78,'LIQUIDAÇÃO 2025'!$H:$H,'MEDIÇÃO '!I$80,'LIQUIDAÇÃO 2025'!$F:$F,'MEDIÇÃO '!$A$86)</f>
        <v>0</v>
      </c>
      <c r="J86" s="132">
        <f>SUMIFS('LIQUIDAÇÃO 2025'!S:S,'LIQUIDAÇÃO 2025'!J:J,'MEDIÇÃO '!$A$78,'LIQUIDAÇÃO 2025'!K:K,'MEDIÇÃO '!$B$78,'LIQUIDAÇÃO 2025'!$H:$H,'MEDIÇÃO '!J$80,'LIQUIDAÇÃO 2025'!$F:$F,'MEDIÇÃO '!$A$86)</f>
        <v>0</v>
      </c>
      <c r="K86" s="132">
        <f>SUMIFS('LIQUIDAÇÃO 2025'!U:U,'LIQUIDAÇÃO 2025'!K:K,'MEDIÇÃO '!$A$78,'LIQUIDAÇÃO 2025'!L:L,'MEDIÇÃO '!$B$78,'LIQUIDAÇÃO 2025'!$H:$H,'MEDIÇÃO '!K$80,'LIQUIDAÇÃO 2025'!$F:$F,'MEDIÇÃO '!$A$86)</f>
        <v>0</v>
      </c>
      <c r="L86" s="132">
        <f>SUMIFS('LIQUIDAÇÃO 2025'!V:V,'LIQUIDAÇÃO 2025'!L:L,'MEDIÇÃO '!$A$78,'LIQUIDAÇÃO 2025'!M:M,'MEDIÇÃO '!$B$78,'LIQUIDAÇÃO 2025'!$H:$H,'MEDIÇÃO '!L$80,'LIQUIDAÇÃO 2025'!$F:$F,'MEDIÇÃO '!$A$86)</f>
        <v>0</v>
      </c>
      <c r="M86" s="132">
        <f>SUMIFS('LIQUIDAÇÃO 2025'!W:W,'LIQUIDAÇÃO 2025'!M:M,'MEDIÇÃO '!$A$78,'LIQUIDAÇÃO 2025'!N:N,'MEDIÇÃO '!$B$78,'LIQUIDAÇÃO 2025'!$H:$H,'MEDIÇÃO '!M$80,'LIQUIDAÇÃO 2025'!$F:$F,'MEDIÇÃO '!$A$86)</f>
        <v>0</v>
      </c>
      <c r="N86" s="1067"/>
    </row>
    <row r="87" spans="1:18" s="57" customFormat="1" ht="16.5" thickBot="1">
      <c r="A87" s="214" t="s">
        <v>38</v>
      </c>
      <c r="B87" s="215">
        <v>0</v>
      </c>
      <c r="C87" s="215">
        <v>0</v>
      </c>
      <c r="D87" s="215">
        <v>0</v>
      </c>
      <c r="E87" s="215">
        <v>0</v>
      </c>
      <c r="F87" s="215">
        <v>0</v>
      </c>
      <c r="G87" s="215">
        <v>0</v>
      </c>
      <c r="H87" s="215">
        <v>0</v>
      </c>
      <c r="I87" s="215">
        <v>0</v>
      </c>
      <c r="J87" s="215">
        <v>0</v>
      </c>
      <c r="K87" s="215">
        <v>0</v>
      </c>
      <c r="L87" s="215">
        <v>0</v>
      </c>
      <c r="M87" s="215">
        <v>0</v>
      </c>
      <c r="N87" s="1068"/>
    </row>
    <row r="88" spans="1:18" s="57" customFormat="1" ht="15.75">
      <c r="A88" s="212" t="s">
        <v>127</v>
      </c>
      <c r="B88" s="216">
        <f>IF(SUM(B82:B86)&lt;&gt;0,B81-B87-SUM(B82:B86),(B81-SUM(B82:B86)-B87))</f>
        <v>-2830.34</v>
      </c>
      <c r="C88" s="216">
        <f t="shared" ref="C88" si="47">IF(SUM(C82:C86)&lt;&gt;0,C81-C87-SUM(C82:C86),(C81-SUM(C82:C86)-C87))</f>
        <v>93.4</v>
      </c>
      <c r="D88" s="216">
        <f t="shared" ref="D88" si="48">IF(SUM(D82:D86)&lt;&gt;0,D81-D87-SUM(D82:D86),(D81-SUM(D82:D86)-D87))</f>
        <v>-254</v>
      </c>
      <c r="E88" s="216">
        <f t="shared" ref="E88" si="49">IF(SUM(E82:E86)&lt;&gt;0,E81-E87-SUM(E82:E86),(E81-SUM(E82:E86)-E87))</f>
        <v>2144.56</v>
      </c>
      <c r="F88" s="216">
        <f t="shared" ref="F88" si="50">IF(SUM(F82:F86)&lt;&gt;0,F81-F87-SUM(F82:F86),(F81-SUM(F82:F86)-F87))</f>
        <v>3421.67</v>
      </c>
      <c r="G88" s="216">
        <f>IF(SUM(G82:G86)&lt;&gt;0,G81-G87-SUM(G82:G86),(G81-SUM(G82:G86)-G87))</f>
        <v>4011.65</v>
      </c>
      <c r="H88" s="216">
        <f t="shared" ref="H88" si="51">IF(SUM(H82:H86)&lt;&gt;0,H81-H87-SUM(H82:H86),(H81-SUM(H82:H86)-H87))</f>
        <v>-251.06</v>
      </c>
      <c r="I88" s="216">
        <f t="shared" ref="I88" si="52">IF(SUM(I82:I86)&lt;&gt;0,I81-I87-SUM(I82:I86),(I81-SUM(I82:I86)-I87))</f>
        <v>2545.41</v>
      </c>
      <c r="J88" s="216">
        <f t="shared" ref="J88" si="53">IF(SUM(J82:J86)&lt;&gt;0,J81-J87-SUM(J82:J86),(J81-SUM(J82:J86)-J87))</f>
        <v>804.59</v>
      </c>
      <c r="K88" s="216">
        <f t="shared" ref="K88" si="54">IF(SUM(K82:K86)&lt;&gt;0,K81-K87-SUM(K82:K86),(K81-SUM(K82:K86)-K87))</f>
        <v>2340.33</v>
      </c>
      <c r="L88" s="216">
        <f t="shared" ref="L88" si="55">IF(SUM(L82:L86)&lt;&gt;0,L81-L87-SUM(L82:L86),(L81-SUM(L82:L86)-L87))</f>
        <v>936.05</v>
      </c>
      <c r="M88" s="216">
        <f t="shared" ref="M88" si="56">IF(SUM(M82:M86)&lt;&gt;0,M81-M87-SUM(M82:M86),(M81-SUM(M82:M86)-M87))</f>
        <v>0</v>
      </c>
      <c r="N88" s="213">
        <f>SUM(B81:M81)-SUM(B82:M86)-SUM(B87:M87)</f>
        <v>12962.26</v>
      </c>
    </row>
    <row r="89" spans="1:18" s="57" customFormat="1">
      <c r="J89" s="86"/>
      <c r="K89" s="86"/>
      <c r="L89" s="86"/>
      <c r="M89" s="86"/>
      <c r="N89" s="210"/>
      <c r="R89" s="367"/>
    </row>
    <row r="90" spans="1:18" ht="15.75" customHeight="1">
      <c r="A90" s="123">
        <v>114781</v>
      </c>
      <c r="B90" s="118" t="s">
        <v>121</v>
      </c>
      <c r="C90" s="115"/>
      <c r="D90" s="115"/>
      <c r="E90" s="115"/>
      <c r="F90" s="91" t="s">
        <v>116</v>
      </c>
      <c r="G90" s="92" t="s">
        <v>117</v>
      </c>
      <c r="H90" s="1062" t="s">
        <v>113</v>
      </c>
      <c r="I90" s="1062"/>
      <c r="J90" s="1062" t="s">
        <v>114</v>
      </c>
      <c r="K90" s="1062"/>
      <c r="L90" s="1062" t="s">
        <v>118</v>
      </c>
      <c r="M90" s="1062"/>
      <c r="N90" s="92" t="s">
        <v>115</v>
      </c>
    </row>
    <row r="91" spans="1:18" ht="18.75" customHeight="1">
      <c r="A91" s="121"/>
      <c r="B91" s="121"/>
      <c r="C91" s="121"/>
      <c r="D91" s="121"/>
      <c r="E91" s="121"/>
      <c r="F91" s="97" t="str">
        <f>VALIDAÇÕES!C18</f>
        <v>32933/2023</v>
      </c>
      <c r="G91" s="97">
        <f>VALIDAÇÕES!D18</f>
        <v>0</v>
      </c>
      <c r="H91" s="1061">
        <f>VALIDAÇÕES!G18</f>
        <v>5116523.41</v>
      </c>
      <c r="I91" s="1061"/>
      <c r="J91" s="1061">
        <f>VALIDAÇÕES!H18</f>
        <v>5116523.41</v>
      </c>
      <c r="K91" s="1061"/>
      <c r="L91" s="1063">
        <f>VALIDAÇÕES!E18</f>
        <v>45292</v>
      </c>
      <c r="M91" s="1063"/>
      <c r="N91" s="203">
        <f>VALIDAÇÕES!F18</f>
        <v>45658</v>
      </c>
    </row>
    <row r="92" spans="1:18" ht="15.75" customHeight="1">
      <c r="A92" s="1060" t="s">
        <v>7</v>
      </c>
      <c r="B92" s="89" t="s">
        <v>44</v>
      </c>
      <c r="C92" s="89" t="s">
        <v>43</v>
      </c>
      <c r="D92" s="89" t="s">
        <v>45</v>
      </c>
      <c r="E92" s="89" t="s">
        <v>46</v>
      </c>
      <c r="F92" s="89" t="s">
        <v>47</v>
      </c>
      <c r="G92" s="89" t="s">
        <v>48</v>
      </c>
      <c r="H92" s="89" t="s">
        <v>49</v>
      </c>
      <c r="I92" s="89" t="s">
        <v>50</v>
      </c>
      <c r="J92" s="89" t="s">
        <v>51</v>
      </c>
      <c r="K92" s="89" t="s">
        <v>52</v>
      </c>
      <c r="L92" s="89" t="s">
        <v>53</v>
      </c>
      <c r="M92" s="224" t="s">
        <v>54</v>
      </c>
      <c r="N92" s="1074" t="s">
        <v>112</v>
      </c>
      <c r="O92" s="222"/>
      <c r="P92" s="222"/>
      <c r="Q92" s="222"/>
    </row>
    <row r="93" spans="1:18" ht="15" customHeight="1">
      <c r="A93" s="1060"/>
      <c r="B93" s="277"/>
      <c r="C93" s="100"/>
      <c r="D93" s="100"/>
      <c r="E93" s="100"/>
      <c r="F93" s="100"/>
      <c r="G93" s="100"/>
      <c r="H93" s="100"/>
      <c r="I93" s="100"/>
      <c r="J93" s="100"/>
      <c r="K93" s="100"/>
      <c r="L93" s="100"/>
      <c r="M93" s="100"/>
      <c r="N93" s="1075"/>
      <c r="O93" s="223"/>
      <c r="P93" s="223"/>
      <c r="Q93" s="223"/>
    </row>
    <row r="94" spans="1:18" ht="15" customHeight="1">
      <c r="A94" s="131" t="str" cm="1">
        <f t="array" ref="A94">IFERROR(INDEX(Tabela3[[CÓDIGO
 EMPRESA ]:[EMPENHO]],SMALL(IF(Tabela3[CÓDIGO
 EMPRESA ]='MEDIÇÃO '!$A$90,ROW(Tabela3[CÓDIGO
 EMPRESA ])-3),ROW(P1)),3),"")</f>
        <v/>
      </c>
      <c r="B94" s="132">
        <f>SUMIFS('LIQUIDAÇÃO 2025'!$K:$K,'LIQUIDAÇÃO 2025'!$B:$B,'MEDIÇÃO '!$A$90,'LIQUIDAÇÃO 2025'!$C:$C,'MEDIÇÃO '!$B$90,'LIQUIDAÇÃO 2025'!$H:$H,'MEDIÇÃO '!B$92,'LIQUIDAÇÃO 2025'!$F:$F,'MEDIÇÃO '!$A$94)</f>
        <v>0</v>
      </c>
      <c r="C94" s="132">
        <f>SUMIFS('LIQUIDAÇÃO 2025'!$K:$K,'LIQUIDAÇÃO 2025'!$B:$B,'MEDIÇÃO '!$A$90,'LIQUIDAÇÃO 2025'!$C:$C,'MEDIÇÃO '!$B$90,'LIQUIDAÇÃO 2025'!$H:$H,'MEDIÇÃO '!C$92,'LIQUIDAÇÃO 2025'!$F:$F,'MEDIÇÃO '!$A$94)</f>
        <v>0</v>
      </c>
      <c r="D94" s="132">
        <f>SUMIFS('LIQUIDAÇÃO 2025'!$K:$K,'LIQUIDAÇÃO 2025'!$B:$B,'MEDIÇÃO '!$A$90,'LIQUIDAÇÃO 2025'!$C:$C,'MEDIÇÃO '!$B$90,'LIQUIDAÇÃO 2025'!$H:$H,'MEDIÇÃO '!D$92,'LIQUIDAÇÃO 2025'!$F:$F,'MEDIÇÃO '!$A$94)</f>
        <v>0</v>
      </c>
      <c r="E94" s="132">
        <f>SUMIFS('LIQUIDAÇÃO 2025'!$K:$K,'LIQUIDAÇÃO 2025'!$B:$B,'MEDIÇÃO '!$A$90,'LIQUIDAÇÃO 2025'!$C:$C,'MEDIÇÃO '!$B$90,'LIQUIDAÇÃO 2025'!$H:$H,'MEDIÇÃO '!E$92,'LIQUIDAÇÃO 2025'!$F:$F,'MEDIÇÃO '!$A$94)</f>
        <v>0</v>
      </c>
      <c r="F94" s="132">
        <f>SUMIFS('LIQUIDAÇÃO 2025'!$K:$K,'LIQUIDAÇÃO 2025'!$B:$B,'MEDIÇÃO '!$A$90,'LIQUIDAÇÃO 2025'!$C:$C,'MEDIÇÃO '!$B$90,'LIQUIDAÇÃO 2025'!$H:$H,'MEDIÇÃO '!F$92,'LIQUIDAÇÃO 2025'!$F:$F,'MEDIÇÃO '!$A$94)</f>
        <v>0</v>
      </c>
      <c r="G94" s="132">
        <f>SUMIFS('LIQUIDAÇÃO 2025'!$K:$K,'LIQUIDAÇÃO 2025'!$B:$B,'MEDIÇÃO '!$A$90,'LIQUIDAÇÃO 2025'!$C:$C,'MEDIÇÃO '!$B$90,'LIQUIDAÇÃO 2025'!$H:$H,'MEDIÇÃO '!G$92,'LIQUIDAÇÃO 2025'!$F:$F,'MEDIÇÃO '!$A$94)</f>
        <v>0</v>
      </c>
      <c r="H94" s="132">
        <f>SUMIFS('LIQUIDAÇÃO 2025'!$K:$K,'LIQUIDAÇÃO 2025'!$B:$B,'MEDIÇÃO '!$A$90,'LIQUIDAÇÃO 2025'!$C:$C,'MEDIÇÃO '!$B$90,'LIQUIDAÇÃO 2025'!$H:$H,'MEDIÇÃO '!H$92,'LIQUIDAÇÃO 2025'!$F:$F,'MEDIÇÃO '!$A$94)</f>
        <v>0</v>
      </c>
      <c r="I94" s="132">
        <f>SUMIFS('LIQUIDAÇÃO 2025'!$K:$K,'LIQUIDAÇÃO 2025'!$B:$B,'MEDIÇÃO '!$A$90,'LIQUIDAÇÃO 2025'!$C:$C,'MEDIÇÃO '!$B$90,'LIQUIDAÇÃO 2025'!$H:$H,'MEDIÇÃO '!I$92,'LIQUIDAÇÃO 2025'!$F:$F,'MEDIÇÃO '!$A$94)</f>
        <v>0</v>
      </c>
      <c r="J94" s="132">
        <f>SUMIFS('LIQUIDAÇÃO 2025'!$K:$K,'LIQUIDAÇÃO 2025'!$B:$B,'MEDIÇÃO '!$A$90,'LIQUIDAÇÃO 2025'!$C:$C,'MEDIÇÃO '!$B$90,'LIQUIDAÇÃO 2025'!$H:$H,'MEDIÇÃO '!J$92,'LIQUIDAÇÃO 2025'!$F:$F,'MEDIÇÃO '!$A$94)</f>
        <v>0</v>
      </c>
      <c r="K94" s="132">
        <f>SUMIFS('LIQUIDAÇÃO 2025'!$K:$K,'LIQUIDAÇÃO 2025'!$B:$B,'MEDIÇÃO '!$A$90,'LIQUIDAÇÃO 2025'!$C:$C,'MEDIÇÃO '!$B$90,'LIQUIDAÇÃO 2025'!$H:$H,'MEDIÇÃO '!K$92,'LIQUIDAÇÃO 2025'!$F:$F,'MEDIÇÃO '!$A$94)</f>
        <v>0</v>
      </c>
      <c r="L94" s="132">
        <f>SUMIFS('LIQUIDAÇÃO 2025'!$K:$K,'LIQUIDAÇÃO 2025'!$B:$B,'MEDIÇÃO '!$A$90,'LIQUIDAÇÃO 2025'!$C:$C,'MEDIÇÃO '!$B$90,'LIQUIDAÇÃO 2025'!$H:$H,'MEDIÇÃO '!L$92,'LIQUIDAÇÃO 2025'!$F:$F,'MEDIÇÃO '!$A$94)</f>
        <v>0</v>
      </c>
      <c r="M94" s="225">
        <f>SUMIFS('LIQUIDAÇÃO 2025'!$K:$K,'LIQUIDAÇÃO 2025'!$B:$B,'MEDIÇÃO '!$A$90,'LIQUIDAÇÃO 2025'!$C:$C,'MEDIÇÃO '!$B$90,'LIQUIDAÇÃO 2025'!$H:$H,'MEDIÇÃO '!M$92,'LIQUIDAÇÃO 2025'!$F:$F,'MEDIÇÃO '!$A$94)</f>
        <v>0</v>
      </c>
      <c r="N94" s="1075"/>
    </row>
    <row r="95" spans="1:18" ht="15" customHeight="1">
      <c r="A95" s="131" t="str" cm="1">
        <f t="array" ref="A95">IFERROR(INDEX(Tabela3[[CÓDIGO
 EMPRESA ]:[EMPENHO]],SMALL(IF(Tabela3[CÓDIGO
 EMPRESA ]='MEDIÇÃO '!$A$90,ROW(Tabela3[CÓDIGO
 EMPRESA ])-3),ROW(P2)),3),"")</f>
        <v/>
      </c>
      <c r="B95" s="132">
        <f>SUMIFS('LIQUIDAÇÃO 2025'!$K:$K,'LIQUIDAÇÃO 2025'!$B:$B,'MEDIÇÃO '!$A$90,'LIQUIDAÇÃO 2025'!$C:$C,'MEDIÇÃO '!$B$90,'LIQUIDAÇÃO 2025'!$H:$H,'MEDIÇÃO '!B$92,'LIQUIDAÇÃO 2025'!$F:$F,'MEDIÇÃO '!$A$95)</f>
        <v>0</v>
      </c>
      <c r="C95" s="132">
        <f>SUMIFS('LIQUIDAÇÃO 2025'!$K:$K,'LIQUIDAÇÃO 2025'!$B:$B,'MEDIÇÃO '!$A$90,'LIQUIDAÇÃO 2025'!$C:$C,'MEDIÇÃO '!$B$90,'LIQUIDAÇÃO 2025'!$H:$H,'MEDIÇÃO '!C$92,'LIQUIDAÇÃO 2025'!$F:$F,'MEDIÇÃO '!$A$95)</f>
        <v>0</v>
      </c>
      <c r="D95" s="132">
        <f>SUMIFS('LIQUIDAÇÃO 2025'!$K:$K,'LIQUIDAÇÃO 2025'!$B:$B,'MEDIÇÃO '!$A$90,'LIQUIDAÇÃO 2025'!$C:$C,'MEDIÇÃO '!$B$90,'LIQUIDAÇÃO 2025'!$H:$H,'MEDIÇÃO '!D$92,'LIQUIDAÇÃO 2025'!$F:$F,'MEDIÇÃO '!$A$95)</f>
        <v>0</v>
      </c>
      <c r="E95" s="132">
        <f>SUMIFS('LIQUIDAÇÃO 2025'!$K:$K,'LIQUIDAÇÃO 2025'!$B:$B,'MEDIÇÃO '!$A$90,'LIQUIDAÇÃO 2025'!$C:$C,'MEDIÇÃO '!$B$90,'LIQUIDAÇÃO 2025'!$H:$H,'MEDIÇÃO '!E$92,'LIQUIDAÇÃO 2025'!$F:$F,'MEDIÇÃO '!$A$95)</f>
        <v>0</v>
      </c>
      <c r="F95" s="132">
        <f>SUMIFS('LIQUIDAÇÃO 2025'!$K:$K,'LIQUIDAÇÃO 2025'!$B:$B,'MEDIÇÃO '!$A$90,'LIQUIDAÇÃO 2025'!$C:$C,'MEDIÇÃO '!$B$90,'LIQUIDAÇÃO 2025'!$H:$H,'MEDIÇÃO '!F$92,'LIQUIDAÇÃO 2025'!$F:$F,'MEDIÇÃO '!$A$95)</f>
        <v>0</v>
      </c>
      <c r="G95" s="132">
        <f>SUMIFS('LIQUIDAÇÃO 2025'!$K:$K,'LIQUIDAÇÃO 2025'!$B:$B,'MEDIÇÃO '!$A$90,'LIQUIDAÇÃO 2025'!$C:$C,'MEDIÇÃO '!$B$90,'LIQUIDAÇÃO 2025'!$H:$H,'MEDIÇÃO '!G$92,'LIQUIDAÇÃO 2025'!$F:$F,'MEDIÇÃO '!$A$95)</f>
        <v>0</v>
      </c>
      <c r="H95" s="132">
        <f>SUMIFS('LIQUIDAÇÃO 2025'!$K:$K,'LIQUIDAÇÃO 2025'!$B:$B,'MEDIÇÃO '!$A$90,'LIQUIDAÇÃO 2025'!$C:$C,'MEDIÇÃO '!$B$90,'LIQUIDAÇÃO 2025'!$H:$H,'MEDIÇÃO '!H$92,'LIQUIDAÇÃO 2025'!$F:$F,'MEDIÇÃO '!$A$95)</f>
        <v>0</v>
      </c>
      <c r="I95" s="132">
        <f>SUMIFS('LIQUIDAÇÃO 2025'!$K:$K,'LIQUIDAÇÃO 2025'!$B:$B,'MEDIÇÃO '!$A$90,'LIQUIDAÇÃO 2025'!$C:$C,'MEDIÇÃO '!$B$90,'LIQUIDAÇÃO 2025'!$H:$H,'MEDIÇÃO '!I$92,'LIQUIDAÇÃO 2025'!$F:$F,'MEDIÇÃO '!$A$95)</f>
        <v>0</v>
      </c>
      <c r="J95" s="132">
        <f>SUMIFS('LIQUIDAÇÃO 2025'!$K:$K,'LIQUIDAÇÃO 2025'!$B:$B,'MEDIÇÃO '!$A$90,'LIQUIDAÇÃO 2025'!$C:$C,'MEDIÇÃO '!$B$90,'LIQUIDAÇÃO 2025'!$H:$H,'MEDIÇÃO '!J$92,'LIQUIDAÇÃO 2025'!$F:$F,'MEDIÇÃO '!$A$95)</f>
        <v>0</v>
      </c>
      <c r="K95" s="132">
        <f>SUMIFS('LIQUIDAÇÃO 2025'!$K:$K,'LIQUIDAÇÃO 2025'!$B:$B,'MEDIÇÃO '!$A$90,'LIQUIDAÇÃO 2025'!$C:$C,'MEDIÇÃO '!$B$90,'LIQUIDAÇÃO 2025'!$H:$H,'MEDIÇÃO '!K$92,'LIQUIDAÇÃO 2025'!$F:$F,'MEDIÇÃO '!$A$95)</f>
        <v>0</v>
      </c>
      <c r="L95" s="132">
        <f>SUMIFS('LIQUIDAÇÃO 2025'!$K:$K,'LIQUIDAÇÃO 2025'!$B:$B,'MEDIÇÃO '!$A$90,'LIQUIDAÇÃO 2025'!$C:$C,'MEDIÇÃO '!$B$90,'LIQUIDAÇÃO 2025'!$H:$H,'MEDIÇÃO '!L$92,'LIQUIDAÇÃO 2025'!$F:$F,'MEDIÇÃO '!$A$95)</f>
        <v>0</v>
      </c>
      <c r="M95" s="225">
        <f>SUMIFS('LIQUIDAÇÃO 2025'!$K:$K,'LIQUIDAÇÃO 2025'!$B:$B,'MEDIÇÃO '!$A$90,'LIQUIDAÇÃO 2025'!$C:$C,'MEDIÇÃO '!$B$90,'LIQUIDAÇÃO 2025'!$H:$H,'MEDIÇÃO '!M$92,'LIQUIDAÇÃO 2025'!$F:$F,'MEDIÇÃO '!$A$95)</f>
        <v>0</v>
      </c>
      <c r="N95" s="1075"/>
    </row>
    <row r="96" spans="1:18" ht="15" customHeight="1">
      <c r="A96" s="131" t="str" cm="1">
        <f t="array" ref="A96">IFERROR(INDEX(Tabela3[[CÓDIGO
 EMPRESA ]:[EMPENHO]],SMALL(IF(Tabela3[CÓDIGO
 EMPRESA ]='MEDIÇÃO '!$A$90,ROW(Tabela3[CÓDIGO
 EMPRESA ])-3),ROW(P3)),3),"")</f>
        <v/>
      </c>
      <c r="B96" s="132">
        <f>SUMIFS('LIQUIDAÇÃO 2025'!$K:$K,'LIQUIDAÇÃO 2025'!$B:$B,'MEDIÇÃO '!$A$90,'LIQUIDAÇÃO 2025'!$C:$C,'MEDIÇÃO '!$B$90,'LIQUIDAÇÃO 2025'!$H:$H,'MEDIÇÃO '!B$92,'LIQUIDAÇÃO 2025'!$F:$F,'MEDIÇÃO '!$A$96)</f>
        <v>0</v>
      </c>
      <c r="C96" s="132">
        <f>SUMIFS('LIQUIDAÇÃO 2025'!$K:$K,'LIQUIDAÇÃO 2025'!$B:$B,'MEDIÇÃO '!$A$90,'LIQUIDAÇÃO 2025'!$C:$C,'MEDIÇÃO '!$B$90,'LIQUIDAÇÃO 2025'!$H:$H,'MEDIÇÃO '!C$92,'LIQUIDAÇÃO 2025'!$F:$F,'MEDIÇÃO '!$A$96)</f>
        <v>0</v>
      </c>
      <c r="D96" s="132">
        <f>SUMIFS('LIQUIDAÇÃO 2025'!$K:$K,'LIQUIDAÇÃO 2025'!$B:$B,'MEDIÇÃO '!$A$90,'LIQUIDAÇÃO 2025'!$C:$C,'MEDIÇÃO '!$B$90,'LIQUIDAÇÃO 2025'!$H:$H,'MEDIÇÃO '!D$92,'LIQUIDAÇÃO 2025'!$F:$F,'MEDIÇÃO '!$A$96)</f>
        <v>0</v>
      </c>
      <c r="E96" s="132">
        <f>SUMIFS('LIQUIDAÇÃO 2025'!$K:$K,'LIQUIDAÇÃO 2025'!$B:$B,'MEDIÇÃO '!$A$90,'LIQUIDAÇÃO 2025'!$C:$C,'MEDIÇÃO '!$B$90,'LIQUIDAÇÃO 2025'!$H:$H,'MEDIÇÃO '!E$92,'LIQUIDAÇÃO 2025'!$F:$F,'MEDIÇÃO '!$A$96)</f>
        <v>0</v>
      </c>
      <c r="F96" s="132">
        <f>SUMIFS('LIQUIDAÇÃO 2025'!$K:$K,'LIQUIDAÇÃO 2025'!$B:$B,'MEDIÇÃO '!$A$90,'LIQUIDAÇÃO 2025'!$C:$C,'MEDIÇÃO '!$B$90,'LIQUIDAÇÃO 2025'!$H:$H,'MEDIÇÃO '!F$92,'LIQUIDAÇÃO 2025'!$F:$F,'MEDIÇÃO '!$A$96)</f>
        <v>0</v>
      </c>
      <c r="G96" s="132">
        <f>SUMIFS('LIQUIDAÇÃO 2025'!$K:$K,'LIQUIDAÇÃO 2025'!$B:$B,'MEDIÇÃO '!$A$90,'LIQUIDAÇÃO 2025'!$C:$C,'MEDIÇÃO '!$B$90,'LIQUIDAÇÃO 2025'!$H:$H,'MEDIÇÃO '!G$92,'LIQUIDAÇÃO 2025'!$F:$F,'MEDIÇÃO '!$A$96)</f>
        <v>0</v>
      </c>
      <c r="H96" s="132">
        <f>SUMIFS('LIQUIDAÇÃO 2025'!$K:$K,'LIQUIDAÇÃO 2025'!$B:$B,'MEDIÇÃO '!$A$90,'LIQUIDAÇÃO 2025'!$C:$C,'MEDIÇÃO '!$B$90,'LIQUIDAÇÃO 2025'!$H:$H,'MEDIÇÃO '!H$92,'LIQUIDAÇÃO 2025'!$F:$F,'MEDIÇÃO '!$A$96)</f>
        <v>0</v>
      </c>
      <c r="I96" s="132">
        <f>SUMIFS('LIQUIDAÇÃO 2025'!$K:$K,'LIQUIDAÇÃO 2025'!$B:$B,'MEDIÇÃO '!$A$90,'LIQUIDAÇÃO 2025'!$C:$C,'MEDIÇÃO '!$B$90,'LIQUIDAÇÃO 2025'!$H:$H,'MEDIÇÃO '!I$92,'LIQUIDAÇÃO 2025'!$F:$F,'MEDIÇÃO '!$A$96)</f>
        <v>0</v>
      </c>
      <c r="J96" s="132">
        <f>SUMIFS('LIQUIDAÇÃO 2025'!$K:$K,'LIQUIDAÇÃO 2025'!$B:$B,'MEDIÇÃO '!$A$90,'LIQUIDAÇÃO 2025'!$C:$C,'MEDIÇÃO '!$B$90,'LIQUIDAÇÃO 2025'!$H:$H,'MEDIÇÃO '!J$92,'LIQUIDAÇÃO 2025'!$F:$F,'MEDIÇÃO '!$A$96)</f>
        <v>0</v>
      </c>
      <c r="K96" s="132">
        <f>SUMIFS('LIQUIDAÇÃO 2025'!$K:$K,'LIQUIDAÇÃO 2025'!$B:$B,'MEDIÇÃO '!$A$90,'LIQUIDAÇÃO 2025'!$C:$C,'MEDIÇÃO '!$B$90,'LIQUIDAÇÃO 2025'!$H:$H,'MEDIÇÃO '!K$92,'LIQUIDAÇÃO 2025'!$F:$F,'MEDIÇÃO '!$A$96)</f>
        <v>0</v>
      </c>
      <c r="L96" s="132">
        <f>SUMIFS('LIQUIDAÇÃO 2025'!$K:$K,'LIQUIDAÇÃO 2025'!$B:$B,'MEDIÇÃO '!$A$90,'LIQUIDAÇÃO 2025'!$C:$C,'MEDIÇÃO '!$B$90,'LIQUIDAÇÃO 2025'!$H:$H,'MEDIÇÃO '!L$92,'LIQUIDAÇÃO 2025'!$F:$F,'MEDIÇÃO '!$A$96)</f>
        <v>0</v>
      </c>
      <c r="M96" s="225">
        <f>SUMIFS('LIQUIDAÇÃO 2025'!$K:$K,'LIQUIDAÇÃO 2025'!$B:$B,'MEDIÇÃO '!$A$90,'LIQUIDAÇÃO 2025'!$C:$C,'MEDIÇÃO '!$B$90,'LIQUIDAÇÃO 2025'!$H:$H,'MEDIÇÃO '!M$92,'LIQUIDAÇÃO 2025'!$F:$F,'MEDIÇÃO '!$A$96)</f>
        <v>0</v>
      </c>
      <c r="N96" s="1075"/>
    </row>
    <row r="97" spans="1:14" ht="15" customHeight="1">
      <c r="A97" s="131" t="str" cm="1">
        <f t="array" ref="A97">IFERROR(INDEX(Tabela3[[CÓDIGO
 EMPRESA ]:[EMPENHO]],SMALL(IF(Tabela3[CÓDIGO
 EMPRESA ]='MEDIÇÃO '!$A$90,ROW(Tabela3[CÓDIGO
 EMPRESA ])-3),ROW(P4)),3),"")</f>
        <v/>
      </c>
      <c r="B97" s="132">
        <f>SUMIFS('LIQUIDAÇÃO 2025'!$K:$K,'LIQUIDAÇÃO 2025'!$B:$B,'MEDIÇÃO '!$A$90,'LIQUIDAÇÃO 2025'!$C:$C,'MEDIÇÃO '!$B$90,'LIQUIDAÇÃO 2025'!$H:$H,'MEDIÇÃO '!B$92,'LIQUIDAÇÃO 2025'!$F:$F,'MEDIÇÃO '!$A$97)</f>
        <v>0</v>
      </c>
      <c r="C97" s="132">
        <f>SUMIFS('LIQUIDAÇÃO 2025'!$K:$K,'LIQUIDAÇÃO 2025'!$B:$B,'MEDIÇÃO '!$A$90,'LIQUIDAÇÃO 2025'!$C:$C,'MEDIÇÃO '!$B$90,'LIQUIDAÇÃO 2025'!$H:$H,'MEDIÇÃO '!C$92,'LIQUIDAÇÃO 2025'!$F:$F,'MEDIÇÃO '!$A$97)</f>
        <v>0</v>
      </c>
      <c r="D97" s="132">
        <f>SUMIFS('LIQUIDAÇÃO 2025'!$K:$K,'LIQUIDAÇÃO 2025'!$B:$B,'MEDIÇÃO '!$A$90,'LIQUIDAÇÃO 2025'!$C:$C,'MEDIÇÃO '!$B$90,'LIQUIDAÇÃO 2025'!$H:$H,'MEDIÇÃO '!D$92,'LIQUIDAÇÃO 2025'!$F:$F,'MEDIÇÃO '!$A$97)</f>
        <v>0</v>
      </c>
      <c r="E97" s="132">
        <f>SUMIFS('LIQUIDAÇÃO 2025'!$K:$K,'LIQUIDAÇÃO 2025'!$B:$B,'MEDIÇÃO '!$A$90,'LIQUIDAÇÃO 2025'!$C:$C,'MEDIÇÃO '!$B$90,'LIQUIDAÇÃO 2025'!$H:$H,'MEDIÇÃO '!E$92,'LIQUIDAÇÃO 2025'!$F:$F,'MEDIÇÃO '!$A$97)</f>
        <v>0</v>
      </c>
      <c r="F97" s="132">
        <f>SUMIFS('LIQUIDAÇÃO 2025'!$K:$K,'LIQUIDAÇÃO 2025'!$B:$B,'MEDIÇÃO '!$A$90,'LIQUIDAÇÃO 2025'!$C:$C,'MEDIÇÃO '!$B$90,'LIQUIDAÇÃO 2025'!$H:$H,'MEDIÇÃO '!F$92,'LIQUIDAÇÃO 2025'!$F:$F,'MEDIÇÃO '!$A$97)</f>
        <v>0</v>
      </c>
      <c r="G97" s="132">
        <f>SUMIFS('LIQUIDAÇÃO 2025'!$K:$K,'LIQUIDAÇÃO 2025'!$B:$B,'MEDIÇÃO '!$A$90,'LIQUIDAÇÃO 2025'!$C:$C,'MEDIÇÃO '!$B$90,'LIQUIDAÇÃO 2025'!$H:$H,'MEDIÇÃO '!G$92,'LIQUIDAÇÃO 2025'!$F:$F,'MEDIÇÃO '!$A$97)</f>
        <v>0</v>
      </c>
      <c r="H97" s="132">
        <f>SUMIFS('LIQUIDAÇÃO 2025'!$K:$K,'LIQUIDAÇÃO 2025'!$B:$B,'MEDIÇÃO '!$A$90,'LIQUIDAÇÃO 2025'!$C:$C,'MEDIÇÃO '!$B$90,'LIQUIDAÇÃO 2025'!$H:$H,'MEDIÇÃO '!H$92,'LIQUIDAÇÃO 2025'!$F:$F,'MEDIÇÃO '!$A$97)</f>
        <v>0</v>
      </c>
      <c r="I97" s="132">
        <f>SUMIFS('LIQUIDAÇÃO 2025'!$K:$K,'LIQUIDAÇÃO 2025'!$B:$B,'MEDIÇÃO '!$A$90,'LIQUIDAÇÃO 2025'!$C:$C,'MEDIÇÃO '!$B$90,'LIQUIDAÇÃO 2025'!$H:$H,'MEDIÇÃO '!I$92,'LIQUIDAÇÃO 2025'!$F:$F,'MEDIÇÃO '!$A$97)</f>
        <v>0</v>
      </c>
      <c r="J97" s="132">
        <f>SUMIFS('LIQUIDAÇÃO 2025'!$K:$K,'LIQUIDAÇÃO 2025'!$B:$B,'MEDIÇÃO '!$A$90,'LIQUIDAÇÃO 2025'!$C:$C,'MEDIÇÃO '!$B$90,'LIQUIDAÇÃO 2025'!$H:$H,'MEDIÇÃO '!J$92,'LIQUIDAÇÃO 2025'!$F:$F,'MEDIÇÃO '!$A$97)</f>
        <v>0</v>
      </c>
      <c r="K97" s="132">
        <f>SUMIFS('LIQUIDAÇÃO 2025'!$K:$K,'LIQUIDAÇÃO 2025'!$B:$B,'MEDIÇÃO '!$A$90,'LIQUIDAÇÃO 2025'!$C:$C,'MEDIÇÃO '!$B$90,'LIQUIDAÇÃO 2025'!$H:$H,'MEDIÇÃO '!K$92,'LIQUIDAÇÃO 2025'!$F:$F,'MEDIÇÃO '!$A$97)</f>
        <v>0</v>
      </c>
      <c r="L97" s="132">
        <f>SUMIFS('LIQUIDAÇÃO 2025'!$K:$K,'LIQUIDAÇÃO 2025'!$B:$B,'MEDIÇÃO '!$A$90,'LIQUIDAÇÃO 2025'!$C:$C,'MEDIÇÃO '!$B$90,'LIQUIDAÇÃO 2025'!$H:$H,'MEDIÇÃO '!L$92,'LIQUIDAÇÃO 2025'!$F:$F,'MEDIÇÃO '!$A$97)</f>
        <v>0</v>
      </c>
      <c r="M97" s="225">
        <f>SUMIFS('LIQUIDAÇÃO 2025'!$K:$K,'LIQUIDAÇÃO 2025'!$B:$B,'MEDIÇÃO '!$A$90,'LIQUIDAÇÃO 2025'!$C:$C,'MEDIÇÃO '!$B$90,'LIQUIDAÇÃO 2025'!$H:$H,'MEDIÇÃO '!M$92,'LIQUIDAÇÃO 2025'!$F:$F,'MEDIÇÃO '!$A$97)</f>
        <v>0</v>
      </c>
      <c r="N97" s="1075"/>
    </row>
    <row r="98" spans="1:14" ht="15.75" customHeight="1" thickBot="1">
      <c r="A98" s="131" t="str" cm="1">
        <f t="array" ref="A98">IFERROR(INDEX(Tabela3[[CÓDIGO
 EMPRESA ]:[EMPENHO]],SMALL(IF(Tabela3[CÓDIGO
 EMPRESA ]='MEDIÇÃO '!$A$90,ROW(Tabela3[CÓDIGO
 EMPRESA ])-3),ROW(P5)),3),"")</f>
        <v/>
      </c>
      <c r="B98" s="132">
        <f>SUMIFS('LIQUIDAÇÃO 2025'!$K:$K,'LIQUIDAÇÃO 2025'!$B:$B,'MEDIÇÃO '!$A$90,'LIQUIDAÇÃO 2025'!$C:$C,'MEDIÇÃO '!$B$90,'LIQUIDAÇÃO 2025'!$H:$H,'MEDIÇÃO '!B$92,'LIQUIDAÇÃO 2025'!$F:$F,'MEDIÇÃO '!$A$98)</f>
        <v>0</v>
      </c>
      <c r="C98" s="132">
        <f>SUMIFS('LIQUIDAÇÃO 2025'!$K:$K,'LIQUIDAÇÃO 2025'!$B:$B,'MEDIÇÃO '!$A$90,'LIQUIDAÇÃO 2025'!$C:$C,'MEDIÇÃO '!$B$90,'LIQUIDAÇÃO 2025'!$H:$H,'MEDIÇÃO '!C$92,'LIQUIDAÇÃO 2025'!$F:$F,'MEDIÇÃO '!$A$98)</f>
        <v>0</v>
      </c>
      <c r="D98" s="132">
        <f>SUMIFS('LIQUIDAÇÃO 2025'!$K:$K,'LIQUIDAÇÃO 2025'!$B:$B,'MEDIÇÃO '!$A$90,'LIQUIDAÇÃO 2025'!$C:$C,'MEDIÇÃO '!$B$90,'LIQUIDAÇÃO 2025'!$H:$H,'MEDIÇÃO '!D$92,'LIQUIDAÇÃO 2025'!$F:$F,'MEDIÇÃO '!$A$98)</f>
        <v>0</v>
      </c>
      <c r="E98" s="132">
        <f>SUMIFS('LIQUIDAÇÃO 2025'!$K:$K,'LIQUIDAÇÃO 2025'!$B:$B,'MEDIÇÃO '!$A$90,'LIQUIDAÇÃO 2025'!$C:$C,'MEDIÇÃO '!$B$90,'LIQUIDAÇÃO 2025'!$H:$H,'MEDIÇÃO '!E$92,'LIQUIDAÇÃO 2025'!$F:$F,'MEDIÇÃO '!$A$98)</f>
        <v>0</v>
      </c>
      <c r="F98" s="132">
        <f>SUMIFS('LIQUIDAÇÃO 2025'!$K:$K,'LIQUIDAÇÃO 2025'!$B:$B,'MEDIÇÃO '!$A$90,'LIQUIDAÇÃO 2025'!$C:$C,'MEDIÇÃO '!$B$90,'LIQUIDAÇÃO 2025'!$H:$H,'MEDIÇÃO '!F$92,'LIQUIDAÇÃO 2025'!$F:$F,'MEDIÇÃO '!$A$98)</f>
        <v>0</v>
      </c>
      <c r="G98" s="132">
        <f>SUMIFS('LIQUIDAÇÃO 2025'!$K:$K,'LIQUIDAÇÃO 2025'!$B:$B,'MEDIÇÃO '!$A$90,'LIQUIDAÇÃO 2025'!$C:$C,'MEDIÇÃO '!$B$90,'LIQUIDAÇÃO 2025'!$H:$H,'MEDIÇÃO '!G$92,'LIQUIDAÇÃO 2025'!$F:$F,'MEDIÇÃO '!$A$98)</f>
        <v>0</v>
      </c>
      <c r="H98" s="132">
        <f>SUMIFS('LIQUIDAÇÃO 2025'!$K:$K,'LIQUIDAÇÃO 2025'!$B:$B,'MEDIÇÃO '!$A$90,'LIQUIDAÇÃO 2025'!$C:$C,'MEDIÇÃO '!$B$90,'LIQUIDAÇÃO 2025'!$H:$H,'MEDIÇÃO '!H$92,'LIQUIDAÇÃO 2025'!$F:$F,'MEDIÇÃO '!$A$98)</f>
        <v>0</v>
      </c>
      <c r="I98" s="132">
        <f>SUMIFS('LIQUIDAÇÃO 2025'!$K:$K,'LIQUIDAÇÃO 2025'!$B:$B,'MEDIÇÃO '!$A$90,'LIQUIDAÇÃO 2025'!$C:$C,'MEDIÇÃO '!$B$90,'LIQUIDAÇÃO 2025'!$H:$H,'MEDIÇÃO '!I$92,'LIQUIDAÇÃO 2025'!$F:$F,'MEDIÇÃO '!$A$98)</f>
        <v>0</v>
      </c>
      <c r="J98" s="132">
        <f>SUMIFS('LIQUIDAÇÃO 2025'!$K:$K,'LIQUIDAÇÃO 2025'!$B:$B,'MEDIÇÃO '!$A$90,'LIQUIDAÇÃO 2025'!$C:$C,'MEDIÇÃO '!$B$90,'LIQUIDAÇÃO 2025'!$H:$H,'MEDIÇÃO '!J$92,'LIQUIDAÇÃO 2025'!$F:$F,'MEDIÇÃO '!$A$98)</f>
        <v>0</v>
      </c>
      <c r="K98" s="132">
        <f>SUMIFS('LIQUIDAÇÃO 2025'!$K:$K,'LIQUIDAÇÃO 2025'!$B:$B,'MEDIÇÃO '!$A$90,'LIQUIDAÇÃO 2025'!$C:$C,'MEDIÇÃO '!$B$90,'LIQUIDAÇÃO 2025'!$H:$H,'MEDIÇÃO '!K$92,'LIQUIDAÇÃO 2025'!$F:$F,'MEDIÇÃO '!$A$98)</f>
        <v>0</v>
      </c>
      <c r="L98" s="132">
        <f>SUMIFS('LIQUIDAÇÃO 2025'!$K:$K,'LIQUIDAÇÃO 2025'!$B:$B,'MEDIÇÃO '!$A$90,'LIQUIDAÇÃO 2025'!$C:$C,'MEDIÇÃO '!$B$90,'LIQUIDAÇÃO 2025'!$H:$H,'MEDIÇÃO '!L$92,'LIQUIDAÇÃO 2025'!$F:$F,'MEDIÇÃO '!$A$98)</f>
        <v>0</v>
      </c>
      <c r="M98" s="225">
        <f>SUMIFS('LIQUIDAÇÃO 2025'!$K:$K,'LIQUIDAÇÃO 2025'!$B:$B,'MEDIÇÃO '!$A$90,'LIQUIDAÇÃO 2025'!$C:$C,'MEDIÇÃO '!$B$90,'LIQUIDAÇÃO 2025'!$H:$H,'MEDIÇÃO '!M$92,'LIQUIDAÇÃO 2025'!$F:$F,'MEDIÇÃO '!$A$98)</f>
        <v>0</v>
      </c>
      <c r="N98" s="1075"/>
    </row>
    <row r="99" spans="1:14" ht="16.5" thickBot="1">
      <c r="A99" s="214" t="s">
        <v>38</v>
      </c>
      <c r="B99" s="215"/>
      <c r="C99" s="215"/>
      <c r="D99" s="215"/>
      <c r="E99" s="215"/>
      <c r="F99" s="215"/>
      <c r="G99" s="215"/>
      <c r="H99" s="215"/>
      <c r="I99" s="215"/>
      <c r="J99" s="215"/>
      <c r="K99" s="215"/>
      <c r="L99" s="215"/>
      <c r="M99" s="226"/>
      <c r="N99" s="1076"/>
    </row>
    <row r="100" spans="1:14" ht="15.75">
      <c r="A100" s="212" t="s">
        <v>127</v>
      </c>
      <c r="B100" s="216">
        <f>IF(SUM(B94:B98)&lt;&gt;0,B93-B99-SUM(B94:B98),(B93-SUM(B94:B98)-B99))</f>
        <v>0</v>
      </c>
      <c r="C100" s="216">
        <f t="shared" ref="C100" si="57">IF(SUM(C94:C98)&lt;&gt;0,C93-C99-SUM(C94:C98),(C93-SUM(C94:C98)-C99))</f>
        <v>0</v>
      </c>
      <c r="D100" s="216">
        <f t="shared" ref="D100" si="58">IF(SUM(D94:D98)&lt;&gt;0,D93-D99-SUM(D94:D98),(D93-SUM(D94:D98)-D99))</f>
        <v>0</v>
      </c>
      <c r="E100" s="216">
        <f t="shared" ref="E100" si="59">IF(SUM(E94:E98)&lt;&gt;0,E93-E99-SUM(E94:E98),(E93-SUM(E94:E98)-E99))</f>
        <v>0</v>
      </c>
      <c r="F100" s="216">
        <f t="shared" ref="F100" si="60">IF(SUM(F94:F98)&lt;&gt;0,F93-F99-SUM(F94:F98),(F93-SUM(F94:F98)-F99))</f>
        <v>0</v>
      </c>
      <c r="G100" s="216">
        <f>IF(SUM(G94:G98)&lt;&gt;0,G93-G99-SUM(G94:G98),(G93-SUM(G94:G98)-G99))</f>
        <v>0</v>
      </c>
      <c r="H100" s="216">
        <f t="shared" ref="H100" si="61">IF(SUM(H94:H98)&lt;&gt;0,H93-H99-SUM(H94:H98),(H93-SUM(H94:H98)-H99))</f>
        <v>0</v>
      </c>
      <c r="I100" s="216">
        <f t="shared" ref="I100" si="62">IF(SUM(I94:I98)&lt;&gt;0,I93-I99-SUM(I94:I98),(I93-SUM(I94:I98)-I99))</f>
        <v>0</v>
      </c>
      <c r="J100" s="216">
        <f t="shared" ref="J100" si="63">IF(SUM(J94:J98)&lt;&gt;0,J93-J99-SUM(J94:J98),(J93-SUM(J94:J98)-J99))</f>
        <v>0</v>
      </c>
      <c r="K100" s="216">
        <f t="shared" ref="K100" si="64">IF(SUM(K94:K98)&lt;&gt;0,K93-K99-SUM(K94:K98),(K93-SUM(K94:K98)-K99))</f>
        <v>0</v>
      </c>
      <c r="L100" s="216">
        <f t="shared" ref="L100" si="65">IF(SUM(L94:L98)&lt;&gt;0,L93-L99-SUM(L94:L98),(L93-SUM(L94:L98)-L99))</f>
        <v>0</v>
      </c>
      <c r="M100" s="216">
        <f t="shared" ref="M100" si="66">IF(SUM(M94:M98)&lt;&gt;0,M93-M99-SUM(M94:M98),(M93-SUM(M94:M98)-M99))</f>
        <v>0</v>
      </c>
      <c r="N100" s="213">
        <f>SUM(B93:M93)-SUM(B94:M98)-SUM(B99:M99)</f>
        <v>0</v>
      </c>
    </row>
    <row r="101" spans="1:14" s="57" customFormat="1">
      <c r="J101" s="86"/>
      <c r="K101" s="86"/>
      <c r="L101" s="86"/>
      <c r="M101" s="86"/>
      <c r="N101" s="210"/>
    </row>
    <row r="102" spans="1:14" s="57" customFormat="1" ht="18.75" hidden="1">
      <c r="A102" s="124"/>
      <c r="B102" s="124"/>
      <c r="C102" s="124"/>
      <c r="D102" s="124"/>
      <c r="E102" s="124"/>
      <c r="F102" s="124"/>
      <c r="G102" s="124"/>
      <c r="H102" s="124"/>
      <c r="I102" s="124"/>
      <c r="J102" s="124"/>
      <c r="K102" s="124"/>
      <c r="L102" s="124"/>
      <c r="M102" s="124"/>
      <c r="N102" s="124"/>
    </row>
    <row r="103" spans="1:14" s="57" customFormat="1">
      <c r="A103" s="88"/>
      <c r="B103" s="88"/>
      <c r="C103" s="85"/>
      <c r="D103" s="87"/>
      <c r="E103" s="58"/>
      <c r="F103" s="58"/>
      <c r="G103" s="90"/>
      <c r="H103" s="90"/>
      <c r="I103" s="86"/>
      <c r="J103" s="86"/>
      <c r="K103" s="86"/>
      <c r="L103" s="86"/>
      <c r="M103" s="86"/>
      <c r="N103" s="210"/>
    </row>
    <row r="104" spans="1:14" s="47" customFormat="1" ht="15.75" customHeight="1">
      <c r="A104" s="123">
        <v>42326</v>
      </c>
      <c r="B104" s="118" t="s">
        <v>455</v>
      </c>
      <c r="C104" s="118"/>
      <c r="D104" s="118"/>
      <c r="E104" s="118"/>
      <c r="F104" s="91" t="s">
        <v>116</v>
      </c>
      <c r="G104" s="92" t="s">
        <v>117</v>
      </c>
      <c r="H104" s="1062" t="s">
        <v>113</v>
      </c>
      <c r="I104" s="1062"/>
      <c r="J104" s="1062" t="s">
        <v>114</v>
      </c>
      <c r="K104" s="1062"/>
      <c r="L104" s="1062" t="s">
        <v>118</v>
      </c>
      <c r="M104" s="1062"/>
      <c r="N104" s="92" t="s">
        <v>115</v>
      </c>
    </row>
    <row r="105" spans="1:14" s="47" customFormat="1" ht="18.75" customHeight="1">
      <c r="A105" s="1071" t="s">
        <v>456</v>
      </c>
      <c r="B105" s="1071"/>
      <c r="C105" s="1071"/>
      <c r="D105" s="1071"/>
      <c r="E105" s="1071"/>
      <c r="F105" s="203" t="str">
        <f>VALIDAÇÕES!C15</f>
        <v>7333/2014</v>
      </c>
      <c r="G105" s="204">
        <f>VALIDAÇÕES!D15</f>
        <v>0</v>
      </c>
      <c r="H105" s="1077">
        <f>VALIDAÇÕES!G15</f>
        <v>0</v>
      </c>
      <c r="I105" s="1078"/>
      <c r="J105" s="1077">
        <f>VALIDAÇÕES!H15</f>
        <v>0</v>
      </c>
      <c r="K105" s="1078"/>
      <c r="L105" s="1078">
        <f>VALIDAÇÕES!E15</f>
        <v>0</v>
      </c>
      <c r="M105" s="1078"/>
      <c r="N105" s="205">
        <f>VALIDAÇÕES!F15</f>
        <v>0</v>
      </c>
    </row>
    <row r="106" spans="1:14" s="47" customFormat="1" ht="15.75" customHeight="1">
      <c r="A106" s="1060" t="s">
        <v>7</v>
      </c>
      <c r="B106" s="89" t="s">
        <v>44</v>
      </c>
      <c r="C106" s="89" t="s">
        <v>43</v>
      </c>
      <c r="D106" s="89" t="s">
        <v>45</v>
      </c>
      <c r="E106" s="89" t="s">
        <v>46</v>
      </c>
      <c r="F106" s="89" t="s">
        <v>47</v>
      </c>
      <c r="G106" s="89" t="s">
        <v>48</v>
      </c>
      <c r="H106" s="89" t="s">
        <v>49</v>
      </c>
      <c r="I106" s="89" t="s">
        <v>50</v>
      </c>
      <c r="J106" s="89" t="s">
        <v>51</v>
      </c>
      <c r="K106" s="89" t="s">
        <v>52</v>
      </c>
      <c r="L106" s="89" t="s">
        <v>53</v>
      </c>
      <c r="M106" s="89" t="s">
        <v>54</v>
      </c>
      <c r="N106" s="1066" t="s">
        <v>112</v>
      </c>
    </row>
    <row r="107" spans="1:14" s="47" customFormat="1" ht="15" customHeight="1">
      <c r="A107" s="1060"/>
      <c r="B107" s="100"/>
      <c r="C107" s="100">
        <v>0</v>
      </c>
      <c r="D107" s="100">
        <v>653958.24</v>
      </c>
      <c r="E107" s="100">
        <v>578501.52</v>
      </c>
      <c r="F107" s="100">
        <v>0</v>
      </c>
      <c r="G107" s="100">
        <v>0</v>
      </c>
      <c r="H107" s="100">
        <v>0</v>
      </c>
      <c r="I107" s="100">
        <v>0</v>
      </c>
      <c r="J107" s="100">
        <v>0</v>
      </c>
      <c r="K107" s="100">
        <v>0</v>
      </c>
      <c r="L107" s="100">
        <v>0</v>
      </c>
      <c r="M107" s="100">
        <v>0</v>
      </c>
      <c r="N107" s="1067"/>
    </row>
    <row r="108" spans="1:14" s="47" customFormat="1">
      <c r="A108" s="131" cm="1">
        <f t="array" ref="A108">IFERROR(INDEX(Tabela3[[CÓDIGO
 EMPRESA ]:[EMPENHO]],SMALL(IF(Tabela3[CÓDIGO
 EMPRESA ]='MEDIÇÃO '!$A$104,ROW(Tabela3[CÓDIGO
 EMPRESA ])-3),ROW(P1)),3),"")</f>
        <v>5709</v>
      </c>
      <c r="B108" s="132">
        <f>SUMIFS('LIQUIDAÇÃO 2025'!$K:$K,'LIQUIDAÇÃO 2025'!$B:$B,'MEDIÇÃO '!$A$104,'LIQUIDAÇÃO 2025'!$C:$C,'MEDIÇÃO '!$B$104,'LIQUIDAÇÃO 2025'!H:H,'MEDIÇÃO '!B$106,'LIQUIDAÇÃO 2025'!$F:$F,'MEDIÇÃO '!$A$108)</f>
        <v>0</v>
      </c>
      <c r="C108" s="132">
        <f>SUMIFS('LIQUIDAÇÃO 2025'!$K:$K,'LIQUIDAÇÃO 2025'!$B:$B,'MEDIÇÃO '!$A$104,'LIQUIDAÇÃO 2025'!$C:$C,'MEDIÇÃO '!$B$104,'LIQUIDAÇÃO 2025'!I:I,'MEDIÇÃO '!C$106,'LIQUIDAÇÃO 2025'!$F:$F,'MEDIÇÃO '!$A$108)</f>
        <v>0</v>
      </c>
      <c r="D108" s="132">
        <f>SUMIFS('LIQUIDAÇÃO 2025'!$K:$K,'LIQUIDAÇÃO 2025'!$B:$B,'MEDIÇÃO '!$A$104,'LIQUIDAÇÃO 2025'!$C:$C,'MEDIÇÃO '!$B$104,'LIQUIDAÇÃO 2025'!J:J,'MEDIÇÃO '!D$106,'LIQUIDAÇÃO 2025'!$F:$F,'MEDIÇÃO '!$A$108)</f>
        <v>0</v>
      </c>
      <c r="E108" s="132">
        <f>SUMIFS('LIQUIDAÇÃO 2025'!$K:$K,'LIQUIDAÇÃO 2025'!$B:$B,'MEDIÇÃO '!$A$104,'LIQUIDAÇÃO 2025'!$C:$C,'MEDIÇÃO '!$B$104,'LIQUIDAÇÃO 2025'!K:K,'MEDIÇÃO '!E$106,'LIQUIDAÇÃO 2025'!$F:$F,'MEDIÇÃO '!$A$108)</f>
        <v>0</v>
      </c>
      <c r="F108" s="132">
        <f>SUMIFS('LIQUIDAÇÃO 2025'!$K:$K,'LIQUIDAÇÃO 2025'!$B:$B,'MEDIÇÃO '!$A$104,'LIQUIDAÇÃO 2025'!$C:$C,'MEDIÇÃO '!$B$104,'LIQUIDAÇÃO 2025'!L:L,'MEDIÇÃO '!F$106,'LIQUIDAÇÃO 2025'!$F:$F,'MEDIÇÃO '!$A$108)</f>
        <v>0</v>
      </c>
      <c r="G108" s="132">
        <f>SUMIFS('LIQUIDAÇÃO 2025'!$K:$K,'LIQUIDAÇÃO 2025'!$B:$B,'MEDIÇÃO '!$A$104,'LIQUIDAÇÃO 2025'!$C:$C,'MEDIÇÃO '!$B$104,'LIQUIDAÇÃO 2025'!M:M,'MEDIÇÃO '!G$106,'LIQUIDAÇÃO 2025'!$F:$F,'MEDIÇÃO '!$A$108)</f>
        <v>0</v>
      </c>
      <c r="H108" s="132">
        <f>SUMIFS('LIQUIDAÇÃO 2025'!$K:$K,'LIQUIDAÇÃO 2025'!$B:$B,'MEDIÇÃO '!$A$104,'LIQUIDAÇÃO 2025'!$C:$C,'MEDIÇÃO '!$B$104,'LIQUIDAÇÃO 2025'!N:N,'MEDIÇÃO '!H$106,'LIQUIDAÇÃO 2025'!$F:$F,'MEDIÇÃO '!$A$108)</f>
        <v>0</v>
      </c>
      <c r="I108" s="132">
        <f>SUMIFS('LIQUIDAÇÃO 2025'!$K:$K,'LIQUIDAÇÃO 2025'!$B:$B,'MEDIÇÃO '!$A$104,'LIQUIDAÇÃO 2025'!$C:$C,'MEDIÇÃO '!$B$104,'LIQUIDAÇÃO 2025'!O:O,'MEDIÇÃO '!I$106,'LIQUIDAÇÃO 2025'!$F:$F,'MEDIÇÃO '!$A$108)</f>
        <v>0</v>
      </c>
      <c r="J108" s="132">
        <f>SUMIFS('LIQUIDAÇÃO 2025'!$K:$K,'LIQUIDAÇÃO 2025'!$B:$B,'MEDIÇÃO '!$A$104,'LIQUIDAÇÃO 2025'!$C:$C,'MEDIÇÃO '!$B$104,'LIQUIDAÇÃO 2025'!P:P,'MEDIÇÃO '!J$106,'LIQUIDAÇÃO 2025'!$F:$F,'MEDIÇÃO '!$A$108)</f>
        <v>0</v>
      </c>
      <c r="K108" s="132">
        <f>SUMIFS('LIQUIDAÇÃO 2025'!$K:$K,'LIQUIDAÇÃO 2025'!$B:$B,'MEDIÇÃO '!$A$104,'LIQUIDAÇÃO 2025'!$C:$C,'MEDIÇÃO '!$B$104,'LIQUIDAÇÃO 2025'!Q:Q,'MEDIÇÃO '!K$106,'LIQUIDAÇÃO 2025'!$F:$F,'MEDIÇÃO '!$A$108)</f>
        <v>0</v>
      </c>
      <c r="L108" s="132">
        <f>SUMIFS('LIQUIDAÇÃO 2025'!$K:$K,'LIQUIDAÇÃO 2025'!$B:$B,'MEDIÇÃO '!$A$104,'LIQUIDAÇÃO 2025'!$C:$C,'MEDIÇÃO '!$B$104,'LIQUIDAÇÃO 2025'!R:R,'MEDIÇÃO '!L$106,'LIQUIDAÇÃO 2025'!$F:$F,'MEDIÇÃO '!$A$108)</f>
        <v>0</v>
      </c>
      <c r="M108" s="132">
        <f>SUMIFS('LIQUIDAÇÃO 2025'!$K:$K,'LIQUIDAÇÃO 2025'!$B:$B,'MEDIÇÃO '!$A$104,'LIQUIDAÇÃO 2025'!$C:$C,'MEDIÇÃO '!$B$104,'LIQUIDAÇÃO 2025'!S:S,'MEDIÇÃO '!M$106,'LIQUIDAÇÃO 2025'!$F:$F,'MEDIÇÃO '!$A$108)</f>
        <v>0</v>
      </c>
      <c r="N108" s="1067"/>
    </row>
    <row r="109" spans="1:14" s="47" customFormat="1">
      <c r="A109" s="131" cm="1">
        <f t="array" ref="A109">IFERROR(INDEX(Tabela3[[CÓDIGO
 EMPRESA ]:[EMPENHO]],SMALL(IF(Tabela3[CÓDIGO
 EMPRESA ]='MEDIÇÃO '!$A$104,ROW(Tabela3[CÓDIGO
 EMPRESA ])-3),ROW(P2)),3),"")</f>
        <v>23574</v>
      </c>
      <c r="B109" s="132">
        <f>SUMIFS('LIQUIDAÇÃO 2025'!$K:$K,'LIQUIDAÇÃO 2025'!$B:$B,'MEDIÇÃO '!$A$104,'LIQUIDAÇÃO 2025'!$C:$C,'MEDIÇÃO '!$B$104,'LIQUIDAÇÃO 2025'!H:H,'MEDIÇÃO '!B$106,'LIQUIDAÇÃO 2025'!$F:$F,'MEDIÇÃO '!$A$109)</f>
        <v>0</v>
      </c>
      <c r="C109" s="132">
        <f>SUMIFS('LIQUIDAÇÃO 2025'!$K:$K,'LIQUIDAÇÃO 2025'!$B:$B,'MEDIÇÃO '!$A$104,'LIQUIDAÇÃO 2025'!$C:$C,'MEDIÇÃO '!$B$104,'LIQUIDAÇÃO 2025'!I:I,'MEDIÇÃO '!C$106,'LIQUIDAÇÃO 2025'!$F:$F,'MEDIÇÃO '!$A$109)</f>
        <v>0</v>
      </c>
      <c r="D109" s="132">
        <f>SUMIFS('LIQUIDAÇÃO 2025'!$K:$K,'LIQUIDAÇÃO 2025'!$B:$B,'MEDIÇÃO '!$A$104,'LIQUIDAÇÃO 2025'!$C:$C,'MEDIÇÃO '!$B$104,'LIQUIDAÇÃO 2025'!J:J,'MEDIÇÃO '!D$106,'LIQUIDAÇÃO 2025'!$F:$F,'MEDIÇÃO '!$A$109)</f>
        <v>0</v>
      </c>
      <c r="E109" s="132">
        <f>SUMIFS('LIQUIDAÇÃO 2025'!$K:$K,'LIQUIDAÇÃO 2025'!$B:$B,'MEDIÇÃO '!$A$104,'LIQUIDAÇÃO 2025'!$C:$C,'MEDIÇÃO '!$B$104,'LIQUIDAÇÃO 2025'!K:K,'MEDIÇÃO '!E$106,'LIQUIDAÇÃO 2025'!$F:$F,'MEDIÇÃO '!$A$109)</f>
        <v>0</v>
      </c>
      <c r="F109" s="132">
        <f>SUMIFS('LIQUIDAÇÃO 2025'!$K:$K,'LIQUIDAÇÃO 2025'!$B:$B,'MEDIÇÃO '!$A$104,'LIQUIDAÇÃO 2025'!$C:$C,'MEDIÇÃO '!$B$104,'LIQUIDAÇÃO 2025'!L:L,'MEDIÇÃO '!F$106,'LIQUIDAÇÃO 2025'!$F:$F,'MEDIÇÃO '!$A$109)</f>
        <v>0</v>
      </c>
      <c r="G109" s="132">
        <f>SUMIFS('LIQUIDAÇÃO 2025'!$K:$K,'LIQUIDAÇÃO 2025'!$B:$B,'MEDIÇÃO '!$A$104,'LIQUIDAÇÃO 2025'!$C:$C,'MEDIÇÃO '!$B$104,'LIQUIDAÇÃO 2025'!M:M,'MEDIÇÃO '!G$106,'LIQUIDAÇÃO 2025'!$F:$F,'MEDIÇÃO '!$A$109)</f>
        <v>0</v>
      </c>
      <c r="H109" s="132">
        <f>SUMIFS('LIQUIDAÇÃO 2025'!$K:$K,'LIQUIDAÇÃO 2025'!$B:$B,'MEDIÇÃO '!$A$104,'LIQUIDAÇÃO 2025'!$C:$C,'MEDIÇÃO '!$B$104,'LIQUIDAÇÃO 2025'!N:N,'MEDIÇÃO '!H$106,'LIQUIDAÇÃO 2025'!$F:$F,'MEDIÇÃO '!$A$109)</f>
        <v>0</v>
      </c>
      <c r="I109" s="132">
        <f>SUMIFS('LIQUIDAÇÃO 2025'!$K:$K,'LIQUIDAÇÃO 2025'!$B:$B,'MEDIÇÃO '!$A$104,'LIQUIDAÇÃO 2025'!$C:$C,'MEDIÇÃO '!$B$104,'LIQUIDAÇÃO 2025'!O:O,'MEDIÇÃO '!I$106,'LIQUIDAÇÃO 2025'!$F:$F,'MEDIÇÃO '!$A$109)</f>
        <v>0</v>
      </c>
      <c r="J109" s="132">
        <f>SUMIFS('LIQUIDAÇÃO 2025'!$K:$K,'LIQUIDAÇÃO 2025'!$B:$B,'MEDIÇÃO '!$A$104,'LIQUIDAÇÃO 2025'!$C:$C,'MEDIÇÃO '!$B$104,'LIQUIDAÇÃO 2025'!P:P,'MEDIÇÃO '!J$106,'LIQUIDAÇÃO 2025'!$F:$F,'MEDIÇÃO '!$A$109)</f>
        <v>0</v>
      </c>
      <c r="K109" s="132">
        <f>SUMIFS('LIQUIDAÇÃO 2025'!$K:$K,'LIQUIDAÇÃO 2025'!$B:$B,'MEDIÇÃO '!$A$104,'LIQUIDAÇÃO 2025'!$C:$C,'MEDIÇÃO '!$B$104,'LIQUIDAÇÃO 2025'!Q:Q,'MEDIÇÃO '!K$106,'LIQUIDAÇÃO 2025'!$F:$F,'MEDIÇÃO '!$A$109)</f>
        <v>0</v>
      </c>
      <c r="L109" s="132">
        <f>SUMIFS('LIQUIDAÇÃO 2025'!$K:$K,'LIQUIDAÇÃO 2025'!$B:$B,'MEDIÇÃO '!$A$104,'LIQUIDAÇÃO 2025'!$C:$C,'MEDIÇÃO '!$B$104,'LIQUIDAÇÃO 2025'!R:R,'MEDIÇÃO '!L$106,'LIQUIDAÇÃO 2025'!$F:$F,'MEDIÇÃO '!$A$109)</f>
        <v>0</v>
      </c>
      <c r="M109" s="132">
        <f>SUMIFS('LIQUIDAÇÃO 2025'!$K:$K,'LIQUIDAÇÃO 2025'!$B:$B,'MEDIÇÃO '!$A$104,'LIQUIDAÇÃO 2025'!$C:$C,'MEDIÇÃO '!$B$104,'LIQUIDAÇÃO 2025'!S:S,'MEDIÇÃO '!M$106,'LIQUIDAÇÃO 2025'!$F:$F,'MEDIÇÃO '!$A$109)</f>
        <v>0</v>
      </c>
      <c r="N109" s="1067"/>
    </row>
    <row r="110" spans="1:14" s="47" customFormat="1">
      <c r="A110" s="131" cm="1">
        <f t="array" ref="A110">IFERROR(INDEX(Tabela3[[CÓDIGO
 EMPRESA ]:[EMPENHO]],SMALL(IF(Tabela3[CÓDIGO
 EMPRESA ]='MEDIÇÃO '!$A$104,ROW(Tabela3[CÓDIGO
 EMPRESA ])-3),ROW(P3)),3),"")</f>
        <v>26784</v>
      </c>
      <c r="B110" s="132">
        <f>SUMIFS('LIQUIDAÇÃO 2025'!$K:$K,'LIQUIDAÇÃO 2025'!$B:$B,'MEDIÇÃO '!$A$104,'LIQUIDAÇÃO 2025'!$C:$C,'MEDIÇÃO '!$B$104,'LIQUIDAÇÃO 2025'!H:H,'MEDIÇÃO '!B$106,'LIQUIDAÇÃO 2025'!$F:$F,'MEDIÇÃO '!$A$110)</f>
        <v>0</v>
      </c>
      <c r="C110" s="132">
        <f>SUMIFS('LIQUIDAÇÃO 2025'!$K:$K,'LIQUIDAÇÃO 2025'!$B:$B,'MEDIÇÃO '!$A$104,'LIQUIDAÇÃO 2025'!$C:$C,'MEDIÇÃO '!$B$104,'LIQUIDAÇÃO 2025'!I:I,'MEDIÇÃO '!C$106,'LIQUIDAÇÃO 2025'!$F:$F,'MEDIÇÃO '!$A$110)</f>
        <v>0</v>
      </c>
      <c r="D110" s="132">
        <f>SUMIFS('LIQUIDAÇÃO 2025'!$K:$K,'LIQUIDAÇÃO 2025'!$B:$B,'MEDIÇÃO '!$A$104,'LIQUIDAÇÃO 2025'!$C:$C,'MEDIÇÃO '!$B$104,'LIQUIDAÇÃO 2025'!J:J,'MEDIÇÃO '!D$106,'LIQUIDAÇÃO 2025'!$F:$F,'MEDIÇÃO '!$A$110)</f>
        <v>0</v>
      </c>
      <c r="E110" s="132">
        <f>SUMIFS('LIQUIDAÇÃO 2025'!$K:$K,'LIQUIDAÇÃO 2025'!$B:$B,'MEDIÇÃO '!$A$104,'LIQUIDAÇÃO 2025'!$C:$C,'MEDIÇÃO '!$B$104,'LIQUIDAÇÃO 2025'!K:K,'MEDIÇÃO '!E$106,'LIQUIDAÇÃO 2025'!$F:$F,'MEDIÇÃO '!$A$110)</f>
        <v>0</v>
      </c>
      <c r="F110" s="132">
        <f>SUMIFS('LIQUIDAÇÃO 2025'!$K:$K,'LIQUIDAÇÃO 2025'!$B:$B,'MEDIÇÃO '!$A$104,'LIQUIDAÇÃO 2025'!$C:$C,'MEDIÇÃO '!$B$104,'LIQUIDAÇÃO 2025'!L:L,'MEDIÇÃO '!F$106,'LIQUIDAÇÃO 2025'!$F:$F,'MEDIÇÃO '!$A$110)</f>
        <v>0</v>
      </c>
      <c r="G110" s="132">
        <f>SUMIFS('LIQUIDAÇÃO 2025'!$K:$K,'LIQUIDAÇÃO 2025'!$B:$B,'MEDIÇÃO '!$A$104,'LIQUIDAÇÃO 2025'!$C:$C,'MEDIÇÃO '!$B$104,'LIQUIDAÇÃO 2025'!M:M,'MEDIÇÃO '!G$106,'LIQUIDAÇÃO 2025'!$F:$F,'MEDIÇÃO '!$A$110)</f>
        <v>0</v>
      </c>
      <c r="H110" s="132">
        <f>SUMIFS('LIQUIDAÇÃO 2025'!$K:$K,'LIQUIDAÇÃO 2025'!$B:$B,'MEDIÇÃO '!$A$104,'LIQUIDAÇÃO 2025'!$C:$C,'MEDIÇÃO '!$B$104,'LIQUIDAÇÃO 2025'!N:N,'MEDIÇÃO '!H$106,'LIQUIDAÇÃO 2025'!$F:$F,'MEDIÇÃO '!$A$110)</f>
        <v>0</v>
      </c>
      <c r="I110" s="132">
        <f>SUMIFS('LIQUIDAÇÃO 2025'!$K:$K,'LIQUIDAÇÃO 2025'!$B:$B,'MEDIÇÃO '!$A$104,'LIQUIDAÇÃO 2025'!$C:$C,'MEDIÇÃO '!$B$104,'LIQUIDAÇÃO 2025'!O:O,'MEDIÇÃO '!I$106,'LIQUIDAÇÃO 2025'!$F:$F,'MEDIÇÃO '!$A$110)</f>
        <v>0</v>
      </c>
      <c r="J110" s="132">
        <f>SUMIFS('LIQUIDAÇÃO 2025'!$K:$K,'LIQUIDAÇÃO 2025'!$B:$B,'MEDIÇÃO '!$A$104,'LIQUIDAÇÃO 2025'!$C:$C,'MEDIÇÃO '!$B$104,'LIQUIDAÇÃO 2025'!P:P,'MEDIÇÃO '!J$106,'LIQUIDAÇÃO 2025'!$F:$F,'MEDIÇÃO '!$A$110)</f>
        <v>0</v>
      </c>
      <c r="K110" s="132">
        <f>SUMIFS('LIQUIDAÇÃO 2025'!$K:$K,'LIQUIDAÇÃO 2025'!$B:$B,'MEDIÇÃO '!$A$104,'LIQUIDAÇÃO 2025'!$C:$C,'MEDIÇÃO '!$B$104,'LIQUIDAÇÃO 2025'!Q:Q,'MEDIÇÃO '!K$106,'LIQUIDAÇÃO 2025'!$F:$F,'MEDIÇÃO '!$A$110)</f>
        <v>0</v>
      </c>
      <c r="L110" s="132">
        <f>SUMIFS('LIQUIDAÇÃO 2025'!$K:$K,'LIQUIDAÇÃO 2025'!$B:$B,'MEDIÇÃO '!$A$104,'LIQUIDAÇÃO 2025'!$C:$C,'MEDIÇÃO '!$B$104,'LIQUIDAÇÃO 2025'!R:R,'MEDIÇÃO '!L$106,'LIQUIDAÇÃO 2025'!$F:$F,'MEDIÇÃO '!$A$110)</f>
        <v>0</v>
      </c>
      <c r="M110" s="132">
        <f>SUMIFS('LIQUIDAÇÃO 2025'!$K:$K,'LIQUIDAÇÃO 2025'!$B:$B,'MEDIÇÃO '!$A$104,'LIQUIDAÇÃO 2025'!$C:$C,'MEDIÇÃO '!$B$104,'LIQUIDAÇÃO 2025'!S:S,'MEDIÇÃO '!M$106,'LIQUIDAÇÃO 2025'!$F:$F,'MEDIÇÃO '!$A$110)</f>
        <v>0</v>
      </c>
      <c r="N110" s="1067"/>
    </row>
    <row r="111" spans="1:14" s="47" customFormat="1">
      <c r="A111" s="131" t="str" cm="1">
        <f t="array" ref="A111">IFERROR(INDEX(Tabela3[[CÓDIGO
 EMPRESA ]:[EMPENHO]],SMALL(IF(Tabela3[CÓDIGO
 EMPRESA ]='MEDIÇÃO '!$A$104,ROW(Tabela3[CÓDIGO
 EMPRESA ])-3),ROW(P4)),3),"")</f>
        <v/>
      </c>
      <c r="B111" s="132">
        <f>SUMIFS('LIQUIDAÇÃO 2025'!$K:$K,'LIQUIDAÇÃO 2025'!$B:$B,'MEDIÇÃO '!$A$104,'LIQUIDAÇÃO 2025'!$C:$C,'MEDIÇÃO '!$B$104,'LIQUIDAÇÃO 2025'!H:H,'MEDIÇÃO '!B$106,'LIQUIDAÇÃO 2025'!$F:$F,'MEDIÇÃO '!$A$111)</f>
        <v>0</v>
      </c>
      <c r="C111" s="132">
        <f>SUMIFS('LIQUIDAÇÃO 2025'!$K:$K,'LIQUIDAÇÃO 2025'!$B:$B,'MEDIÇÃO '!$A$104,'LIQUIDAÇÃO 2025'!$C:$C,'MEDIÇÃO '!$B$104,'LIQUIDAÇÃO 2025'!I:I,'MEDIÇÃO '!C$106,'LIQUIDAÇÃO 2025'!$F:$F,'MEDIÇÃO '!$A$111)</f>
        <v>0</v>
      </c>
      <c r="D111" s="132">
        <f>SUMIFS('LIQUIDAÇÃO 2025'!$K:$K,'LIQUIDAÇÃO 2025'!$B:$B,'MEDIÇÃO '!$A$104,'LIQUIDAÇÃO 2025'!$C:$C,'MEDIÇÃO '!$B$104,'LIQUIDAÇÃO 2025'!J:J,'MEDIÇÃO '!D$106,'LIQUIDAÇÃO 2025'!$F:$F,'MEDIÇÃO '!$A$111)</f>
        <v>0</v>
      </c>
      <c r="E111" s="132">
        <f>SUMIFS('LIQUIDAÇÃO 2025'!$K:$K,'LIQUIDAÇÃO 2025'!$B:$B,'MEDIÇÃO '!$A$104,'LIQUIDAÇÃO 2025'!$C:$C,'MEDIÇÃO '!$B$104,'LIQUIDAÇÃO 2025'!K:K,'MEDIÇÃO '!E$106,'LIQUIDAÇÃO 2025'!$F:$F,'MEDIÇÃO '!$A$111)</f>
        <v>0</v>
      </c>
      <c r="F111" s="132">
        <f>SUMIFS('LIQUIDAÇÃO 2025'!$K:$K,'LIQUIDAÇÃO 2025'!$B:$B,'MEDIÇÃO '!$A$104,'LIQUIDAÇÃO 2025'!$C:$C,'MEDIÇÃO '!$B$104,'LIQUIDAÇÃO 2025'!L:L,'MEDIÇÃO '!F$106,'LIQUIDAÇÃO 2025'!$F:$F,'MEDIÇÃO '!$A$111)</f>
        <v>0</v>
      </c>
      <c r="G111" s="132">
        <f>SUMIFS('LIQUIDAÇÃO 2025'!$K:$K,'LIQUIDAÇÃO 2025'!$B:$B,'MEDIÇÃO '!$A$104,'LIQUIDAÇÃO 2025'!$C:$C,'MEDIÇÃO '!$B$104,'LIQUIDAÇÃO 2025'!M:M,'MEDIÇÃO '!G$106,'LIQUIDAÇÃO 2025'!$F:$F,'MEDIÇÃO '!$A$111)</f>
        <v>0</v>
      </c>
      <c r="H111" s="132">
        <f>SUMIFS('LIQUIDAÇÃO 2025'!$K:$K,'LIQUIDAÇÃO 2025'!$B:$B,'MEDIÇÃO '!$A$104,'LIQUIDAÇÃO 2025'!$C:$C,'MEDIÇÃO '!$B$104,'LIQUIDAÇÃO 2025'!N:N,'MEDIÇÃO '!H$106,'LIQUIDAÇÃO 2025'!$F:$F,'MEDIÇÃO '!$A$111)</f>
        <v>0</v>
      </c>
      <c r="I111" s="132">
        <f>SUMIFS('LIQUIDAÇÃO 2025'!$K:$K,'LIQUIDAÇÃO 2025'!$B:$B,'MEDIÇÃO '!$A$104,'LIQUIDAÇÃO 2025'!$C:$C,'MEDIÇÃO '!$B$104,'LIQUIDAÇÃO 2025'!O:O,'MEDIÇÃO '!I$106,'LIQUIDAÇÃO 2025'!$F:$F,'MEDIÇÃO '!$A$111)</f>
        <v>0</v>
      </c>
      <c r="J111" s="132">
        <f>SUMIFS('LIQUIDAÇÃO 2025'!$K:$K,'LIQUIDAÇÃO 2025'!$B:$B,'MEDIÇÃO '!$A$104,'LIQUIDAÇÃO 2025'!$C:$C,'MEDIÇÃO '!$B$104,'LIQUIDAÇÃO 2025'!P:P,'MEDIÇÃO '!J$106,'LIQUIDAÇÃO 2025'!$F:$F,'MEDIÇÃO '!$A$111)</f>
        <v>0</v>
      </c>
      <c r="K111" s="132">
        <f>SUMIFS('LIQUIDAÇÃO 2025'!$K:$K,'LIQUIDAÇÃO 2025'!$B:$B,'MEDIÇÃO '!$A$104,'LIQUIDAÇÃO 2025'!$C:$C,'MEDIÇÃO '!$B$104,'LIQUIDAÇÃO 2025'!Q:Q,'MEDIÇÃO '!K$106,'LIQUIDAÇÃO 2025'!$F:$F,'MEDIÇÃO '!$A$111)</f>
        <v>0</v>
      </c>
      <c r="L111" s="132">
        <f>SUMIFS('LIQUIDAÇÃO 2025'!$K:$K,'LIQUIDAÇÃO 2025'!$B:$B,'MEDIÇÃO '!$A$104,'LIQUIDAÇÃO 2025'!$C:$C,'MEDIÇÃO '!$B$104,'LIQUIDAÇÃO 2025'!R:R,'MEDIÇÃO '!L$106,'LIQUIDAÇÃO 2025'!$F:$F,'MEDIÇÃO '!$A$111)</f>
        <v>0</v>
      </c>
      <c r="M111" s="132">
        <f>SUMIFS('LIQUIDAÇÃO 2025'!$K:$K,'LIQUIDAÇÃO 2025'!$B:$B,'MEDIÇÃO '!$A$104,'LIQUIDAÇÃO 2025'!$C:$C,'MEDIÇÃO '!$B$104,'LIQUIDAÇÃO 2025'!S:S,'MEDIÇÃO '!M$106,'LIQUIDAÇÃO 2025'!$F:$F,'MEDIÇÃO '!$A$111)</f>
        <v>0</v>
      </c>
      <c r="N111" s="1067"/>
    </row>
    <row r="112" spans="1:14" s="47" customFormat="1" ht="15.75" thickBot="1">
      <c r="A112" s="131" t="str" cm="1">
        <f t="array" ref="A112">IFERROR(INDEX(Tabela3[[CÓDIGO
 EMPRESA ]:[EMPENHO]],SMALL(IF(Tabela3[CÓDIGO
 EMPRESA ]='MEDIÇÃO '!$A$104,ROW(Tabela3[CÓDIGO
 EMPRESA ])-3),ROW(P5)),3),"")</f>
        <v/>
      </c>
      <c r="B112" s="132">
        <f>SUMIFS('LIQUIDAÇÃO 2025'!$K:$K,'LIQUIDAÇÃO 2025'!$B:$B,'MEDIÇÃO '!$A$104,'LIQUIDAÇÃO 2025'!$C:$C,'MEDIÇÃO '!$B$104,'LIQUIDAÇÃO 2025'!H:H,'MEDIÇÃO '!B$106,'LIQUIDAÇÃO 2025'!$F:$F,'MEDIÇÃO '!$A$112)</f>
        <v>0</v>
      </c>
      <c r="C112" s="132">
        <f>SUMIFS('LIQUIDAÇÃO 2025'!$K:$K,'LIQUIDAÇÃO 2025'!$B:$B,'MEDIÇÃO '!$A$104,'LIQUIDAÇÃO 2025'!$C:$C,'MEDIÇÃO '!$B$104,'LIQUIDAÇÃO 2025'!I:I,'MEDIÇÃO '!C$106,'LIQUIDAÇÃO 2025'!$F:$F,'MEDIÇÃO '!$A$112)</f>
        <v>0</v>
      </c>
      <c r="D112" s="132">
        <f>SUMIFS('LIQUIDAÇÃO 2025'!$K:$K,'LIQUIDAÇÃO 2025'!$B:$B,'MEDIÇÃO '!$A$104,'LIQUIDAÇÃO 2025'!$C:$C,'MEDIÇÃO '!$B$104,'LIQUIDAÇÃO 2025'!J:J,'MEDIÇÃO '!D$106,'LIQUIDAÇÃO 2025'!$F:$F,'MEDIÇÃO '!$A$112)</f>
        <v>0</v>
      </c>
      <c r="E112" s="132">
        <f>SUMIFS('LIQUIDAÇÃO 2025'!$K:$K,'LIQUIDAÇÃO 2025'!$B:$B,'MEDIÇÃO '!$A$104,'LIQUIDAÇÃO 2025'!$C:$C,'MEDIÇÃO '!$B$104,'LIQUIDAÇÃO 2025'!K:K,'MEDIÇÃO '!E$106,'LIQUIDAÇÃO 2025'!$F:$F,'MEDIÇÃO '!$A$112)</f>
        <v>0</v>
      </c>
      <c r="F112" s="132">
        <f>SUMIFS('LIQUIDAÇÃO 2025'!$K:$K,'LIQUIDAÇÃO 2025'!$B:$B,'MEDIÇÃO '!$A$104,'LIQUIDAÇÃO 2025'!$C:$C,'MEDIÇÃO '!$B$104,'LIQUIDAÇÃO 2025'!L:L,'MEDIÇÃO '!F$106,'LIQUIDAÇÃO 2025'!$F:$F,'MEDIÇÃO '!$A$112)</f>
        <v>0</v>
      </c>
      <c r="G112" s="132">
        <f>SUMIFS('LIQUIDAÇÃO 2025'!$K:$K,'LIQUIDAÇÃO 2025'!$B:$B,'MEDIÇÃO '!$A$104,'LIQUIDAÇÃO 2025'!$C:$C,'MEDIÇÃO '!$B$104,'LIQUIDAÇÃO 2025'!M:M,'MEDIÇÃO '!G$106,'LIQUIDAÇÃO 2025'!$F:$F,'MEDIÇÃO '!$A$112)</f>
        <v>0</v>
      </c>
      <c r="H112" s="132">
        <f>SUMIFS('LIQUIDAÇÃO 2025'!$K:$K,'LIQUIDAÇÃO 2025'!$B:$B,'MEDIÇÃO '!$A$104,'LIQUIDAÇÃO 2025'!$C:$C,'MEDIÇÃO '!$B$104,'LIQUIDAÇÃO 2025'!N:N,'MEDIÇÃO '!H$106,'LIQUIDAÇÃO 2025'!$F:$F,'MEDIÇÃO '!$A$112)</f>
        <v>0</v>
      </c>
      <c r="I112" s="132">
        <f>SUMIFS('LIQUIDAÇÃO 2025'!$K:$K,'LIQUIDAÇÃO 2025'!$B:$B,'MEDIÇÃO '!$A$104,'LIQUIDAÇÃO 2025'!$C:$C,'MEDIÇÃO '!$B$104,'LIQUIDAÇÃO 2025'!O:O,'MEDIÇÃO '!I$106,'LIQUIDAÇÃO 2025'!$F:$F,'MEDIÇÃO '!$A$112)</f>
        <v>0</v>
      </c>
      <c r="J112" s="132">
        <f>SUMIFS('LIQUIDAÇÃO 2025'!$K:$K,'LIQUIDAÇÃO 2025'!$B:$B,'MEDIÇÃO '!$A$104,'LIQUIDAÇÃO 2025'!$C:$C,'MEDIÇÃO '!$B$104,'LIQUIDAÇÃO 2025'!P:P,'MEDIÇÃO '!J$106,'LIQUIDAÇÃO 2025'!$F:$F,'MEDIÇÃO '!$A$112)</f>
        <v>0</v>
      </c>
      <c r="K112" s="132">
        <f>SUMIFS('LIQUIDAÇÃO 2025'!$K:$K,'LIQUIDAÇÃO 2025'!$B:$B,'MEDIÇÃO '!$A$104,'LIQUIDAÇÃO 2025'!$C:$C,'MEDIÇÃO '!$B$104,'LIQUIDAÇÃO 2025'!Q:Q,'MEDIÇÃO '!K$106,'LIQUIDAÇÃO 2025'!$F:$F,'MEDIÇÃO '!$A$112)</f>
        <v>0</v>
      </c>
      <c r="L112" s="132">
        <f>SUMIFS('LIQUIDAÇÃO 2025'!$K:$K,'LIQUIDAÇÃO 2025'!$B:$B,'MEDIÇÃO '!$A$104,'LIQUIDAÇÃO 2025'!$C:$C,'MEDIÇÃO '!$B$104,'LIQUIDAÇÃO 2025'!R:R,'MEDIÇÃO '!L$106,'LIQUIDAÇÃO 2025'!$F:$F,'MEDIÇÃO '!$A$112)</f>
        <v>0</v>
      </c>
      <c r="M112" s="132">
        <f>SUMIFS('LIQUIDAÇÃO 2025'!$K:$K,'LIQUIDAÇÃO 2025'!$B:$B,'MEDIÇÃO '!$A$104,'LIQUIDAÇÃO 2025'!$C:$C,'MEDIÇÃO '!$B$104,'LIQUIDAÇÃO 2025'!S:S,'MEDIÇÃO '!M$106,'LIQUIDAÇÃO 2025'!$F:$F,'MEDIÇÃO '!$A$112)</f>
        <v>0</v>
      </c>
      <c r="N112" s="1067"/>
    </row>
    <row r="113" spans="1:18" s="47" customFormat="1" ht="16.5" thickBot="1">
      <c r="A113" s="214" t="s">
        <v>38</v>
      </c>
      <c r="B113" s="215">
        <v>0</v>
      </c>
      <c r="C113" s="215">
        <v>0</v>
      </c>
      <c r="D113" s="215">
        <v>0</v>
      </c>
      <c r="E113" s="215">
        <v>0</v>
      </c>
      <c r="F113" s="215">
        <v>0</v>
      </c>
      <c r="G113" s="215">
        <v>0</v>
      </c>
      <c r="H113" s="215">
        <v>0</v>
      </c>
      <c r="I113" s="215">
        <v>0</v>
      </c>
      <c r="J113" s="215">
        <v>0</v>
      </c>
      <c r="K113" s="215">
        <v>0</v>
      </c>
      <c r="L113" s="215">
        <v>0</v>
      </c>
      <c r="M113" s="215">
        <v>0</v>
      </c>
      <c r="N113" s="1068"/>
    </row>
    <row r="114" spans="1:18" s="47" customFormat="1" ht="15.75">
      <c r="A114" s="212" t="s">
        <v>127</v>
      </c>
      <c r="B114" s="216">
        <f>IF(SUM(B108:B112)&lt;&gt;0,B107-B113-SUM(B108:B112),(B107-SUM(B108:B112)-B113))</f>
        <v>0</v>
      </c>
      <c r="C114" s="216">
        <f t="shared" ref="C114" si="67">IF(SUM(C108:C112)&lt;&gt;0,C107-C113-SUM(C108:C112),(C107-SUM(C108:C112)-C113))</f>
        <v>0</v>
      </c>
      <c r="D114" s="216">
        <f t="shared" ref="D114" si="68">IF(SUM(D108:D112)&lt;&gt;0,D107-D113-SUM(D108:D112),(D107-SUM(D108:D112)-D113))</f>
        <v>653958.24</v>
      </c>
      <c r="E114" s="216">
        <f t="shared" ref="E114" si="69">IF(SUM(E108:E112)&lt;&gt;0,E107-E113-SUM(E108:E112),(E107-SUM(E108:E112)-E113))</f>
        <v>578501.52</v>
      </c>
      <c r="F114" s="216">
        <f t="shared" ref="F114" si="70">IF(SUM(F108:F112)&lt;&gt;0,F107-F113-SUM(F108:F112),(F107-SUM(F108:F112)-F113))</f>
        <v>0</v>
      </c>
      <c r="G114" s="216">
        <f>IF(SUM(G108:G112)&lt;&gt;0,G107-G113-SUM(G108:G112),(G107-SUM(G108:G112)-G113))</f>
        <v>0</v>
      </c>
      <c r="H114" s="216">
        <f t="shared" ref="H114" si="71">IF(SUM(H108:H112)&lt;&gt;0,H107-H113-SUM(H108:H112),(H107-SUM(H108:H112)-H113))</f>
        <v>0</v>
      </c>
      <c r="I114" s="216">
        <f t="shared" ref="I114" si="72">IF(SUM(I108:I112)&lt;&gt;0,I107-I113-SUM(I108:I112),(I107-SUM(I108:I112)-I113))</f>
        <v>0</v>
      </c>
      <c r="J114" s="216">
        <f t="shared" ref="J114" si="73">IF(SUM(J108:J112)&lt;&gt;0,J107-J113-SUM(J108:J112),(J107-SUM(J108:J112)-J113))</f>
        <v>0</v>
      </c>
      <c r="K114" s="216">
        <f t="shared" ref="K114" si="74">IF(SUM(K108:K112)&lt;&gt;0,K107-K113-SUM(K108:K112),(K107-SUM(K108:K112)-K113))</f>
        <v>0</v>
      </c>
      <c r="L114" s="216">
        <f t="shared" ref="L114" si="75">IF(SUM(L108:L112)&lt;&gt;0,L107-L113-SUM(L108:L112),(L107-SUM(L108:L112)-L113))</f>
        <v>0</v>
      </c>
      <c r="M114" s="216">
        <f t="shared" ref="M114" si="76">IF(SUM(M108:M112)&lt;&gt;0,M107-M113-SUM(M108:M112),(M107-SUM(M108:M112)-M113))</f>
        <v>0</v>
      </c>
      <c r="N114" s="213">
        <f>SUM(B107:M107)-SUM(B108:M112)-SUM(B113:M113)</f>
        <v>1232459.76</v>
      </c>
    </row>
    <row r="115" spans="1:18" s="57" customFormat="1">
      <c r="A115" s="88"/>
      <c r="B115" s="88"/>
      <c r="C115" s="85"/>
      <c r="D115" s="87"/>
      <c r="E115" s="58"/>
      <c r="F115" s="58"/>
      <c r="G115" s="90"/>
      <c r="H115" s="90"/>
      <c r="I115" s="86"/>
      <c r="J115" s="86"/>
      <c r="K115" s="86"/>
      <c r="L115" s="86"/>
      <c r="M115" s="86"/>
      <c r="N115" s="210"/>
    </row>
    <row r="116" spans="1:18" s="57" customFormat="1" ht="15.75" customHeight="1">
      <c r="A116" s="159">
        <v>46901</v>
      </c>
      <c r="B116" s="118" t="s">
        <v>60</v>
      </c>
      <c r="C116" s="118"/>
      <c r="D116" s="118"/>
      <c r="E116" s="118"/>
      <c r="F116" s="91" t="s">
        <v>116</v>
      </c>
      <c r="G116" s="92" t="s">
        <v>117</v>
      </c>
      <c r="H116" s="1062" t="s">
        <v>113</v>
      </c>
      <c r="I116" s="1062"/>
      <c r="J116" s="1062" t="s">
        <v>119</v>
      </c>
      <c r="K116" s="1062"/>
      <c r="L116" s="1062" t="s">
        <v>118</v>
      </c>
      <c r="M116" s="1062"/>
      <c r="N116" s="92" t="s">
        <v>115</v>
      </c>
    </row>
    <row r="117" spans="1:18" s="57" customFormat="1" ht="18.75" customHeight="1">
      <c r="A117" s="124"/>
      <c r="B117" s="124"/>
      <c r="C117" s="124"/>
      <c r="D117" s="124"/>
      <c r="E117" s="124"/>
      <c r="F117" s="97" t="str">
        <f>VALIDAÇÕES!C14</f>
        <v>11298/2018</v>
      </c>
      <c r="G117" s="97" t="str">
        <f>VALIDAÇÕES!D14</f>
        <v>5801/2019</v>
      </c>
      <c r="H117" s="1061">
        <f>VALIDAÇÕES!G14</f>
        <v>292320</v>
      </c>
      <c r="I117" s="1061"/>
      <c r="J117" s="1061">
        <f>VALIDAÇÕES!H14</f>
        <v>292320</v>
      </c>
      <c r="K117" s="1061"/>
      <c r="L117" s="1063">
        <f>VALIDAÇÕES!E14</f>
        <v>45217</v>
      </c>
      <c r="M117" s="1063"/>
      <c r="N117" s="202">
        <f>VALIDAÇÕES!F14</f>
        <v>45583</v>
      </c>
    </row>
    <row r="118" spans="1:18" s="57" customFormat="1" ht="15.75" customHeight="1">
      <c r="A118" s="1060" t="s">
        <v>7</v>
      </c>
      <c r="B118" s="89" t="s">
        <v>44</v>
      </c>
      <c r="C118" s="89" t="s">
        <v>43</v>
      </c>
      <c r="D118" s="89" t="s">
        <v>45</v>
      </c>
      <c r="E118" s="89" t="s">
        <v>46</v>
      </c>
      <c r="F118" s="89" t="s">
        <v>47</v>
      </c>
      <c r="G118" s="89" t="s">
        <v>48</v>
      </c>
      <c r="H118" s="89" t="s">
        <v>49</v>
      </c>
      <c r="I118" s="89" t="s">
        <v>50</v>
      </c>
      <c r="J118" s="89" t="s">
        <v>51</v>
      </c>
      <c r="K118" s="89" t="s">
        <v>52</v>
      </c>
      <c r="L118" s="89" t="s">
        <v>53</v>
      </c>
      <c r="M118" s="89" t="s">
        <v>54</v>
      </c>
      <c r="N118" s="1066" t="s">
        <v>112</v>
      </c>
    </row>
    <row r="119" spans="1:18" s="57" customFormat="1" ht="15" customHeight="1">
      <c r="A119" s="1060"/>
      <c r="B119" s="98"/>
      <c r="C119" s="98"/>
      <c r="D119" s="98">
        <v>25594.799999999999</v>
      </c>
      <c r="E119" s="98">
        <v>25594.799999999999</v>
      </c>
      <c r="F119" s="98">
        <v>194520.48</v>
      </c>
      <c r="G119" s="98"/>
      <c r="H119" s="98"/>
      <c r="I119" s="98"/>
      <c r="J119" s="98"/>
      <c r="K119" s="98"/>
      <c r="L119" s="100"/>
      <c r="M119" s="100"/>
      <c r="N119" s="1067"/>
      <c r="R119" s="368"/>
    </row>
    <row r="120" spans="1:18" s="57" customFormat="1" ht="15" customHeight="1">
      <c r="A120" s="131" cm="1">
        <f t="array" ref="A120">IFERROR(INDEX(Tabela3[[CÓDIGO
 EMPRESA ]:[EMPENHO]],SMALL(IF(Tabela3[CÓDIGO
 EMPRESA ]='MEDIÇÃO '!$A$116,ROW(Tabela3[CÓDIGO
 EMPRESA ])-3),ROW(P1)),3),"")</f>
        <v>4802</v>
      </c>
      <c r="B120" s="132">
        <f>SUMIFS('LIQUIDAÇÃO 2025'!$K:$K,'LIQUIDAÇÃO 2025'!$B:$B,'MEDIÇÃO '!$A$116,'LIQUIDAÇÃO 2025'!$C:$C,'MEDIÇÃO '!$B$116,'LIQUIDAÇÃO 2025'!$H:$H,'MEDIÇÃO '!B$118,'LIQUIDAÇÃO 2025'!$F:$F,'MEDIÇÃO '!$A$120)</f>
        <v>0</v>
      </c>
      <c r="C120" s="132">
        <f>SUMIFS('LIQUIDAÇÃO 2025'!$K:$K,'LIQUIDAÇÃO 2025'!$B:$B,'MEDIÇÃO '!$A$116,'LIQUIDAÇÃO 2025'!$C:$C,'MEDIÇÃO '!$B$116,'LIQUIDAÇÃO 2025'!$H:$H,'MEDIÇÃO '!C$118,'LIQUIDAÇÃO 2025'!$F:$F,'MEDIÇÃO '!$A$120)</f>
        <v>0</v>
      </c>
      <c r="D120" s="132">
        <f>SUMIFS('LIQUIDAÇÃO 2025'!$K:$K,'LIQUIDAÇÃO 2025'!$B:$B,'MEDIÇÃO '!$A$116,'LIQUIDAÇÃO 2025'!$C:$C,'MEDIÇÃO '!$B$116,'LIQUIDAÇÃO 2025'!$H:$H,'MEDIÇÃO '!D$118,'LIQUIDAÇÃO 2025'!$F:$F,'MEDIÇÃO '!$A$120)</f>
        <v>25594.799999999999</v>
      </c>
      <c r="E120" s="132">
        <f>SUMIFS('LIQUIDAÇÃO 2025'!$K:$K,'LIQUIDAÇÃO 2025'!$B:$B,'MEDIÇÃO '!$A$116,'LIQUIDAÇÃO 2025'!$C:$C,'MEDIÇÃO '!$B$116,'LIQUIDAÇÃO 2025'!$H:$H,'MEDIÇÃO '!E$118,'LIQUIDAÇÃO 2025'!$F:$F,'MEDIÇÃO '!$A$120)</f>
        <v>25594.799999999999</v>
      </c>
      <c r="F120" s="132">
        <f>SUMIFS('LIQUIDAÇÃO 2025'!$K:$K,'LIQUIDAÇÃO 2025'!$B:$B,'MEDIÇÃO '!$A$116,'LIQUIDAÇÃO 2025'!$C:$C,'MEDIÇÃO '!$B$116,'LIQUIDAÇÃO 2025'!$H:$H,'MEDIÇÃO '!F$118,'LIQUIDAÇÃO 2025'!$F:$F,'MEDIÇÃO '!$A$120)</f>
        <v>25594.799999999999</v>
      </c>
      <c r="G120" s="132">
        <f>SUMIFS('LIQUIDAÇÃO 2025'!$K:$K,'LIQUIDAÇÃO 2025'!$B:$B,'MEDIÇÃO '!$A$116,'LIQUIDAÇÃO 2025'!$C:$C,'MEDIÇÃO '!$B$116,'LIQUIDAÇÃO 2025'!$H:$H,'MEDIÇÃO '!G$118,'LIQUIDAÇÃO 2025'!$F:$F,'MEDIÇÃO '!$A$120)</f>
        <v>0</v>
      </c>
      <c r="H120" s="132">
        <f>SUMIFS('LIQUIDAÇÃO 2025'!$K:$K,'LIQUIDAÇÃO 2025'!$B:$B,'MEDIÇÃO '!$A$116,'LIQUIDAÇÃO 2025'!$C:$C,'MEDIÇÃO '!$B$116,'LIQUIDAÇÃO 2025'!$H:$H,'MEDIÇÃO '!H$118,'LIQUIDAÇÃO 2025'!$F:$F,'MEDIÇÃO '!$A$120)</f>
        <v>0</v>
      </c>
      <c r="I120" s="132">
        <f>SUMIFS('LIQUIDAÇÃO 2025'!$K:$K,'LIQUIDAÇÃO 2025'!$B:$B,'MEDIÇÃO '!$A$116,'LIQUIDAÇÃO 2025'!$C:$C,'MEDIÇÃO '!$B$116,'LIQUIDAÇÃO 2025'!$H:$H,'MEDIÇÃO '!I$118,'LIQUIDAÇÃO 2025'!$F:$F,'MEDIÇÃO '!$A$120)</f>
        <v>0</v>
      </c>
      <c r="J120" s="132">
        <f>SUMIFS('LIQUIDAÇÃO 2025'!$K:$K,'LIQUIDAÇÃO 2025'!$B:$B,'MEDIÇÃO '!$A$116,'LIQUIDAÇÃO 2025'!$C:$C,'MEDIÇÃO '!$B$116,'LIQUIDAÇÃO 2025'!$H:$H,'MEDIÇÃO '!J$118,'LIQUIDAÇÃO 2025'!$F:$F,'MEDIÇÃO '!$A$120)</f>
        <v>0</v>
      </c>
      <c r="K120" s="132">
        <f>SUMIFS('LIQUIDAÇÃO 2025'!$K:$K,'LIQUIDAÇÃO 2025'!$B:$B,'MEDIÇÃO '!$A$116,'LIQUIDAÇÃO 2025'!$C:$C,'MEDIÇÃO '!$B$116,'LIQUIDAÇÃO 2025'!$H:$H,'MEDIÇÃO '!K$118,'LIQUIDAÇÃO 2025'!$F:$F,'MEDIÇÃO '!$A$120)</f>
        <v>0</v>
      </c>
      <c r="L120" s="132">
        <f>SUMIFS('LIQUIDAÇÃO 2025'!$K:$K,'LIQUIDAÇÃO 2025'!$B:$B,'MEDIÇÃO '!$A$116,'LIQUIDAÇÃO 2025'!$C:$C,'MEDIÇÃO '!$B$116,'LIQUIDAÇÃO 2025'!$H:$H,'MEDIÇÃO '!L$118,'LIQUIDAÇÃO 2025'!$F:$F,'MEDIÇÃO '!$A$120)</f>
        <v>0</v>
      </c>
      <c r="M120" s="132">
        <f>SUMIFS('LIQUIDAÇÃO 2025'!$K:$K,'LIQUIDAÇÃO 2025'!$B:$B,'MEDIÇÃO '!$A$116,'LIQUIDAÇÃO 2025'!$C:$C,'MEDIÇÃO '!$B$116,'LIQUIDAÇÃO 2025'!$H:$H,'MEDIÇÃO '!M$118,'LIQUIDAÇÃO 2025'!$F:$F,'MEDIÇÃO '!$A$120)</f>
        <v>0</v>
      </c>
      <c r="N120" s="1067"/>
    </row>
    <row r="121" spans="1:18" s="57" customFormat="1" ht="15" customHeight="1">
      <c r="A121" s="131" cm="1">
        <f t="array" ref="A121">IFERROR(INDEX(Tabela3[[CÓDIGO
 EMPRESA ]:[EMPENHO]],SMALL(IF(Tabela3[CÓDIGO
 EMPRESA ]='MEDIÇÃO '!$A$116,ROW(Tabela3[CÓDIGO
 EMPRESA ])-3),ROW(P2)),3),"")</f>
        <v>10388</v>
      </c>
      <c r="B121" s="132">
        <f>SUMIFS('LIQUIDAÇÃO 2025'!$K:$K,'LIQUIDAÇÃO 2025'!$B:$B,'MEDIÇÃO '!$A$116,'LIQUIDAÇÃO 2025'!$C:$C,'MEDIÇÃO '!$B$116,'LIQUIDAÇÃO 2025'!$H:$H,'MEDIÇÃO '!B$118,'LIQUIDAÇÃO 2025'!$F:$F,'MEDIÇÃO '!$A$121)</f>
        <v>0</v>
      </c>
      <c r="C121" s="132">
        <f>SUMIFS('LIQUIDAÇÃO 2025'!$K:$K,'LIQUIDAÇÃO 2025'!$B:$B,'MEDIÇÃO '!$A$116,'LIQUIDAÇÃO 2025'!$C:$C,'MEDIÇÃO '!$B$116,'LIQUIDAÇÃO 2025'!$H:$H,'MEDIÇÃO '!C$118,'LIQUIDAÇÃO 2025'!$F:$F,'MEDIÇÃO '!$A$121)</f>
        <v>0</v>
      </c>
      <c r="D121" s="132">
        <f>SUMIFS('LIQUIDAÇÃO 2025'!$K:$K,'LIQUIDAÇÃO 2025'!$B:$B,'MEDIÇÃO '!$A$116,'LIQUIDAÇÃO 2025'!$C:$C,'MEDIÇÃO '!$B$116,'LIQUIDAÇÃO 2025'!$H:$H,'MEDIÇÃO '!D$118,'LIQUIDAÇÃO 2025'!$F:$F,'MEDIÇÃO '!$A$121)</f>
        <v>0</v>
      </c>
      <c r="E121" s="132">
        <f>SUMIFS('LIQUIDAÇÃO 2025'!$K:$K,'LIQUIDAÇÃO 2025'!$B:$B,'MEDIÇÃO '!$A$116,'LIQUIDAÇÃO 2025'!$C:$C,'MEDIÇÃO '!$B$116,'LIQUIDAÇÃO 2025'!$H:$H,'MEDIÇÃO '!E$118,'LIQUIDAÇÃO 2025'!$F:$F,'MEDIÇÃO '!$A$121)</f>
        <v>0</v>
      </c>
      <c r="F121" s="132">
        <f>SUMIFS('LIQUIDAÇÃO 2025'!$K:$K,'LIQUIDAÇÃO 2025'!$B:$B,'MEDIÇÃO '!$A$116,'LIQUIDAÇÃO 2025'!$C:$C,'MEDIÇÃO '!$B$116,'LIQUIDAÇÃO 2025'!$H:$H,'MEDIÇÃO '!F$118,'LIQUIDAÇÃO 2025'!$F:$F,'MEDIÇÃO '!$A$121)</f>
        <v>25594.799999999999</v>
      </c>
      <c r="G121" s="132">
        <f>SUMIFS('LIQUIDAÇÃO 2025'!$K:$K,'LIQUIDAÇÃO 2025'!$B:$B,'MEDIÇÃO '!$A$116,'LIQUIDAÇÃO 2025'!$C:$C,'MEDIÇÃO '!$B$116,'LIQUIDAÇÃO 2025'!$H:$H,'MEDIÇÃO '!G$118,'LIQUIDAÇÃO 2025'!$F:$F,'MEDIÇÃO '!$A$121)</f>
        <v>0</v>
      </c>
      <c r="H121" s="132">
        <f>SUMIFS('LIQUIDAÇÃO 2025'!$K:$K,'LIQUIDAÇÃO 2025'!$B:$B,'MEDIÇÃO '!$A$116,'LIQUIDAÇÃO 2025'!$C:$C,'MEDIÇÃO '!$B$116,'LIQUIDAÇÃO 2025'!$H:$H,'MEDIÇÃO '!H$118,'LIQUIDAÇÃO 2025'!$F:$F,'MEDIÇÃO '!$A$121)</f>
        <v>25594.799999999999</v>
      </c>
      <c r="I121" s="132">
        <f>SUMIFS('LIQUIDAÇÃO 2025'!$K:$K,'LIQUIDAÇÃO 2025'!$B:$B,'MEDIÇÃO '!$A$116,'LIQUIDAÇÃO 2025'!$C:$C,'MEDIÇÃO '!$B$116,'LIQUIDAÇÃO 2025'!$H:$H,'MEDIÇÃO '!I$118,'LIQUIDAÇÃO 2025'!$F:$F,'MEDIÇÃO '!$A$121)</f>
        <v>0</v>
      </c>
      <c r="J121" s="132">
        <f>SUMIFS('LIQUIDAÇÃO 2025'!$K:$K,'LIQUIDAÇÃO 2025'!$B:$B,'MEDIÇÃO '!$A$116,'LIQUIDAÇÃO 2025'!$C:$C,'MEDIÇÃO '!$B$116,'LIQUIDAÇÃO 2025'!$H:$H,'MEDIÇÃO '!J$118,'LIQUIDAÇÃO 2025'!$F:$F,'MEDIÇÃO '!$A$121)</f>
        <v>51189.599999999999</v>
      </c>
      <c r="K121" s="132">
        <f>SUMIFS('LIQUIDAÇÃO 2025'!$K:$K,'LIQUIDAÇÃO 2025'!$B:$B,'MEDIÇÃO '!$A$116,'LIQUIDAÇÃO 2025'!$C:$C,'MEDIÇÃO '!$B$116,'LIQUIDAÇÃO 2025'!$H:$H,'MEDIÇÃO '!K$118,'LIQUIDAÇÃO 2025'!$F:$F,'MEDIÇÃO '!$A$121)</f>
        <v>0</v>
      </c>
      <c r="L121" s="132">
        <f>SUMIFS('LIQUIDAÇÃO 2025'!$K:$K,'LIQUIDAÇÃO 2025'!$B:$B,'MEDIÇÃO '!$A$116,'LIQUIDAÇÃO 2025'!$C:$C,'MEDIÇÃO '!$B$116,'LIQUIDAÇÃO 2025'!$H:$H,'MEDIÇÃO '!L$118,'LIQUIDAÇÃO 2025'!$F:$F,'MEDIÇÃO '!$A$121)</f>
        <v>0</v>
      </c>
      <c r="M121" s="132">
        <f>SUMIFS('LIQUIDAÇÃO 2025'!$K:$K,'LIQUIDAÇÃO 2025'!$B:$B,'MEDIÇÃO '!$A$116,'LIQUIDAÇÃO 2025'!$C:$C,'MEDIÇÃO '!$B$116,'LIQUIDAÇÃO 2025'!$H:$H,'MEDIÇÃO '!M$118,'LIQUIDAÇÃO 2025'!$F:$F,'MEDIÇÃO '!$A$121)</f>
        <v>0</v>
      </c>
      <c r="N121" s="1067"/>
    </row>
    <row r="122" spans="1:18" s="57" customFormat="1" ht="15" customHeight="1">
      <c r="A122" s="131" cm="1">
        <f t="array" ref="A122">IFERROR(INDEX(Tabela3[[CÓDIGO
 EMPRESA ]:[EMPENHO]],SMALL(IF(Tabela3[CÓDIGO
 EMPRESA ]='MEDIÇÃO '!$A$116,ROW(Tabela3[CÓDIGO
 EMPRESA ])-3),ROW(P3)),3),"")</f>
        <v>21722</v>
      </c>
      <c r="B122" s="132">
        <f>SUMIFS('LIQUIDAÇÃO 2025'!$K:$K,'LIQUIDAÇÃO 2025'!$B:$B,'MEDIÇÃO '!$A$116,'LIQUIDAÇÃO 2025'!$C:$C,'MEDIÇÃO '!$B$116,'LIQUIDAÇÃO 2025'!$H:$H,'MEDIÇÃO '!B$118,'LIQUIDAÇÃO 2025'!$F:$F,'MEDIÇÃO '!$A$122)</f>
        <v>0</v>
      </c>
      <c r="C122" s="132">
        <f>SUMIFS('LIQUIDAÇÃO 2025'!$K:$K,'LIQUIDAÇÃO 2025'!$B:$B,'MEDIÇÃO '!$A$116,'LIQUIDAÇÃO 2025'!$C:$C,'MEDIÇÃO '!$B$116,'LIQUIDAÇÃO 2025'!$H:$H,'MEDIÇÃO '!C$118,'LIQUIDAÇÃO 2025'!$F:$F,'MEDIÇÃO '!$A$122)</f>
        <v>0</v>
      </c>
      <c r="D122" s="132">
        <f>SUMIFS('LIQUIDAÇÃO 2025'!$K:$K,'LIQUIDAÇÃO 2025'!$B:$B,'MEDIÇÃO '!$A$116,'LIQUIDAÇÃO 2025'!$C:$C,'MEDIÇÃO '!$B$116,'LIQUIDAÇÃO 2025'!$H:$H,'MEDIÇÃO '!D$118,'LIQUIDAÇÃO 2025'!$F:$F,'MEDIÇÃO '!$A$122)</f>
        <v>0</v>
      </c>
      <c r="E122" s="132">
        <f>SUMIFS('LIQUIDAÇÃO 2025'!$K:$K,'LIQUIDAÇÃO 2025'!$B:$B,'MEDIÇÃO '!$A$116,'LIQUIDAÇÃO 2025'!$C:$C,'MEDIÇÃO '!$B$116,'LIQUIDAÇÃO 2025'!$H:$H,'MEDIÇÃO '!E$118,'LIQUIDAÇÃO 2025'!$F:$F,'MEDIÇÃO '!$A$122)</f>
        <v>0</v>
      </c>
      <c r="F122" s="132">
        <f>SUMIFS('LIQUIDAÇÃO 2025'!$K:$K,'LIQUIDAÇÃO 2025'!$B:$B,'MEDIÇÃO '!$A$116,'LIQUIDAÇÃO 2025'!$C:$C,'MEDIÇÃO '!$B$116,'LIQUIDAÇÃO 2025'!$H:$H,'MEDIÇÃO '!F$118,'LIQUIDAÇÃO 2025'!$F:$F,'MEDIÇÃO '!$A$122)</f>
        <v>0</v>
      </c>
      <c r="G122" s="132">
        <f>SUMIFS('LIQUIDAÇÃO 2025'!$K:$K,'LIQUIDAÇÃO 2025'!$B:$B,'MEDIÇÃO '!$A$116,'LIQUIDAÇÃO 2025'!$C:$C,'MEDIÇÃO '!$B$116,'LIQUIDAÇÃO 2025'!$H:$H,'MEDIÇÃO '!G$118,'LIQUIDAÇÃO 2025'!$F:$F,'MEDIÇÃO '!$A$122)</f>
        <v>0</v>
      </c>
      <c r="H122" s="132">
        <f>SUMIFS('LIQUIDAÇÃO 2025'!$K:$K,'LIQUIDAÇÃO 2025'!$B:$B,'MEDIÇÃO '!$A$116,'LIQUIDAÇÃO 2025'!$C:$C,'MEDIÇÃO '!$B$116,'LIQUIDAÇÃO 2025'!$H:$H,'MEDIÇÃO '!H$118,'LIQUIDAÇÃO 2025'!$F:$F,'MEDIÇÃO '!$A$122)</f>
        <v>0</v>
      </c>
      <c r="I122" s="132">
        <f>SUMIFS('LIQUIDAÇÃO 2025'!$K:$K,'LIQUIDAÇÃO 2025'!$B:$B,'MEDIÇÃO '!$A$116,'LIQUIDAÇÃO 2025'!$C:$C,'MEDIÇÃO '!$B$116,'LIQUIDAÇÃO 2025'!$H:$H,'MEDIÇÃO '!I$118,'LIQUIDAÇÃO 2025'!$F:$F,'MEDIÇÃO '!$A$122)</f>
        <v>0</v>
      </c>
      <c r="J122" s="132">
        <f>SUMIFS('LIQUIDAÇÃO 2025'!$K:$K,'LIQUIDAÇÃO 2025'!$B:$B,'MEDIÇÃO '!$A$116,'LIQUIDAÇÃO 2025'!$C:$C,'MEDIÇÃO '!$B$116,'LIQUIDAÇÃO 2025'!$H:$H,'MEDIÇÃO '!J$118,'LIQUIDAÇÃO 2025'!$F:$F,'MEDIÇÃO '!$A$122)</f>
        <v>0</v>
      </c>
      <c r="K122" s="132">
        <f>SUMIFS('LIQUIDAÇÃO 2025'!$K:$K,'LIQUIDAÇÃO 2025'!$B:$B,'MEDIÇÃO '!$A$116,'LIQUIDAÇÃO 2025'!$C:$C,'MEDIÇÃO '!$B$116,'LIQUIDAÇÃO 2025'!$H:$H,'MEDIÇÃO '!K$118,'LIQUIDAÇÃO 2025'!$F:$F,'MEDIÇÃO '!$A$122)</f>
        <v>0</v>
      </c>
      <c r="L122" s="132">
        <f>SUMIFS('LIQUIDAÇÃO 2025'!$K:$K,'LIQUIDAÇÃO 2025'!$B:$B,'MEDIÇÃO '!$A$116,'LIQUIDAÇÃO 2025'!$C:$C,'MEDIÇÃO '!$B$116,'LIQUIDAÇÃO 2025'!$H:$H,'MEDIÇÃO '!L$118,'LIQUIDAÇÃO 2025'!$F:$F,'MEDIÇÃO '!$A$122)</f>
        <v>51189.599999999999</v>
      </c>
      <c r="M122" s="132">
        <f>SUMIFS('LIQUIDAÇÃO 2025'!$K:$K,'LIQUIDAÇÃO 2025'!$B:$B,'MEDIÇÃO '!$A$116,'LIQUIDAÇÃO 2025'!$C:$C,'MEDIÇÃO '!$B$116,'LIQUIDAÇÃO 2025'!$H:$H,'MEDIÇÃO '!M$118,'LIQUIDAÇÃO 2025'!$F:$F,'MEDIÇÃO '!$A$122)</f>
        <v>0</v>
      </c>
      <c r="N122" s="1067"/>
    </row>
    <row r="123" spans="1:18" s="57" customFormat="1" ht="15" customHeight="1">
      <c r="A123" s="131" cm="1">
        <f t="array" ref="A123">IFERROR(INDEX(Tabela3[[CÓDIGO
 EMPRESA ]:[EMPENHO]],SMALL(IF(Tabela3[CÓDIGO
 EMPRESA ]='MEDIÇÃO '!$A$116,ROW(Tabela3[CÓDIGO
 EMPRESA ])-3),ROW(P4)),3),"")</f>
        <v>27357</v>
      </c>
      <c r="B123" s="132">
        <f>SUMIFS('LIQUIDAÇÃO 2025'!$K:$K,'LIQUIDAÇÃO 2025'!$B:$B,'MEDIÇÃO '!$A$116,'LIQUIDAÇÃO 2025'!$C:$C,'MEDIÇÃO '!$B$116,'LIQUIDAÇÃO 2025'!$H:$H,'MEDIÇÃO '!B$118,'LIQUIDAÇÃO 2025'!$F:$F,'MEDIÇÃO '!$A$123)</f>
        <v>0</v>
      </c>
      <c r="C123" s="132">
        <f>SUMIFS('LIQUIDAÇÃO 2025'!$K:$K,'LIQUIDAÇÃO 2025'!$B:$B,'MEDIÇÃO '!$A$116,'LIQUIDAÇÃO 2025'!$C:$C,'MEDIÇÃO '!$B$116,'LIQUIDAÇÃO 2025'!$H:$H,'MEDIÇÃO '!C$118,'LIQUIDAÇÃO 2025'!$F:$F,'MEDIÇÃO '!$A$123)</f>
        <v>0</v>
      </c>
      <c r="D123" s="132">
        <f>SUMIFS('LIQUIDAÇÃO 2025'!$K:$K,'LIQUIDAÇÃO 2025'!$B:$B,'MEDIÇÃO '!$A$116,'LIQUIDAÇÃO 2025'!$C:$C,'MEDIÇÃO '!$B$116,'LIQUIDAÇÃO 2025'!$H:$H,'MEDIÇÃO '!D$118,'LIQUIDAÇÃO 2025'!$F:$F,'MEDIÇÃO '!$A$123)</f>
        <v>0</v>
      </c>
      <c r="E123" s="132">
        <f>SUMIFS('LIQUIDAÇÃO 2025'!$K:$K,'LIQUIDAÇÃO 2025'!$B:$B,'MEDIÇÃO '!$A$116,'LIQUIDAÇÃO 2025'!$C:$C,'MEDIÇÃO '!$B$116,'LIQUIDAÇÃO 2025'!$H:$H,'MEDIÇÃO '!E$118,'LIQUIDAÇÃO 2025'!$F:$F,'MEDIÇÃO '!$A$123)</f>
        <v>0</v>
      </c>
      <c r="F123" s="132">
        <f>SUMIFS('LIQUIDAÇÃO 2025'!$K:$K,'LIQUIDAÇÃO 2025'!$B:$B,'MEDIÇÃO '!$A$116,'LIQUIDAÇÃO 2025'!$C:$C,'MEDIÇÃO '!$B$116,'LIQUIDAÇÃO 2025'!$H:$H,'MEDIÇÃO '!F$118,'LIQUIDAÇÃO 2025'!$F:$F,'MEDIÇÃO '!$A$123)</f>
        <v>0</v>
      </c>
      <c r="G123" s="132">
        <f>SUMIFS('LIQUIDAÇÃO 2025'!$K:$K,'LIQUIDAÇÃO 2025'!$B:$B,'MEDIÇÃO '!$A$116,'LIQUIDAÇÃO 2025'!$C:$C,'MEDIÇÃO '!$B$116,'LIQUIDAÇÃO 2025'!$H:$H,'MEDIÇÃO '!G$118,'LIQUIDAÇÃO 2025'!$F:$F,'MEDIÇÃO '!$A$123)</f>
        <v>0</v>
      </c>
      <c r="H123" s="132">
        <f>SUMIFS('LIQUIDAÇÃO 2025'!$K:$K,'LIQUIDAÇÃO 2025'!$B:$B,'MEDIÇÃO '!$A$116,'LIQUIDAÇÃO 2025'!$C:$C,'MEDIÇÃO '!$B$116,'LIQUIDAÇÃO 2025'!$H:$H,'MEDIÇÃO '!H$118,'LIQUIDAÇÃO 2025'!$F:$F,'MEDIÇÃO '!$A$123)</f>
        <v>0</v>
      </c>
      <c r="I123" s="132">
        <f>SUMIFS('LIQUIDAÇÃO 2025'!$K:$K,'LIQUIDAÇÃO 2025'!$B:$B,'MEDIÇÃO '!$A$116,'LIQUIDAÇÃO 2025'!$C:$C,'MEDIÇÃO '!$B$116,'LIQUIDAÇÃO 2025'!$H:$H,'MEDIÇÃO '!I$118,'LIQUIDAÇÃO 2025'!$F:$F,'MEDIÇÃO '!$A$123)</f>
        <v>0</v>
      </c>
      <c r="J123" s="132">
        <f>SUMIFS('LIQUIDAÇÃO 2025'!$K:$K,'LIQUIDAÇÃO 2025'!$B:$B,'MEDIÇÃO '!$A$116,'LIQUIDAÇÃO 2025'!$C:$C,'MEDIÇÃO '!$B$116,'LIQUIDAÇÃO 2025'!$H:$H,'MEDIÇÃO '!J$118,'LIQUIDAÇÃO 2025'!$F:$F,'MEDIÇÃO '!$A$123)</f>
        <v>0</v>
      </c>
      <c r="K123" s="132">
        <f>SUMIFS('LIQUIDAÇÃO 2025'!$K:$K,'LIQUIDAÇÃO 2025'!$B:$B,'MEDIÇÃO '!$A$116,'LIQUIDAÇÃO 2025'!$C:$C,'MEDIÇÃO '!$B$116,'LIQUIDAÇÃO 2025'!$H:$H,'MEDIÇÃO '!K$118,'LIQUIDAÇÃO 2025'!$F:$F,'MEDIÇÃO '!$A$123)</f>
        <v>0</v>
      </c>
      <c r="L123" s="132">
        <f>SUMIFS('LIQUIDAÇÃO 2025'!$K:$K,'LIQUIDAÇÃO 2025'!$B:$B,'MEDIÇÃO '!$A$116,'LIQUIDAÇÃO 2025'!$C:$C,'MEDIÇÃO '!$B$116,'LIQUIDAÇÃO 2025'!$H:$H,'MEDIÇÃO '!L$118,'LIQUIDAÇÃO 2025'!$F:$F,'MEDIÇÃO '!$A$123)</f>
        <v>0</v>
      </c>
      <c r="M123" s="132">
        <f>SUMIFS('LIQUIDAÇÃO 2025'!$K:$K,'LIQUIDAÇÃO 2025'!$B:$B,'MEDIÇÃO '!$A$116,'LIQUIDAÇÃO 2025'!$C:$C,'MEDIÇÃO '!$B$116,'LIQUIDAÇÃO 2025'!$H:$H,'MEDIÇÃO '!M$118,'LIQUIDAÇÃO 2025'!$F:$F,'MEDIÇÃO '!$A$123)</f>
        <v>0</v>
      </c>
      <c r="N123" s="1067"/>
    </row>
    <row r="124" spans="1:18" s="47" customFormat="1" ht="15" customHeight="1" thickBot="1">
      <c r="A124" s="131" cm="1">
        <f t="array" ref="A124">IFERROR(INDEX(Tabela3[[CÓDIGO
 EMPRESA ]:[EMPENHO]],SMALL(IF(Tabela3[CÓDIGO
 EMPRESA ]='MEDIÇÃO '!$A$116,ROW(Tabela3[CÓDIGO
 EMPRESA ])-3),ROW(P5)),3),"")</f>
        <v>22231</v>
      </c>
      <c r="B124" s="132">
        <f>SUMIFS('LIQUIDAÇÃO 2025'!$K:$K,'LIQUIDAÇÃO 2025'!$B:$B,'MEDIÇÃO '!$A$116,'LIQUIDAÇÃO 2025'!$C:$C,'MEDIÇÃO '!$B$116,'LIQUIDAÇÃO 2025'!$H:$H,'MEDIÇÃO '!B$118,'LIQUIDAÇÃO 2025'!$F:$F,'MEDIÇÃO '!$A$124)</f>
        <v>0</v>
      </c>
      <c r="C124" s="132">
        <f>SUMIFS('LIQUIDAÇÃO 2025'!$K:$K,'LIQUIDAÇÃO 2025'!$B:$B,'MEDIÇÃO '!$A$116,'LIQUIDAÇÃO 2025'!$C:$C,'MEDIÇÃO '!$B$116,'LIQUIDAÇÃO 2025'!$H:$H,'MEDIÇÃO '!C$118,'LIQUIDAÇÃO 2025'!$F:$F,'MEDIÇÃO '!$A$124)</f>
        <v>0</v>
      </c>
      <c r="D124" s="132">
        <f>SUMIFS('LIQUIDAÇÃO 2025'!$K:$K,'LIQUIDAÇÃO 2025'!$B:$B,'MEDIÇÃO '!$A$116,'LIQUIDAÇÃO 2025'!$C:$C,'MEDIÇÃO '!$B$116,'LIQUIDAÇÃO 2025'!$H:$H,'MEDIÇÃO '!D$118,'LIQUIDAÇÃO 2025'!$F:$F,'MEDIÇÃO '!$A$124)</f>
        <v>0</v>
      </c>
      <c r="E124" s="132">
        <f>SUMIFS('LIQUIDAÇÃO 2025'!$K:$K,'LIQUIDAÇÃO 2025'!$B:$B,'MEDIÇÃO '!$A$116,'LIQUIDAÇÃO 2025'!$C:$C,'MEDIÇÃO '!$B$116,'LIQUIDAÇÃO 2025'!$H:$H,'MEDIÇÃO '!E$118,'LIQUIDAÇÃO 2025'!$F:$F,'MEDIÇÃO '!$A$124)</f>
        <v>0</v>
      </c>
      <c r="F124" s="132">
        <f>SUMIFS('LIQUIDAÇÃO 2025'!$K:$K,'LIQUIDAÇÃO 2025'!$B:$B,'MEDIÇÃO '!$A$116,'LIQUIDAÇÃO 2025'!$C:$C,'MEDIÇÃO '!$B$116,'LIQUIDAÇÃO 2025'!$H:$H,'MEDIÇÃO '!F$118,'LIQUIDAÇÃO 2025'!$F:$F,'MEDIÇÃO '!$A$124)</f>
        <v>0</v>
      </c>
      <c r="G124" s="132">
        <f>SUMIFS('LIQUIDAÇÃO 2025'!$K:$K,'LIQUIDAÇÃO 2025'!$B:$B,'MEDIÇÃO '!$A$116,'LIQUIDAÇÃO 2025'!$C:$C,'MEDIÇÃO '!$B$116,'LIQUIDAÇÃO 2025'!$H:$H,'MEDIÇÃO '!G$118,'LIQUIDAÇÃO 2025'!$F:$F,'MEDIÇÃO '!$A$124)</f>
        <v>0</v>
      </c>
      <c r="H124" s="132">
        <f>SUMIFS('LIQUIDAÇÃO 2025'!$K:$K,'LIQUIDAÇÃO 2025'!$B:$B,'MEDIÇÃO '!$A$116,'LIQUIDAÇÃO 2025'!$C:$C,'MEDIÇÃO '!$B$116,'LIQUIDAÇÃO 2025'!$H:$H,'MEDIÇÃO '!H$118,'LIQUIDAÇÃO 2025'!$F:$F,'MEDIÇÃO '!$A$124)</f>
        <v>0</v>
      </c>
      <c r="I124" s="132">
        <f>SUMIFS('LIQUIDAÇÃO 2025'!$K:$K,'LIQUIDAÇÃO 2025'!$B:$B,'MEDIÇÃO '!$A$116,'LIQUIDAÇÃO 2025'!$C:$C,'MEDIÇÃO '!$B$116,'LIQUIDAÇÃO 2025'!$H:$H,'MEDIÇÃO '!I$118,'LIQUIDAÇÃO 2025'!$F:$F,'MEDIÇÃO '!$A$124)</f>
        <v>0</v>
      </c>
      <c r="J124" s="132">
        <f>SUMIFS('LIQUIDAÇÃO 2025'!$K:$K,'LIQUIDAÇÃO 2025'!$B:$B,'MEDIÇÃO '!$A$116,'LIQUIDAÇÃO 2025'!$C:$C,'MEDIÇÃO '!$B$116,'LIQUIDAÇÃO 2025'!$H:$H,'MEDIÇÃO '!J$118,'LIQUIDAÇÃO 2025'!$F:$F,'MEDIÇÃO '!$A$124)</f>
        <v>0</v>
      </c>
      <c r="K124" s="132">
        <f>SUMIFS('LIQUIDAÇÃO 2025'!$K:$K,'LIQUIDAÇÃO 2025'!$B:$B,'MEDIÇÃO '!$A$116,'LIQUIDAÇÃO 2025'!$C:$C,'MEDIÇÃO '!$B$116,'LIQUIDAÇÃO 2025'!$H:$H,'MEDIÇÃO '!K$118,'LIQUIDAÇÃO 2025'!$F:$F,'MEDIÇÃO '!$A$124)</f>
        <v>0</v>
      </c>
      <c r="L124" s="132">
        <f>SUMIFS('LIQUIDAÇÃO 2025'!$K:$K,'LIQUIDAÇÃO 2025'!$B:$B,'MEDIÇÃO '!$A$116,'LIQUIDAÇÃO 2025'!$C:$C,'MEDIÇÃO '!$B$116,'LIQUIDAÇÃO 2025'!$H:$H,'MEDIÇÃO '!L$118,'LIQUIDAÇÃO 2025'!$F:$F,'MEDIÇÃO '!$A$124)</f>
        <v>0</v>
      </c>
      <c r="M124" s="132">
        <f>SUMIFS('LIQUIDAÇÃO 2025'!$K:$K,'LIQUIDAÇÃO 2025'!$B:$B,'MEDIÇÃO '!$A$116,'LIQUIDAÇÃO 2025'!$C:$C,'MEDIÇÃO '!$B$116,'LIQUIDAÇÃO 2025'!$H:$H,'MEDIÇÃO '!M$118,'LIQUIDAÇÃO 2025'!$F:$F,'MEDIÇÃO '!$A$124)</f>
        <v>0</v>
      </c>
      <c r="N124" s="1067"/>
      <c r="Q124" s="658"/>
    </row>
    <row r="125" spans="1:18" s="47" customFormat="1" ht="16.5" thickBot="1">
      <c r="A125" s="214" t="s">
        <v>38</v>
      </c>
      <c r="B125" s="215">
        <v>0</v>
      </c>
      <c r="C125" s="215">
        <v>0</v>
      </c>
      <c r="D125" s="215">
        <v>0</v>
      </c>
      <c r="E125" s="215">
        <v>0</v>
      </c>
      <c r="F125" s="215">
        <v>0</v>
      </c>
      <c r="G125" s="215">
        <v>0</v>
      </c>
      <c r="H125" s="215">
        <v>0</v>
      </c>
      <c r="I125" s="215">
        <v>0</v>
      </c>
      <c r="J125" s="215">
        <v>0</v>
      </c>
      <c r="K125" s="215">
        <v>0</v>
      </c>
      <c r="L125" s="215">
        <v>0</v>
      </c>
      <c r="M125" s="215">
        <v>0</v>
      </c>
      <c r="N125" s="1068"/>
      <c r="Q125" s="658"/>
    </row>
    <row r="126" spans="1:18" s="47" customFormat="1" ht="15.75">
      <c r="A126" s="212" t="s">
        <v>127</v>
      </c>
      <c r="B126" s="216">
        <f>IF(SUM(B120:B124)&lt;&gt;0,B119-B125-SUM(B120:B124),(B119-SUM(B120:B124)-B125))</f>
        <v>0</v>
      </c>
      <c r="C126" s="216">
        <f t="shared" ref="C126" si="77">IF(SUM(C120:C124)&lt;&gt;0,C119-C125-SUM(C120:C124),(C119-SUM(C120:C124)-C125))</f>
        <v>0</v>
      </c>
      <c r="D126" s="216">
        <f t="shared" ref="D126" si="78">IF(SUM(D120:D124)&lt;&gt;0,D119-D125-SUM(D120:D124),(D119-SUM(D120:D124)-D125))</f>
        <v>0</v>
      </c>
      <c r="E126" s="216">
        <f t="shared" ref="E126" si="79">IF(SUM(E120:E124)&lt;&gt;0,E119-E125-SUM(E120:E124),(E119-SUM(E120:E124)-E125))</f>
        <v>0</v>
      </c>
      <c r="F126" s="216">
        <f t="shared" ref="F126" si="80">IF(SUM(F120:F124)&lt;&gt;0,F119-F125-SUM(F120:F124),(F119-SUM(F120:F124)-F125))</f>
        <v>143330.88</v>
      </c>
      <c r="G126" s="216">
        <f>IF(SUM(G120:G124)&lt;&gt;0,G119-G125-SUM(G120:G124),(G119-SUM(G120:G124)-G125))</f>
        <v>0</v>
      </c>
      <c r="H126" s="216">
        <f t="shared" ref="H126" si="81">IF(SUM(H120:H124)&lt;&gt;0,H119-H125-SUM(H120:H124),(H119-SUM(H120:H124)-H125))</f>
        <v>-25594.799999999999</v>
      </c>
      <c r="I126" s="216">
        <f t="shared" ref="I126" si="82">IF(SUM(I120:I124)&lt;&gt;0,I119-I125-SUM(I120:I124),(I119-SUM(I120:I124)-I125))</f>
        <v>0</v>
      </c>
      <c r="J126" s="216">
        <f t="shared" ref="J126" si="83">IF(SUM(J120:J124)&lt;&gt;0,J119-J125-SUM(J120:J124),(J119-SUM(J120:J124)-J125))</f>
        <v>-51189.599999999999</v>
      </c>
      <c r="K126" s="216">
        <f t="shared" ref="K126" si="84">IF(SUM(K120:K124)&lt;&gt;0,K119-K125-SUM(K120:K124),(K119-SUM(K120:K124)-K125))</f>
        <v>0</v>
      </c>
      <c r="L126" s="216">
        <f t="shared" ref="L126" si="85">IF(SUM(L120:L124)&lt;&gt;0,L119-L125-SUM(L120:L124),(L119-SUM(L120:L124)-L125))</f>
        <v>-51189.599999999999</v>
      </c>
      <c r="M126" s="216">
        <f t="shared" ref="M126" si="86">IF(SUM(M120:M124)&lt;&gt;0,M119-M125-SUM(M120:M124),(M119-SUM(M120:M124)-M125))</f>
        <v>0</v>
      </c>
      <c r="N126" s="213">
        <f>SUM(B119:M119)-SUM(B120:M124)-SUM(B125:M125)</f>
        <v>15356.88</v>
      </c>
      <c r="Q126" s="771"/>
    </row>
    <row r="127" spans="1:18" s="57" customFormat="1">
      <c r="A127" s="88"/>
      <c r="B127" s="88"/>
      <c r="C127" s="85"/>
      <c r="D127" s="87"/>
      <c r="E127" s="58"/>
      <c r="F127" s="58"/>
      <c r="G127" s="90"/>
      <c r="H127" s="90"/>
      <c r="I127" s="86"/>
      <c r="J127" s="86"/>
      <c r="K127" s="86"/>
      <c r="L127" s="86"/>
      <c r="M127" s="86"/>
      <c r="N127" s="210"/>
      <c r="Q127" s="708"/>
    </row>
    <row r="128" spans="1:18" ht="15.75" customHeight="1">
      <c r="A128" s="123" t="s">
        <v>126</v>
      </c>
      <c r="B128" s="118" t="s">
        <v>124</v>
      </c>
      <c r="C128" s="115"/>
      <c r="D128" s="115"/>
      <c r="E128" s="115"/>
      <c r="F128" s="91" t="s">
        <v>116</v>
      </c>
      <c r="G128" s="92" t="s">
        <v>117</v>
      </c>
      <c r="H128" s="1062" t="s">
        <v>113</v>
      </c>
      <c r="I128" s="1062"/>
      <c r="J128" s="1062" t="s">
        <v>114</v>
      </c>
      <c r="K128" s="1062"/>
      <c r="L128" s="1062" t="s">
        <v>118</v>
      </c>
      <c r="M128" s="1062"/>
      <c r="N128" s="92" t="s">
        <v>115</v>
      </c>
    </row>
    <row r="129" spans="1:18" ht="18.75" customHeight="1">
      <c r="A129" s="121"/>
      <c r="B129" s="121"/>
      <c r="C129" s="121"/>
      <c r="D129" s="121"/>
      <c r="E129" s="121"/>
      <c r="F129" s="97" t="str">
        <f>VALIDAÇÕES!C22</f>
        <v>39077/2023</v>
      </c>
      <c r="G129" s="97" t="str">
        <f>VALIDAÇÕES!D20</f>
        <v>29501/2023 - DLC</v>
      </c>
      <c r="H129" s="1061">
        <f>VALIDAÇÕES!G20</f>
        <v>4475649.0999999996</v>
      </c>
      <c r="I129" s="1061"/>
      <c r="J129" s="1061">
        <f>VALIDAÇÕES!H20</f>
        <v>3274172.68</v>
      </c>
      <c r="K129" s="1061"/>
      <c r="L129" s="1063">
        <f>VALIDAÇÕES!E22</f>
        <v>45426</v>
      </c>
      <c r="M129" s="1063"/>
      <c r="N129" s="202">
        <f>VALIDAÇÕES!F22</f>
        <v>45426</v>
      </c>
    </row>
    <row r="130" spans="1:18" ht="15.75" customHeight="1">
      <c r="A130" s="1060" t="s">
        <v>7</v>
      </c>
      <c r="B130" s="89" t="s">
        <v>44</v>
      </c>
      <c r="C130" s="89" t="s">
        <v>43</v>
      </c>
      <c r="D130" s="89" t="s">
        <v>45</v>
      </c>
      <c r="E130" s="89" t="s">
        <v>46</v>
      </c>
      <c r="F130" s="89" t="s">
        <v>47</v>
      </c>
      <c r="G130" s="89" t="s">
        <v>48</v>
      </c>
      <c r="H130" s="89" t="s">
        <v>49</v>
      </c>
      <c r="I130" s="89" t="s">
        <v>50</v>
      </c>
      <c r="J130" s="89" t="s">
        <v>51</v>
      </c>
      <c r="K130" s="89" t="s">
        <v>52</v>
      </c>
      <c r="L130" s="89" t="s">
        <v>53</v>
      </c>
      <c r="M130" s="89" t="s">
        <v>54</v>
      </c>
      <c r="N130" s="1066" t="s">
        <v>112</v>
      </c>
    </row>
    <row r="131" spans="1:18" ht="15" customHeight="1">
      <c r="A131" s="1060"/>
      <c r="B131" s="100"/>
      <c r="C131" s="100">
        <v>1073057.1599999999</v>
      </c>
      <c r="D131" s="100">
        <v>350000</v>
      </c>
      <c r="E131" s="100"/>
      <c r="F131" s="100"/>
      <c r="G131" s="100"/>
      <c r="H131" s="100"/>
      <c r="I131" s="100"/>
      <c r="J131" s="100"/>
      <c r="K131" s="100"/>
      <c r="L131" s="100"/>
      <c r="M131" s="100"/>
      <c r="N131" s="1067"/>
    </row>
    <row r="132" spans="1:18" ht="15" customHeight="1">
      <c r="A132" s="131" cm="1">
        <f t="array" ref="A132">IFERROR(INDEX(Tabela3[[CÓDIGO
 EMPRESA ]:[EMPENHO]],SMALL(IF(Tabela3[CÓDIGO
 EMPRESA ]='MEDIÇÃO '!$A$128,ROW(Tabela3[CÓDIGO
 EMPRESA ])-3),ROW(P1)),3),"")</f>
        <v>3685</v>
      </c>
      <c r="B132" s="132">
        <f>SUMIFS('LIQUIDAÇÃO 2025'!$K:$K,'LIQUIDAÇÃO 2025'!$B:$B,'MEDIÇÃO '!$A$128,'LIQUIDAÇÃO 2025'!$C:$C,'MEDIÇÃO '!$B$128,'LIQUIDAÇÃO 2025'!$H:$H,'MEDIÇÃO '!B$130,'LIQUIDAÇÃO 2025'!$F:$F,'MEDIÇÃO '!$A$132)</f>
        <v>0</v>
      </c>
      <c r="C132" s="132"/>
      <c r="D132" s="132">
        <f>SUMIFS('LIQUIDAÇÃO 2025'!$K:$K,'LIQUIDAÇÃO 2025'!$B:$B,'MEDIÇÃO '!$A$128,'LIQUIDAÇÃO 2025'!$C:$C,'MEDIÇÃO '!$B$128,'LIQUIDAÇÃO 2025'!$H:$H,'MEDIÇÃO '!D$130,'LIQUIDAÇÃO 2025'!$F:$F,'MEDIÇÃO '!$A$132)</f>
        <v>0</v>
      </c>
      <c r="E132" s="132">
        <f>SUMIFS('LIQUIDAÇÃO 2025'!$K:$K,'LIQUIDAÇÃO 2025'!$B:$B,'MEDIÇÃO '!$A$128,'LIQUIDAÇÃO 2025'!$C:$C,'MEDIÇÃO '!$B$128,'LIQUIDAÇÃO 2025'!$H:$H,'MEDIÇÃO '!E$130,'LIQUIDAÇÃO 2025'!$F:$F,'MEDIÇÃO '!$A$132)</f>
        <v>0</v>
      </c>
      <c r="F132" s="132">
        <f>SUMIFS('LIQUIDAÇÃO 2025'!$K:$K,'LIQUIDAÇÃO 2025'!$B:$B,'MEDIÇÃO '!$A$128,'LIQUIDAÇÃO 2025'!$C:$C,'MEDIÇÃO '!$B$128,'LIQUIDAÇÃO 2025'!$H:$H,'MEDIÇÃO '!F$130,'LIQUIDAÇÃO 2025'!$F:$F,'MEDIÇÃO '!$A$132)</f>
        <v>0</v>
      </c>
      <c r="G132" s="132">
        <f>SUMIFS('LIQUIDAÇÃO 2025'!$K:$K,'LIQUIDAÇÃO 2025'!$B:$B,'MEDIÇÃO '!$A$128,'LIQUIDAÇÃO 2025'!$C:$C,'MEDIÇÃO '!$B$128,'LIQUIDAÇÃO 2025'!$H:$H,'MEDIÇÃO '!G$130,'LIQUIDAÇÃO 2025'!$F:$F,'MEDIÇÃO '!$A$132)</f>
        <v>0</v>
      </c>
      <c r="H132" s="132">
        <f>SUMIFS('LIQUIDAÇÃO 2025'!$K:$K,'LIQUIDAÇÃO 2025'!$B:$B,'MEDIÇÃO '!$A$128,'LIQUIDAÇÃO 2025'!$C:$C,'MEDIÇÃO '!$B$128,'LIQUIDAÇÃO 2025'!$H:$H,'MEDIÇÃO '!H$130,'LIQUIDAÇÃO 2025'!$F:$F,'MEDIÇÃO '!$A$132)</f>
        <v>295155.37</v>
      </c>
      <c r="I132" s="132">
        <f>SUMIFS('LIQUIDAÇÃO 2025'!$K:$K,'LIQUIDAÇÃO 2025'!$B:$B,'MEDIÇÃO '!$A$128,'LIQUIDAÇÃO 2025'!$C:$C,'MEDIÇÃO '!$B$128,'LIQUIDAÇÃO 2025'!$H:$H,'MEDIÇÃO '!I$130,'LIQUIDAÇÃO 2025'!$F:$F,'MEDIÇÃO '!$A$132)</f>
        <v>0</v>
      </c>
      <c r="J132" s="132">
        <f>SUMIFS('LIQUIDAÇÃO 2025'!$K:$K,'LIQUIDAÇÃO 2025'!$B:$B,'MEDIÇÃO '!$A$128,'LIQUIDAÇÃO 2025'!$C:$C,'MEDIÇÃO '!$B$128,'LIQUIDAÇÃO 2025'!$H:$H,'MEDIÇÃO '!J$130,'LIQUIDAÇÃO 2025'!$F:$F,'MEDIÇÃO '!$A$132)</f>
        <v>0</v>
      </c>
      <c r="K132" s="132">
        <f>SUMIFS('LIQUIDAÇÃO 2025'!$K:$K,'LIQUIDAÇÃO 2025'!$B:$B,'MEDIÇÃO '!$A$128,'LIQUIDAÇÃO 2025'!$C:$C,'MEDIÇÃO '!$B$128,'LIQUIDAÇÃO 2025'!$H:$H,'MEDIÇÃO '!K$130,'LIQUIDAÇÃO 2025'!$F:$F,'MEDIÇÃO '!$A$132)</f>
        <v>0</v>
      </c>
      <c r="L132" s="132">
        <f>SUMIFS('LIQUIDAÇÃO 2025'!$K:$K,'LIQUIDAÇÃO 2025'!$B:$B,'MEDIÇÃO '!$A$128,'LIQUIDAÇÃO 2025'!$C:$C,'MEDIÇÃO '!$B$128,'LIQUIDAÇÃO 2025'!$H:$H,'MEDIÇÃO '!L$130,'LIQUIDAÇÃO 2025'!$F:$F,'MEDIÇÃO '!$A$132)</f>
        <v>0</v>
      </c>
      <c r="M132" s="132">
        <f>SUMIFS('LIQUIDAÇÃO 2025'!$K:$K,'LIQUIDAÇÃO 2025'!$B:$B,'MEDIÇÃO '!$A$128,'LIQUIDAÇÃO 2025'!$C:$C,'MEDIÇÃO '!$B$128,'LIQUIDAÇÃO 2025'!$H:$H,'MEDIÇÃO '!M$130,'LIQUIDAÇÃO 2025'!$F:$F,'MEDIÇÃO '!$A$132)</f>
        <v>0</v>
      </c>
      <c r="N132" s="1067"/>
    </row>
    <row r="133" spans="1:18" ht="15" customHeight="1">
      <c r="A133" s="131" cm="1">
        <f t="array" ref="A133">IFERROR(INDEX(Tabela3[[CÓDIGO
 EMPRESA ]:[EMPENHO]],SMALL(IF(Tabela3[CÓDIGO
 EMPRESA ]='MEDIÇÃO '!$A$128,ROW(Tabela3[CÓDIGO
 EMPRESA ])-3),ROW(P2)),3),"")</f>
        <v>3751</v>
      </c>
      <c r="B133" s="132">
        <f>SUMIFS('LIQUIDAÇÃO 2025'!$K:$K,'LIQUIDAÇÃO 2025'!$B:$B,'MEDIÇÃO '!$A$128,'LIQUIDAÇÃO 2025'!$C:$C,'MEDIÇÃO '!$B$128,'LIQUIDAÇÃO 2025'!$H:$H,'MEDIÇÃO '!B$130,'LIQUIDAÇÃO 2025'!$F:$F,'MEDIÇÃO '!$A$133)</f>
        <v>0</v>
      </c>
      <c r="C133" s="132">
        <f>SUMIFS('LIQUIDAÇÃO 2025'!$K:$K,'LIQUIDAÇÃO 2025'!$B:$B,'MEDIÇÃO '!$A$128,'LIQUIDAÇÃO 2025'!$C:$C,'MEDIÇÃO '!$B$128,'LIQUIDAÇÃO 2025'!$H:$H,'MEDIÇÃO '!C$130,'LIQUIDAÇÃO 2025'!$F:$F,'MEDIÇÃO '!$A$133)</f>
        <v>236063.49</v>
      </c>
      <c r="D133" s="132">
        <f>SUMIFS('LIQUIDAÇÃO 2025'!$K:$K,'LIQUIDAÇÃO 2025'!$B:$B,'MEDIÇÃO '!$A$128,'LIQUIDAÇÃO 2025'!$C:$C,'MEDIÇÃO '!$B$128,'LIQUIDAÇÃO 2025'!$H:$H,'MEDIÇÃO '!D$130,'LIQUIDAÇÃO 2025'!$F:$F,'MEDIÇÃO '!$A$133)</f>
        <v>0</v>
      </c>
      <c r="E133" s="132">
        <f>SUMIFS('LIQUIDAÇÃO 2025'!$K:$K,'LIQUIDAÇÃO 2025'!$B:$B,'MEDIÇÃO '!$A$128,'LIQUIDAÇÃO 2025'!$C:$C,'MEDIÇÃO '!$B$128,'LIQUIDAÇÃO 2025'!$H:$H,'MEDIÇÃO '!E$130,'LIQUIDAÇÃO 2025'!$F:$F,'MEDIÇÃO '!$A$133)</f>
        <v>0</v>
      </c>
      <c r="F133" s="132">
        <f>SUMIFS('LIQUIDAÇÃO 2025'!$K:$K,'LIQUIDAÇÃO 2025'!$B:$B,'MEDIÇÃO '!$A$128,'LIQUIDAÇÃO 2025'!$C:$C,'MEDIÇÃO '!$B$128,'LIQUIDAÇÃO 2025'!$H:$H,'MEDIÇÃO '!F$130,'LIQUIDAÇÃO 2025'!$F:$F,'MEDIÇÃO '!$A$133)</f>
        <v>0</v>
      </c>
      <c r="G133" s="132">
        <f>SUMIFS('LIQUIDAÇÃO 2025'!$K:$K,'LIQUIDAÇÃO 2025'!$B:$B,'MEDIÇÃO '!$A$128,'LIQUIDAÇÃO 2025'!$C:$C,'MEDIÇÃO '!$B$128,'LIQUIDAÇÃO 2025'!$H:$H,'MEDIÇÃO '!G$130,'LIQUIDAÇÃO 2025'!$F:$F,'MEDIÇÃO '!$A$133)</f>
        <v>0</v>
      </c>
      <c r="H133" s="132">
        <f>SUMIFS('LIQUIDAÇÃO 2025'!$K:$K,'LIQUIDAÇÃO 2025'!$B:$B,'MEDIÇÃO '!$A$128,'LIQUIDAÇÃO 2025'!$C:$C,'MEDIÇÃO '!$B$128,'LIQUIDAÇÃO 2025'!$H:$H,'MEDIÇÃO '!H$130,'LIQUIDAÇÃO 2025'!$F:$F,'MEDIÇÃO '!$A$133)</f>
        <v>0</v>
      </c>
      <c r="I133" s="132">
        <f>SUMIFS('LIQUIDAÇÃO 2025'!$K:$K,'LIQUIDAÇÃO 2025'!$B:$B,'MEDIÇÃO '!$A$128,'LIQUIDAÇÃO 2025'!$C:$C,'MEDIÇÃO '!$B$128,'LIQUIDAÇÃO 2025'!$H:$H,'MEDIÇÃO '!I$130,'LIQUIDAÇÃO 2025'!$F:$F,'MEDIÇÃO '!$A$133)</f>
        <v>0</v>
      </c>
      <c r="J133" s="132">
        <f>SUMIFS('LIQUIDAÇÃO 2025'!$K:$K,'LIQUIDAÇÃO 2025'!$B:$B,'MEDIÇÃO '!$A$128,'LIQUIDAÇÃO 2025'!$C:$C,'MEDIÇÃO '!$B$128,'LIQUIDAÇÃO 2025'!$H:$H,'MEDIÇÃO '!J$130,'LIQUIDAÇÃO 2025'!$F:$F,'MEDIÇÃO '!$A$133)</f>
        <v>0</v>
      </c>
      <c r="K133" s="132">
        <f>SUMIFS('LIQUIDAÇÃO 2025'!$K:$K,'LIQUIDAÇÃO 2025'!$B:$B,'MEDIÇÃO '!$A$128,'LIQUIDAÇÃO 2025'!$C:$C,'MEDIÇÃO '!$B$128,'LIQUIDAÇÃO 2025'!$H:$H,'MEDIÇÃO '!K$130,'LIQUIDAÇÃO 2025'!$F:$F,'MEDIÇÃO '!$A$133)</f>
        <v>0</v>
      </c>
      <c r="L133" s="132">
        <f>SUMIFS('LIQUIDAÇÃO 2025'!$K:$K,'LIQUIDAÇÃO 2025'!$B:$B,'MEDIÇÃO '!$A$128,'LIQUIDAÇÃO 2025'!$C:$C,'MEDIÇÃO '!$B$128,'LIQUIDAÇÃO 2025'!$H:$H,'MEDIÇÃO '!L$130,'LIQUIDAÇÃO 2025'!$F:$F,'MEDIÇÃO '!$A$133)</f>
        <v>0</v>
      </c>
      <c r="M133" s="132">
        <f>SUMIFS('LIQUIDAÇÃO 2025'!$K:$K,'LIQUIDAÇÃO 2025'!$B:$B,'MEDIÇÃO '!$A$128,'LIQUIDAÇÃO 2025'!$C:$C,'MEDIÇÃO '!$B$128,'LIQUIDAÇÃO 2025'!$H:$H,'MEDIÇÃO '!M$130,'LIQUIDAÇÃO 2025'!$F:$F,'MEDIÇÃO '!$A$133)</f>
        <v>0</v>
      </c>
      <c r="N133" s="1067"/>
    </row>
    <row r="134" spans="1:18" ht="15" customHeight="1">
      <c r="A134" s="131" cm="1">
        <f t="array" ref="A134">IFERROR(INDEX(Tabela3[[CÓDIGO
 EMPRESA ]:[EMPENHO]],SMALL(IF(Tabela3[CÓDIGO
 EMPRESA ]='MEDIÇÃO '!$A$128,ROW(Tabela3[CÓDIGO
 EMPRESA ])-3),ROW(P3)),3),"")</f>
        <v>21787</v>
      </c>
      <c r="B134" s="132">
        <f>SUMIFS('LIQUIDAÇÃO 2025'!$K:$K,'LIQUIDAÇÃO 2025'!$B:$B,'MEDIÇÃO '!$A$128,'LIQUIDAÇÃO 2025'!$C:$C,'MEDIÇÃO '!$B$128,'LIQUIDAÇÃO 2025'!$H:$H,'MEDIÇÃO '!B$130,'LIQUIDAÇÃO 2025'!$F:$F,'MEDIÇÃO '!$A$134)</f>
        <v>0</v>
      </c>
      <c r="C134" s="132">
        <f>SUMIFS('LIQUIDAÇÃO 2025'!$K:$K,'LIQUIDAÇÃO 2025'!$B:$B,'MEDIÇÃO '!$A$128,'LIQUIDAÇÃO 2025'!$C:$C,'MEDIÇÃO '!$B$128,'LIQUIDAÇÃO 2025'!$H:$H,'MEDIÇÃO '!C$130,'LIQUIDAÇÃO 2025'!$F:$F,'MEDIÇÃO '!$A$134)</f>
        <v>0</v>
      </c>
      <c r="D134" s="132">
        <f>SUMIFS('LIQUIDAÇÃO 2025'!$K:$K,'LIQUIDAÇÃO 2025'!$B:$B,'MEDIÇÃO '!$A$128,'LIQUIDAÇÃO 2025'!$C:$C,'MEDIÇÃO '!$B$128,'LIQUIDAÇÃO 2025'!$H:$H,'MEDIÇÃO '!D$130,'LIQUIDAÇÃO 2025'!$F:$F,'MEDIÇÃO '!$A$134)</f>
        <v>0</v>
      </c>
      <c r="E134" s="132">
        <f>SUMIFS('LIQUIDAÇÃO 2025'!$K:$K,'LIQUIDAÇÃO 2025'!$B:$B,'MEDIÇÃO '!$A$128,'LIQUIDAÇÃO 2025'!$C:$C,'MEDIÇÃO '!$B$128,'LIQUIDAÇÃO 2025'!$H:$H,'MEDIÇÃO '!E$130,'LIQUIDAÇÃO 2025'!$F:$F,'MEDIÇÃO '!$A$134)</f>
        <v>0</v>
      </c>
      <c r="F134" s="132">
        <f>SUMIFS('LIQUIDAÇÃO 2025'!$K:$K,'LIQUIDAÇÃO 2025'!$B:$B,'MEDIÇÃO '!$A$128,'LIQUIDAÇÃO 2025'!$C:$C,'MEDIÇÃO '!$B$128,'LIQUIDAÇÃO 2025'!$H:$H,'MEDIÇÃO '!F$130,'LIQUIDAÇÃO 2025'!$F:$F,'MEDIÇÃO '!$A$134)</f>
        <v>0</v>
      </c>
      <c r="G134" s="132">
        <f>SUMIFS('LIQUIDAÇÃO 2025'!$K:$K,'LIQUIDAÇÃO 2025'!$B:$B,'MEDIÇÃO '!$A$128,'LIQUIDAÇÃO 2025'!$C:$C,'MEDIÇÃO '!$B$128,'LIQUIDAÇÃO 2025'!$H:$H,'MEDIÇÃO '!G$130,'LIQUIDAÇÃO 2025'!$F:$F,'MEDIÇÃO '!$A$134)</f>
        <v>0</v>
      </c>
      <c r="H134" s="132">
        <f>SUMIFS('LIQUIDAÇÃO 2025'!$K:$K,'LIQUIDAÇÃO 2025'!$B:$B,'MEDIÇÃO '!$A$128,'LIQUIDAÇÃO 2025'!$C:$C,'MEDIÇÃO '!$B$128,'LIQUIDAÇÃO 2025'!$H:$H,'MEDIÇÃO '!H$130,'LIQUIDAÇÃO 2025'!$F:$F,'MEDIÇÃO '!$A$134)</f>
        <v>0</v>
      </c>
      <c r="I134" s="132">
        <f>SUMIFS('LIQUIDAÇÃO 2025'!$K:$K,'LIQUIDAÇÃO 2025'!$B:$B,'MEDIÇÃO '!$A$128,'LIQUIDAÇÃO 2025'!$C:$C,'MEDIÇÃO '!$B$128,'LIQUIDAÇÃO 2025'!$H:$H,'MEDIÇÃO '!I$130,'LIQUIDAÇÃO 2025'!$F:$F,'MEDIÇÃO '!$A$134)</f>
        <v>113936.51</v>
      </c>
      <c r="J134" s="132">
        <f>SUMIFS('LIQUIDAÇÃO 2025'!$K:$K,'LIQUIDAÇÃO 2025'!$B:$B,'MEDIÇÃO '!$A$128,'LIQUIDAÇÃO 2025'!$C:$C,'MEDIÇÃO '!$B$128,'LIQUIDAÇÃO 2025'!$H:$H,'MEDIÇÃO '!J$130,'LIQUIDAÇÃO 2025'!$F:$F,'MEDIÇÃO '!$A$134)</f>
        <v>0</v>
      </c>
      <c r="K134" s="132">
        <f>SUMIFS('LIQUIDAÇÃO 2025'!$K:$K,'LIQUIDAÇÃO 2025'!$B:$B,'MEDIÇÃO '!$A$128,'LIQUIDAÇÃO 2025'!$C:$C,'MEDIÇÃO '!$B$128,'LIQUIDAÇÃO 2025'!$H:$H,'MEDIÇÃO '!K$130,'LIQUIDAÇÃO 2025'!$F:$F,'MEDIÇÃO '!$A$134)</f>
        <v>0</v>
      </c>
      <c r="L134" s="132">
        <f>SUMIFS('LIQUIDAÇÃO 2025'!$K:$K,'LIQUIDAÇÃO 2025'!$B:$B,'MEDIÇÃO '!$A$128,'LIQUIDAÇÃO 2025'!$C:$C,'MEDIÇÃO '!$B$128,'LIQUIDAÇÃO 2025'!$H:$H,'MEDIÇÃO '!L$130,'LIQUIDAÇÃO 2025'!$F:$F,'MEDIÇÃO '!$A$134)</f>
        <v>0</v>
      </c>
      <c r="M134" s="132">
        <f>SUMIFS('LIQUIDAÇÃO 2025'!$K:$K,'LIQUIDAÇÃO 2025'!$B:$B,'MEDIÇÃO '!$A$128,'LIQUIDAÇÃO 2025'!$C:$C,'MEDIÇÃO '!$B$128,'LIQUIDAÇÃO 2025'!$H:$H,'MEDIÇÃO '!M$130,'LIQUIDAÇÃO 2025'!$F:$F,'MEDIÇÃO '!$A$134)</f>
        <v>0</v>
      </c>
      <c r="N134" s="1067"/>
    </row>
    <row r="135" spans="1:18" ht="15" customHeight="1">
      <c r="A135" s="131" cm="1">
        <f t="array" ref="A135">IFERROR(INDEX(Tabela3[[CÓDIGO
 EMPRESA ]:[EMPENHO]],SMALL(IF(Tabela3[CÓDIGO
 EMPRESA ]='MEDIÇÃO '!$A$128,ROW(Tabela3[CÓDIGO
 EMPRESA ])-3),ROW(P4)),3),"")</f>
        <v>21795</v>
      </c>
      <c r="B135" s="132">
        <f>SUMIFS('LIQUIDAÇÃO 2025'!$K:$K,'LIQUIDAÇÃO 2025'!$B:$B,'MEDIÇÃO '!$A$128,'LIQUIDAÇÃO 2025'!$C:$C,'MEDIÇÃO '!$B$128,'LIQUIDAÇÃO 2025'!$H:$H,'MEDIÇÃO '!B$130,'LIQUIDAÇÃO 2025'!$F:$F,'MEDIÇÃO '!$A$135)</f>
        <v>0</v>
      </c>
      <c r="C135" s="132">
        <f>SUMIFS('LIQUIDAÇÃO 2025'!$K:$K,'LIQUIDAÇÃO 2025'!$B:$B,'MEDIÇÃO '!$A$128,'LIQUIDAÇÃO 2025'!$C:$C,'MEDIÇÃO '!$B$128,'LIQUIDAÇÃO 2025'!$H:$H,'MEDIÇÃO '!C$130,'LIQUIDAÇÃO 2025'!$F:$F,'MEDIÇÃO '!$A$135)</f>
        <v>0</v>
      </c>
      <c r="D135" s="132">
        <f>SUMIFS('LIQUIDAÇÃO 2025'!$K:$K,'LIQUIDAÇÃO 2025'!$B:$B,'MEDIÇÃO '!$A$128,'LIQUIDAÇÃO 2025'!$C:$C,'MEDIÇÃO '!$B$128,'LIQUIDAÇÃO 2025'!$H:$H,'MEDIÇÃO '!D$130,'LIQUIDAÇÃO 2025'!$F:$F,'MEDIÇÃO '!$A$135)</f>
        <v>0</v>
      </c>
      <c r="E135" s="132">
        <f>SUMIFS('LIQUIDAÇÃO 2025'!$K:$K,'LIQUIDAÇÃO 2025'!$B:$B,'MEDIÇÃO '!$A$128,'LIQUIDAÇÃO 2025'!$C:$C,'MEDIÇÃO '!$B$128,'LIQUIDAÇÃO 2025'!$H:$H,'MEDIÇÃO '!E$130,'LIQUIDAÇÃO 2025'!$F:$F,'MEDIÇÃO '!$A$135)</f>
        <v>0</v>
      </c>
      <c r="F135" s="132">
        <f>SUMIFS('LIQUIDAÇÃO 2025'!$K:$K,'LIQUIDAÇÃO 2025'!$B:$B,'MEDIÇÃO '!$A$128,'LIQUIDAÇÃO 2025'!$C:$C,'MEDIÇÃO '!$B$128,'LIQUIDAÇÃO 2025'!$H:$H,'MEDIÇÃO '!F$130,'LIQUIDAÇÃO 2025'!$F:$F,'MEDIÇÃO '!$A$135)</f>
        <v>0</v>
      </c>
      <c r="G135" s="132">
        <f>SUMIFS('LIQUIDAÇÃO 2025'!$K:$K,'LIQUIDAÇÃO 2025'!$B:$B,'MEDIÇÃO '!$A$128,'LIQUIDAÇÃO 2025'!$C:$C,'MEDIÇÃO '!$B$128,'LIQUIDAÇÃO 2025'!$H:$H,'MEDIÇÃO '!G$130,'LIQUIDAÇÃO 2025'!$F:$F,'MEDIÇÃO '!$A$135)</f>
        <v>0</v>
      </c>
      <c r="H135" s="132">
        <f>SUMIFS('LIQUIDAÇÃO 2025'!$K:$K,'LIQUIDAÇÃO 2025'!$B:$B,'MEDIÇÃO '!$A$128,'LIQUIDAÇÃO 2025'!$C:$C,'MEDIÇÃO '!$B$128,'LIQUIDAÇÃO 2025'!$H:$H,'MEDIÇÃO '!H$130,'LIQUIDAÇÃO 2025'!$F:$F,'MEDIÇÃO '!$A$135)</f>
        <v>0</v>
      </c>
      <c r="I135" s="132">
        <f>SUMIFS('LIQUIDAÇÃO 2025'!$K:$K,'LIQUIDAÇÃO 2025'!$B:$B,'MEDIÇÃO '!$A$128,'LIQUIDAÇÃO 2025'!$C:$C,'MEDIÇÃO '!$B$128,'LIQUIDAÇÃO 2025'!$H:$H,'MEDIÇÃO '!I$130,'LIQUIDAÇÃO 2025'!$F:$F,'MEDIÇÃO '!$A$135)</f>
        <v>97004.62</v>
      </c>
      <c r="J135" s="132">
        <f>SUMIFS('LIQUIDAÇÃO 2025'!$K:$K,'LIQUIDAÇÃO 2025'!$B:$B,'MEDIÇÃO '!$A$128,'LIQUIDAÇÃO 2025'!$C:$C,'MEDIÇÃO '!$B$128,'LIQUIDAÇÃO 2025'!$H:$H,'MEDIÇÃO '!J$130,'LIQUIDAÇÃO 2025'!$F:$F,'MEDIÇÃO '!$A$135)</f>
        <v>0</v>
      </c>
      <c r="K135" s="132">
        <f>SUMIFS('LIQUIDAÇÃO 2025'!$K:$K,'LIQUIDAÇÃO 2025'!$B:$B,'MEDIÇÃO '!$A$128,'LIQUIDAÇÃO 2025'!$C:$C,'MEDIÇÃO '!$B$128,'LIQUIDAÇÃO 2025'!$H:$H,'MEDIÇÃO '!K$130,'LIQUIDAÇÃO 2025'!$F:$F,'MEDIÇÃO '!$A$135)</f>
        <v>0</v>
      </c>
      <c r="L135" s="132">
        <f>SUMIFS('LIQUIDAÇÃO 2025'!$K:$K,'LIQUIDAÇÃO 2025'!$B:$B,'MEDIÇÃO '!$A$128,'LIQUIDAÇÃO 2025'!$C:$C,'MEDIÇÃO '!$B$128,'LIQUIDAÇÃO 2025'!$H:$H,'MEDIÇÃO '!L$130,'LIQUIDAÇÃO 2025'!$F:$F,'MEDIÇÃO '!$A$135)</f>
        <v>256599.89</v>
      </c>
      <c r="M135" s="132">
        <f>SUMIFS('LIQUIDAÇÃO 2025'!$K:$K,'LIQUIDAÇÃO 2025'!$B:$B,'MEDIÇÃO '!$A$128,'LIQUIDAÇÃO 2025'!$C:$C,'MEDIÇÃO '!$B$128,'LIQUIDAÇÃO 2025'!$H:$H,'MEDIÇÃO '!M$130,'LIQUIDAÇÃO 2025'!$F:$F,'MEDIÇÃO '!$A$135)</f>
        <v>0</v>
      </c>
      <c r="N135" s="1067"/>
    </row>
    <row r="136" spans="1:18" ht="15" customHeight="1" thickBot="1">
      <c r="A136" s="131" t="str" cm="1">
        <f t="array" ref="A136">IFERROR(INDEX(Tabela3[[CÓDIGO
 EMPRESA ]:[EMPENHO]],SMALL(IF(Tabela3[CÓDIGO
 EMPRESA ]='MEDIÇÃO '!$A$128,ROW(Tabela3[CÓDIGO
 EMPRESA ])-3),ROW(P5)),3),"")</f>
        <v/>
      </c>
      <c r="B136" s="132">
        <f>SUMIFS('LIQUIDAÇÃO 2025'!$K:$K,'LIQUIDAÇÃO 2025'!$B:$B,'MEDIÇÃO '!$A$128,'LIQUIDAÇÃO 2025'!$C:$C,'MEDIÇÃO '!$B$128,'LIQUIDAÇÃO 2025'!$H:$H,'MEDIÇÃO '!B$130,'LIQUIDAÇÃO 2025'!$F:$F,'MEDIÇÃO '!$A$136)</f>
        <v>0</v>
      </c>
      <c r="C136" s="132">
        <f>SUMIFS('LIQUIDAÇÃO 2025'!$K:$K,'LIQUIDAÇÃO 2025'!$B:$B,'MEDIÇÃO '!$A$128,'LIQUIDAÇÃO 2025'!$C:$C,'MEDIÇÃO '!$B$128,'LIQUIDAÇÃO 2025'!$H:$H,'MEDIÇÃO '!C$130,'LIQUIDAÇÃO 2025'!$F:$F,'MEDIÇÃO '!$A$136)</f>
        <v>0</v>
      </c>
      <c r="D136" s="132">
        <f>SUMIFS('LIQUIDAÇÃO 2025'!$K:$K,'LIQUIDAÇÃO 2025'!$B:$B,'MEDIÇÃO '!$A$128,'LIQUIDAÇÃO 2025'!$C:$C,'MEDIÇÃO '!$B$128,'LIQUIDAÇÃO 2025'!$H:$H,'MEDIÇÃO '!D$130,'LIQUIDAÇÃO 2025'!$F:$F,'MEDIÇÃO '!$A$136)</f>
        <v>0</v>
      </c>
      <c r="E136" s="132">
        <f>SUMIFS('LIQUIDAÇÃO 2025'!$K:$K,'LIQUIDAÇÃO 2025'!$B:$B,'MEDIÇÃO '!$A$128,'LIQUIDAÇÃO 2025'!$C:$C,'MEDIÇÃO '!$B$128,'LIQUIDAÇÃO 2025'!$H:$H,'MEDIÇÃO '!E$130,'LIQUIDAÇÃO 2025'!$F:$F,'MEDIÇÃO '!$A$136)</f>
        <v>0</v>
      </c>
      <c r="F136" s="132">
        <f>SUMIFS('LIQUIDAÇÃO 2025'!$K:$K,'LIQUIDAÇÃO 2025'!$B:$B,'MEDIÇÃO '!$A$128,'LIQUIDAÇÃO 2025'!$C:$C,'MEDIÇÃO '!$B$128,'LIQUIDAÇÃO 2025'!$H:$H,'MEDIÇÃO '!F$130,'LIQUIDAÇÃO 2025'!$F:$F,'MEDIÇÃO '!$A$136)</f>
        <v>0</v>
      </c>
      <c r="G136" s="132">
        <f>SUMIFS('LIQUIDAÇÃO 2025'!$K:$K,'LIQUIDAÇÃO 2025'!$B:$B,'MEDIÇÃO '!$A$128,'LIQUIDAÇÃO 2025'!$C:$C,'MEDIÇÃO '!$B$128,'LIQUIDAÇÃO 2025'!$H:$H,'MEDIÇÃO '!G$130,'LIQUIDAÇÃO 2025'!$F:$F,'MEDIÇÃO '!$A$136)</f>
        <v>0</v>
      </c>
      <c r="H136" s="132">
        <f>SUMIFS('LIQUIDAÇÃO 2025'!$K:$K,'LIQUIDAÇÃO 2025'!$B:$B,'MEDIÇÃO '!$A$128,'LIQUIDAÇÃO 2025'!$C:$C,'MEDIÇÃO '!$B$128,'LIQUIDAÇÃO 2025'!$H:$H,'MEDIÇÃO '!H$130,'LIQUIDAÇÃO 2025'!$F:$F,'MEDIÇÃO '!$A$136)</f>
        <v>0</v>
      </c>
      <c r="I136" s="132">
        <f>SUMIFS('LIQUIDAÇÃO 2025'!$K:$K,'LIQUIDAÇÃO 2025'!$B:$B,'MEDIÇÃO '!$A$128,'LIQUIDAÇÃO 2025'!$C:$C,'MEDIÇÃO '!$B$128,'LIQUIDAÇÃO 2025'!$H:$H,'MEDIÇÃO '!I$130,'LIQUIDAÇÃO 2025'!$F:$F,'MEDIÇÃO '!$A$136)</f>
        <v>0</v>
      </c>
      <c r="J136" s="132">
        <f>SUMIFS('LIQUIDAÇÃO 2025'!$K:$K,'LIQUIDAÇÃO 2025'!$B:$B,'MEDIÇÃO '!$A$128,'LIQUIDAÇÃO 2025'!$C:$C,'MEDIÇÃO '!$B$128,'LIQUIDAÇÃO 2025'!$H:$H,'MEDIÇÃO '!J$130,'LIQUIDAÇÃO 2025'!$F:$F,'MEDIÇÃO '!$A$136)</f>
        <v>0</v>
      </c>
      <c r="K136" s="132">
        <f>SUMIFS('LIQUIDAÇÃO 2025'!$K:$K,'LIQUIDAÇÃO 2025'!$B:$B,'MEDIÇÃO '!$A$128,'LIQUIDAÇÃO 2025'!$C:$C,'MEDIÇÃO '!$B$128,'LIQUIDAÇÃO 2025'!$H:$H,'MEDIÇÃO '!K$130,'LIQUIDAÇÃO 2025'!$F:$F,'MEDIÇÃO '!$A$136)</f>
        <v>0</v>
      </c>
      <c r="L136" s="132">
        <f>SUMIFS('LIQUIDAÇÃO 2025'!$K:$K,'LIQUIDAÇÃO 2025'!$B:$B,'MEDIÇÃO '!$A$128,'LIQUIDAÇÃO 2025'!$C:$C,'MEDIÇÃO '!$B$128,'LIQUIDAÇÃO 2025'!$H:$H,'MEDIÇÃO '!L$130,'LIQUIDAÇÃO 2025'!$F:$F,'MEDIÇÃO '!$A$136)</f>
        <v>0</v>
      </c>
      <c r="M136" s="132">
        <f>SUMIFS('LIQUIDAÇÃO 2025'!$K:$K,'LIQUIDAÇÃO 2025'!$B:$B,'MEDIÇÃO '!$A$128,'LIQUIDAÇÃO 2025'!$C:$C,'MEDIÇÃO '!$B$128,'LIQUIDAÇÃO 2025'!$H:$H,'MEDIÇÃO '!M$130,'LIQUIDAÇÃO 2025'!$F:$F,'MEDIÇÃO '!$A$136)</f>
        <v>0</v>
      </c>
      <c r="N136" s="1067"/>
    </row>
    <row r="137" spans="1:18" ht="16.5" thickBot="1">
      <c r="A137" s="214" t="s">
        <v>38</v>
      </c>
      <c r="B137" s="215">
        <v>0</v>
      </c>
      <c r="C137" s="215">
        <v>0</v>
      </c>
      <c r="D137" s="215">
        <v>0</v>
      </c>
      <c r="E137" s="215">
        <v>0</v>
      </c>
      <c r="F137" s="215">
        <v>0</v>
      </c>
      <c r="G137" s="215">
        <v>0</v>
      </c>
      <c r="H137" s="215">
        <v>0</v>
      </c>
      <c r="I137" s="215">
        <v>0</v>
      </c>
      <c r="J137" s="215">
        <v>0</v>
      </c>
      <c r="K137" s="215">
        <v>0</v>
      </c>
      <c r="L137" s="215">
        <v>0</v>
      </c>
      <c r="M137" s="215">
        <v>0</v>
      </c>
      <c r="N137" s="1068"/>
    </row>
    <row r="138" spans="1:18" ht="15.75">
      <c r="A138" s="212" t="s">
        <v>127</v>
      </c>
      <c r="B138" s="216">
        <f>IF(SUM(B132:B136)&lt;&gt;0,B131-B137-SUM(B132:B136),(B131-SUM(B132:B136)-B137))</f>
        <v>0</v>
      </c>
      <c r="C138" s="216">
        <f t="shared" ref="C138" si="87">IF(SUM(C132:C136)&lt;&gt;0,C131-C137-SUM(C132:C136),(C131-SUM(C132:C136)-C137))</f>
        <v>836993.67</v>
      </c>
      <c r="D138" s="216">
        <f t="shared" ref="D138" si="88">IF(SUM(D132:D136)&lt;&gt;0,D131-D137-SUM(D132:D136),(D131-SUM(D132:D136)-D137))</f>
        <v>350000</v>
      </c>
      <c r="E138" s="216">
        <f t="shared" ref="E138" si="89">IF(SUM(E132:E136)&lt;&gt;0,E131-E137-SUM(E132:E136),(E131-SUM(E132:E136)-E137))</f>
        <v>0</v>
      </c>
      <c r="F138" s="216">
        <f t="shared" ref="F138" si="90">IF(SUM(F132:F136)&lt;&gt;0,F131-F137-SUM(F132:F136),(F131-SUM(F132:F136)-F137))</f>
        <v>0</v>
      </c>
      <c r="G138" s="216">
        <f>IF(SUM(G132:G136)&lt;&gt;0,G131-G137-SUM(G132:G136),(G131-SUM(G132:G136)-G137))</f>
        <v>0</v>
      </c>
      <c r="H138" s="216">
        <f t="shared" ref="H138" si="91">IF(SUM(H132:H136)&lt;&gt;0,H131-H137-SUM(H132:H136),(H131-SUM(H132:H136)-H137))</f>
        <v>-295155.37</v>
      </c>
      <c r="I138" s="216">
        <f t="shared" ref="I138" si="92">IF(SUM(I132:I136)&lt;&gt;0,I131-I137-SUM(I132:I136),(I131-SUM(I132:I136)-I137))</f>
        <v>-210941.13</v>
      </c>
      <c r="J138" s="216">
        <f t="shared" ref="J138" si="93">IF(SUM(J132:J136)&lt;&gt;0,J131-J137-SUM(J132:J136),(J131-SUM(J132:J136)-J137))</f>
        <v>0</v>
      </c>
      <c r="K138" s="216">
        <f t="shared" ref="K138" si="94">IF(SUM(K132:K136)&lt;&gt;0,K131-K137-SUM(K132:K136),(K131-SUM(K132:K136)-K137))</f>
        <v>0</v>
      </c>
      <c r="L138" s="216">
        <f t="shared" ref="L138" si="95">IF(SUM(L132:L136)&lt;&gt;0,L131-L137-SUM(L132:L136),(L131-SUM(L132:L136)-L137))</f>
        <v>-256599.89</v>
      </c>
      <c r="M138" s="216">
        <f t="shared" ref="M138" si="96">IF(SUM(M132:M136)&lt;&gt;0,M131-M137-SUM(M132:M136),(M131-SUM(M132:M136)-M137))</f>
        <v>0</v>
      </c>
      <c r="N138" s="213">
        <f>SUM(B131:M131)-SUM(B132:M136)-SUM(B137:M137)</f>
        <v>424297.28</v>
      </c>
    </row>
    <row r="139" spans="1:18">
      <c r="Q139" s="11"/>
    </row>
    <row r="140" spans="1:18" ht="15.75" customHeight="1">
      <c r="A140" s="123" t="s">
        <v>125</v>
      </c>
      <c r="B140" s="118" t="s">
        <v>457</v>
      </c>
      <c r="C140" s="115"/>
      <c r="D140" s="115"/>
      <c r="E140" s="115"/>
      <c r="F140" s="91" t="s">
        <v>116</v>
      </c>
      <c r="G140" s="92" t="s">
        <v>117</v>
      </c>
      <c r="H140" s="1062" t="s">
        <v>113</v>
      </c>
      <c r="I140" s="1062"/>
      <c r="J140" s="1062" t="s">
        <v>114</v>
      </c>
      <c r="K140" s="1062"/>
      <c r="L140" s="1062" t="s">
        <v>118</v>
      </c>
      <c r="M140" s="1062"/>
      <c r="N140" s="92" t="s">
        <v>115</v>
      </c>
    </row>
    <row r="141" spans="1:18" ht="18.75" customHeight="1">
      <c r="A141" s="121"/>
      <c r="B141" s="121"/>
      <c r="C141" s="121"/>
      <c r="D141" s="121"/>
      <c r="E141" s="121"/>
      <c r="F141" s="97" t="str">
        <f>VALIDAÇÕES!C19</f>
        <v>41350/2022</v>
      </c>
      <c r="G141" s="97" t="str">
        <f>VALIDAÇÕES!D19</f>
        <v>29601/2023 - DLC</v>
      </c>
      <c r="H141" s="1061">
        <f>VALIDAÇÕES!G19</f>
        <v>7241728.71</v>
      </c>
      <c r="I141" s="1061"/>
      <c r="J141" s="1061">
        <f>VALIDAÇÕES!H19</f>
        <v>5366137.37</v>
      </c>
      <c r="K141" s="1061"/>
      <c r="L141" s="1063">
        <f>VALIDAÇÕES!E19</f>
        <v>45208</v>
      </c>
      <c r="M141" s="1063"/>
      <c r="N141" s="202">
        <f>VALIDAÇÕES!F19</f>
        <v>45452</v>
      </c>
    </row>
    <row r="142" spans="1:18" ht="15.75" customHeight="1">
      <c r="A142" s="1060" t="s">
        <v>7</v>
      </c>
      <c r="B142" s="89" t="s">
        <v>44</v>
      </c>
      <c r="C142" s="89" t="s">
        <v>43</v>
      </c>
      <c r="D142" s="89" t="s">
        <v>45</v>
      </c>
      <c r="E142" s="89" t="s">
        <v>46</v>
      </c>
      <c r="F142" s="89" t="s">
        <v>47</v>
      </c>
      <c r="G142" s="89" t="s">
        <v>48</v>
      </c>
      <c r="H142" s="89" t="s">
        <v>49</v>
      </c>
      <c r="I142" s="89" t="s">
        <v>50</v>
      </c>
      <c r="J142" s="89" t="s">
        <v>51</v>
      </c>
      <c r="K142" s="89" t="s">
        <v>52</v>
      </c>
      <c r="L142" s="89" t="s">
        <v>53</v>
      </c>
      <c r="M142" s="89" t="s">
        <v>54</v>
      </c>
      <c r="N142" s="1066" t="s">
        <v>112</v>
      </c>
    </row>
    <row r="143" spans="1:18" ht="15" customHeight="1">
      <c r="A143" s="1060"/>
      <c r="B143" s="100"/>
      <c r="C143" s="100"/>
      <c r="D143" s="100">
        <v>897454.21</v>
      </c>
      <c r="E143" s="100">
        <v>350000</v>
      </c>
      <c r="F143" s="100"/>
      <c r="G143" s="100"/>
      <c r="H143" s="100"/>
      <c r="I143" s="100"/>
      <c r="J143" s="100"/>
      <c r="K143" s="100"/>
      <c r="L143" s="100"/>
      <c r="M143" s="100"/>
      <c r="N143" s="1067"/>
    </row>
    <row r="144" spans="1:18" ht="15" customHeight="1">
      <c r="A144" s="131" cm="1">
        <f t="array" ref="A144">IFERROR(INDEX(Tabela3[[CÓDIGO
 EMPRESA ]:[EMPENHO]],SMALL(IF(Tabela3[CÓDIGO
 EMPRESA ]='MEDIÇÃO '!$A$140,ROW(Tabela3[CÓDIGO
 EMPRESA ])-3),ROW(P1)),3),"")</f>
        <v>3674</v>
      </c>
      <c r="B144" s="132">
        <f>SUMIFS('LIQUIDAÇÃO 2025'!$K:$K,'LIQUIDAÇÃO 2025'!$B:$B,'MEDIÇÃO '!$A$140,'LIQUIDAÇÃO 2025'!$C:$C,'MEDIÇÃO '!$B$140,'LIQUIDAÇÃO 2025'!$H:$H,'MEDIÇÃO '!B$142,'LIQUIDAÇÃO 2025'!$F:$F,'MEDIÇÃO '!$A$144)</f>
        <v>0</v>
      </c>
      <c r="C144" s="132">
        <f>SUMIFS('LIQUIDAÇÃO 2025'!$K:$K,'LIQUIDAÇÃO 2025'!$B:$B,'MEDIÇÃO '!$A$140,'LIQUIDAÇÃO 2025'!$C:$C,'MEDIÇÃO '!$B$140,'LIQUIDAÇÃO 2025'!$H:$H,'MEDIÇÃO '!C$142,'LIQUIDAÇÃO 2025'!$F:$F,'MEDIÇÃO '!$A$144)</f>
        <v>0</v>
      </c>
      <c r="D144" s="132">
        <f>SUMIFS('LIQUIDAÇÃO 2025'!$K:$K,'LIQUIDAÇÃO 2025'!$B:$B,'MEDIÇÃO '!$A$140,'LIQUIDAÇÃO 2025'!$C:$C,'MEDIÇÃO '!$B$140,'LIQUIDAÇÃO 2025'!$H:$H,'MEDIÇÃO '!D$142,'LIQUIDAÇÃO 2025'!$F:$F,'MEDIÇÃO '!$A$144)</f>
        <v>45000.62</v>
      </c>
      <c r="E144" s="132">
        <f>SUMIFS('LIQUIDAÇÃO 2025'!$K:$K,'LIQUIDAÇÃO 2025'!$B:$B,'MEDIÇÃO '!$A$140,'LIQUIDAÇÃO 2025'!$C:$C,'MEDIÇÃO '!$B$140,'LIQUIDAÇÃO 2025'!$H:$H,'MEDIÇÃO '!E$142,'LIQUIDAÇÃO 2025'!$F:$F,'MEDIÇÃO '!$A$144)</f>
        <v>405051.32</v>
      </c>
      <c r="F144" s="132">
        <f>SUMIFS('LIQUIDAÇÃO 2025'!$K:$K,'LIQUIDAÇÃO 2025'!$B:$B,'MEDIÇÃO '!$A$140,'LIQUIDAÇÃO 2025'!$C:$C,'MEDIÇÃO '!$B$140,'LIQUIDAÇÃO 2025'!$H:$H,'MEDIÇÃO '!F$142,'LIQUIDAÇÃO 2025'!$F:$F,'MEDIÇÃO '!$A$144)</f>
        <v>0</v>
      </c>
      <c r="G144" s="132">
        <f>SUMIFS('LIQUIDAÇÃO 2025'!$K:$K,'LIQUIDAÇÃO 2025'!$B:$B,'MEDIÇÃO '!$A$140,'LIQUIDAÇÃO 2025'!$C:$C,'MEDIÇÃO '!$B$140,'LIQUIDAÇÃO 2025'!$H:$H,'MEDIÇÃO '!G$142,'LIQUIDAÇÃO 2025'!$F:$F,'MEDIÇÃO '!$A$144)</f>
        <v>0</v>
      </c>
      <c r="H144" s="132">
        <f>SUMIFS('LIQUIDAÇÃO 2025'!$K:$K,'LIQUIDAÇÃO 2025'!$B:$B,'MEDIÇÃO '!$A$140,'LIQUIDAÇÃO 2025'!$C:$C,'MEDIÇÃO '!$B$140,'LIQUIDAÇÃO 2025'!$H:$H,'MEDIÇÃO '!H$142,'LIQUIDAÇÃO 2025'!$F:$F,'MEDIÇÃO '!$A$144)</f>
        <v>276565.15000000002</v>
      </c>
      <c r="I144" s="132">
        <f>SUMIFS('LIQUIDAÇÃO 2025'!$K:$K,'LIQUIDAÇÃO 2025'!$B:$B,'MEDIÇÃO '!$A$140,'LIQUIDAÇÃO 2025'!$C:$C,'MEDIÇÃO '!$B$140,'LIQUIDAÇÃO 2025'!$H:$H,'MEDIÇÃO '!I$142,'LIQUIDAÇÃO 2025'!$F:$F,'MEDIÇÃO '!$A$144)</f>
        <v>0</v>
      </c>
      <c r="J144" s="132">
        <f>SUMIFS('LIQUIDAÇÃO 2025'!$K:$K,'LIQUIDAÇÃO 2025'!$B:$B,'MEDIÇÃO '!$A$140,'LIQUIDAÇÃO 2025'!$C:$C,'MEDIÇÃO '!$B$140,'LIQUIDAÇÃO 2025'!$H:$H,'MEDIÇÃO '!J$142,'LIQUIDAÇÃO 2025'!$F:$F,'MEDIÇÃO '!$A$144)</f>
        <v>0</v>
      </c>
      <c r="K144" s="132">
        <f>SUMIFS('LIQUIDAÇÃO 2025'!$K:$K,'LIQUIDAÇÃO 2025'!$B:$B,'MEDIÇÃO '!$A$140,'LIQUIDAÇÃO 2025'!$C:$C,'MEDIÇÃO '!$B$140,'LIQUIDAÇÃO 2025'!$H:$H,'MEDIÇÃO '!K$142,'LIQUIDAÇÃO 2025'!$F:$F,'MEDIÇÃO '!$A$144)</f>
        <v>0</v>
      </c>
      <c r="L144" s="132">
        <f>SUMIFS('LIQUIDAÇÃO 2025'!$K:$K,'LIQUIDAÇÃO 2025'!$B:$B,'MEDIÇÃO '!$A$140,'LIQUIDAÇÃO 2025'!$C:$C,'MEDIÇÃO '!$B$140,'LIQUIDAÇÃO 2025'!$H:$H,'MEDIÇÃO '!L$142,'LIQUIDAÇÃO 2025'!$F:$F,'MEDIÇÃO '!$A$144)</f>
        <v>0</v>
      </c>
      <c r="M144" s="132">
        <f>SUMIFS('LIQUIDAÇÃO 2025'!$K:$K,'LIQUIDAÇÃO 2025'!$B:$B,'MEDIÇÃO '!$A$140,'LIQUIDAÇÃO 2025'!$C:$C,'MEDIÇÃO '!$B$140,'LIQUIDAÇÃO 2025'!$H:$H,'MEDIÇÃO '!M$142,'LIQUIDAÇÃO 2025'!$F:$F,'MEDIÇÃO '!$A$144)</f>
        <v>0</v>
      </c>
      <c r="N144" s="1067"/>
      <c r="R144" s="11"/>
    </row>
    <row r="145" spans="1:17" ht="15" customHeight="1">
      <c r="A145" s="131" cm="1">
        <f t="array" ref="A145">IFERROR(INDEX(Tabela3[[CÓDIGO
 EMPRESA ]:[EMPENHO]],SMALL(IF(Tabela3[CÓDIGO
 EMPRESA ]='MEDIÇÃO '!$A$140,ROW(Tabela3[CÓDIGO
 EMPRESA ])-3),ROW(P2)),3),"")</f>
        <v>3752</v>
      </c>
      <c r="B145" s="132">
        <f>SUMIFS('LIQUIDAÇÃO 2025'!$K:$K,'LIQUIDAÇÃO 2025'!$B:$B,'MEDIÇÃO '!$A$140,'LIQUIDAÇÃO 2025'!$C:$C,'MEDIÇÃO '!$B$140,'LIQUIDAÇÃO 2025'!$H:$H,'MEDIÇÃO '!B$142,'LIQUIDAÇÃO 2025'!$F:$F,'MEDIÇÃO '!$A$145)</f>
        <v>0</v>
      </c>
      <c r="C145" s="132">
        <f>SUMIFS('LIQUIDAÇÃO 2025'!$K:$K,'LIQUIDAÇÃO 2025'!$B:$B,'MEDIÇÃO '!$A$140,'LIQUIDAÇÃO 2025'!$C:$C,'MEDIÇÃO '!$B$140,'LIQUIDAÇÃO 2025'!$H:$H,'MEDIÇÃO '!C$142,'LIQUIDAÇÃO 2025'!$F:$F,'MEDIÇÃO '!$A$144)</f>
        <v>0</v>
      </c>
      <c r="D145" s="132">
        <f>SUMIFS('LIQUIDAÇÃO 2025'!$K:$K,'LIQUIDAÇÃO 2025'!$B:$B,'MEDIÇÃO '!$A$140,'LIQUIDAÇÃO 2025'!$C:$C,'MEDIÇÃO '!$B$140,'LIQUIDAÇÃO 2025'!$H:$H,'MEDIÇÃO '!D$142,'LIQUIDAÇÃO 2025'!$F:$F,'MEDIÇÃO '!$A$145)</f>
        <v>350000</v>
      </c>
      <c r="E145" s="132">
        <f>SUMIFS('LIQUIDAÇÃO 2025'!$K:$K,'LIQUIDAÇÃO 2025'!$B:$B,'MEDIÇÃO '!$A$140,'LIQUIDAÇÃO 2025'!$C:$C,'MEDIÇÃO '!$B$140,'LIQUIDAÇÃO 2025'!$H:$H,'MEDIÇÃO '!E$142,'LIQUIDAÇÃO 2025'!$F:$F,'MEDIÇÃO '!$A$145)</f>
        <v>0</v>
      </c>
      <c r="F145" s="132">
        <f>SUMIFS('LIQUIDAÇÃO 2025'!$K:$K,'LIQUIDAÇÃO 2025'!$B:$B,'MEDIÇÃO '!$A$140,'LIQUIDAÇÃO 2025'!$C:$C,'MEDIÇÃO '!$B$140,'LIQUIDAÇÃO 2025'!$H:$H,'MEDIÇÃO '!F$142,'LIQUIDAÇÃO 2025'!$F:$F,'MEDIÇÃO '!$A$145)</f>
        <v>0</v>
      </c>
      <c r="G145" s="132">
        <f>SUMIFS('LIQUIDAÇÃO 2025'!$K:$K,'LIQUIDAÇÃO 2025'!$B:$B,'MEDIÇÃO '!$A$140,'LIQUIDAÇÃO 2025'!$C:$C,'MEDIÇÃO '!$B$140,'LIQUIDAÇÃO 2025'!$H:$H,'MEDIÇÃO '!G$142,'LIQUIDAÇÃO 2025'!$F:$F,'MEDIÇÃO '!$A$145)</f>
        <v>0</v>
      </c>
      <c r="H145" s="132">
        <f>SUMIFS('LIQUIDAÇÃO 2025'!$K:$K,'LIQUIDAÇÃO 2025'!$B:$B,'MEDIÇÃO '!$A$140,'LIQUIDAÇÃO 2025'!$C:$C,'MEDIÇÃO '!$B$140,'LIQUIDAÇÃO 2025'!$H:$H,'MEDIÇÃO '!H$142,'LIQUIDAÇÃO 2025'!$F:$F,'MEDIÇÃO '!$A$145)</f>
        <v>0</v>
      </c>
      <c r="I145" s="132">
        <f>SUMIFS('LIQUIDAÇÃO 2025'!$K:$K,'LIQUIDAÇÃO 2025'!$B:$B,'MEDIÇÃO '!$A$140,'LIQUIDAÇÃO 2025'!$C:$C,'MEDIÇÃO '!$B$140,'LIQUIDAÇÃO 2025'!$H:$H,'MEDIÇÃO '!I$142,'LIQUIDAÇÃO 2025'!$F:$F,'MEDIÇÃO '!$A$145)</f>
        <v>0</v>
      </c>
      <c r="J145" s="132">
        <f>SUMIFS('LIQUIDAÇÃO 2025'!$K:$K,'LIQUIDAÇÃO 2025'!$B:$B,'MEDIÇÃO '!$A$140,'LIQUIDAÇÃO 2025'!$C:$C,'MEDIÇÃO '!$B$140,'LIQUIDAÇÃO 2025'!$H:$H,'MEDIÇÃO '!J$142,'LIQUIDAÇÃO 2025'!$F:$F,'MEDIÇÃO '!$A$145)</f>
        <v>0</v>
      </c>
      <c r="K145" s="132">
        <f>SUMIFS('LIQUIDAÇÃO 2025'!$K:$K,'LIQUIDAÇÃO 2025'!$B:$B,'MEDIÇÃO '!$A$140,'LIQUIDAÇÃO 2025'!$C:$C,'MEDIÇÃO '!$B$140,'LIQUIDAÇÃO 2025'!$H:$H,'MEDIÇÃO '!K$142,'LIQUIDAÇÃO 2025'!$F:$F,'MEDIÇÃO '!$A$145)</f>
        <v>0</v>
      </c>
      <c r="L145" s="132">
        <f>SUMIFS('LIQUIDAÇÃO 2025'!$K:$K,'LIQUIDAÇÃO 2025'!$B:$B,'MEDIÇÃO '!$A$140,'LIQUIDAÇÃO 2025'!$C:$C,'MEDIÇÃO '!$B$140,'LIQUIDAÇÃO 2025'!$H:$H,'MEDIÇÃO '!L$142,'LIQUIDAÇÃO 2025'!$F:$F,'MEDIÇÃO '!$A$145)</f>
        <v>0</v>
      </c>
      <c r="M145" s="132">
        <f>SUMIFS('LIQUIDAÇÃO 2025'!$K:$K,'LIQUIDAÇÃO 2025'!$B:$B,'MEDIÇÃO '!$A$140,'LIQUIDAÇÃO 2025'!$C:$C,'MEDIÇÃO '!$B$140,'LIQUIDAÇÃO 2025'!$H:$H,'MEDIÇÃO '!M$142,'LIQUIDAÇÃO 2025'!$F:$F,'MEDIÇÃO '!$A$145)</f>
        <v>0</v>
      </c>
      <c r="N145" s="1067"/>
    </row>
    <row r="146" spans="1:17" ht="15" customHeight="1">
      <c r="A146" s="131" cm="1">
        <f t="array" ref="A146">IFERROR(INDEX(Tabela3[[CÓDIGO
 EMPRESA ]:[EMPENHO]],SMALL(IF(Tabela3[CÓDIGO
 EMPRESA ]='MEDIÇÃO '!$A$140,ROW(Tabela3[CÓDIGO
 EMPRESA ])-3),ROW(P3)),3),"")</f>
        <v>21778</v>
      </c>
      <c r="B146" s="132">
        <f>SUMIFS('LIQUIDAÇÃO 2025'!$K:$K,'LIQUIDAÇÃO 2025'!$B:$B,'MEDIÇÃO '!$A$140,'LIQUIDAÇÃO 2025'!$C:$C,'MEDIÇÃO '!$B$140,'LIQUIDAÇÃO 2025'!$H:$H,'MEDIÇÃO '!B$142,'LIQUIDAÇÃO 2025'!$F:$F,'MEDIÇÃO '!$A$146)</f>
        <v>0</v>
      </c>
      <c r="C146" s="132">
        <f>SUMIFS('LIQUIDAÇÃO 2025'!$K:$K,'LIQUIDAÇÃO 2025'!$B:$B,'MEDIÇÃO '!$A$140,'LIQUIDAÇÃO 2025'!$C:$C,'MEDIÇÃO '!$B$140,'LIQUIDAÇÃO 2025'!$H:$H,'MEDIÇÃO '!C$142,'LIQUIDAÇÃO 2025'!$F:$F,'MEDIÇÃO '!$A$146)</f>
        <v>0</v>
      </c>
      <c r="D146" s="132">
        <f>SUMIFS('LIQUIDAÇÃO 2025'!$K:$K,'LIQUIDAÇÃO 2025'!$B:$B,'MEDIÇÃO '!$A$140,'LIQUIDAÇÃO 2025'!$C:$C,'MEDIÇÃO '!$B$140,'LIQUIDAÇÃO 2025'!$H:$H,'MEDIÇÃO '!D$142,'LIQUIDAÇÃO 2025'!$F:$F,'MEDIÇÃO '!$A$146)</f>
        <v>0</v>
      </c>
      <c r="E146" s="132">
        <f>SUMIFS('LIQUIDAÇÃO 2025'!$K:$K,'LIQUIDAÇÃO 2025'!$B:$B,'MEDIÇÃO '!$A$140,'LIQUIDAÇÃO 2025'!$C:$C,'MEDIÇÃO '!$B$140,'LIQUIDAÇÃO 2025'!$H:$H,'MEDIÇÃO '!E$142,'LIQUIDAÇÃO 2025'!$F:$F,'MEDIÇÃO '!$A$146)</f>
        <v>0</v>
      </c>
      <c r="F146" s="132">
        <f>SUMIFS('LIQUIDAÇÃO 2025'!$K:$K,'LIQUIDAÇÃO 2025'!$B:$B,'MEDIÇÃO '!$A$140,'LIQUIDAÇÃO 2025'!$C:$C,'MEDIÇÃO '!$B$140,'LIQUIDAÇÃO 2025'!$H:$H,'MEDIÇÃO '!F$142,'LIQUIDAÇÃO 2025'!$F:$F,'MEDIÇÃO '!$A$146)</f>
        <v>0</v>
      </c>
      <c r="G146" s="132">
        <f>SUMIFS('LIQUIDAÇÃO 2025'!$K:$K,'LIQUIDAÇÃO 2025'!$B:$B,'MEDIÇÃO '!$A$140,'LIQUIDAÇÃO 2025'!$C:$C,'MEDIÇÃO '!$B$140,'LIQUIDAÇÃO 2025'!$H:$H,'MEDIÇÃO '!G$142,'LIQUIDAÇÃO 2025'!$F:$F,'MEDIÇÃO '!$A$146)</f>
        <v>0</v>
      </c>
      <c r="H146" s="132">
        <f>SUMIFS('LIQUIDAÇÃO 2025'!$K:$K,'LIQUIDAÇÃO 2025'!$B:$B,'MEDIÇÃO '!$A$140,'LIQUIDAÇÃO 2025'!$C:$C,'MEDIÇÃO '!$B$140,'LIQUIDAÇÃO 2025'!$H:$H,'MEDIÇÃO '!H$142,'LIQUIDAÇÃO 2025'!$F:$F,'MEDIÇÃO '!$A$146)</f>
        <v>0</v>
      </c>
      <c r="I146" s="132">
        <f>SUMIFS('LIQUIDAÇÃO 2025'!$K:$K,'LIQUIDAÇÃO 2025'!$B:$B,'MEDIÇÃO '!$A$140,'LIQUIDAÇÃO 2025'!$C:$C,'MEDIÇÃO '!$B$140,'LIQUIDAÇÃO 2025'!$H:$H,'MEDIÇÃO '!I$142,'LIQUIDAÇÃO 2025'!$F:$F,'MEDIÇÃO '!$A$146)</f>
        <v>168024.93</v>
      </c>
      <c r="J146" s="132">
        <f>SUMIFS('LIQUIDAÇÃO 2025'!$K:$K,'LIQUIDAÇÃO 2025'!$B:$B,'MEDIÇÃO '!$A$140,'LIQUIDAÇÃO 2025'!$C:$C,'MEDIÇÃO '!$B$140,'LIQUIDAÇÃO 2025'!$H:$H,'MEDIÇÃO '!J$142,'LIQUIDAÇÃO 2025'!$F:$F,'MEDIÇÃO '!$A$146)</f>
        <v>0</v>
      </c>
      <c r="K146" s="132">
        <f>SUMIFS('LIQUIDAÇÃO 2025'!$K:$K,'LIQUIDAÇÃO 2025'!$B:$B,'MEDIÇÃO '!$A$140,'LIQUIDAÇÃO 2025'!$C:$C,'MEDIÇÃO '!$B$140,'LIQUIDAÇÃO 2025'!$H:$H,'MEDIÇÃO '!K$142,'LIQUIDAÇÃO 2025'!$F:$F,'MEDIÇÃO '!$A$146)</f>
        <v>0</v>
      </c>
      <c r="L146" s="132">
        <f>SUMIFS('LIQUIDAÇÃO 2025'!$K:$K,'LIQUIDAÇÃO 2025'!$B:$B,'MEDIÇÃO '!$A$140,'LIQUIDAÇÃO 2025'!$C:$C,'MEDIÇÃO '!$B$140,'LIQUIDAÇÃO 2025'!$H:$H,'MEDIÇÃO '!L$142,'LIQUIDAÇÃO 2025'!$F:$F,'MEDIÇÃO '!$A$146)</f>
        <v>0</v>
      </c>
      <c r="M146" s="132">
        <f>SUMIFS('LIQUIDAÇÃO 2025'!$K:$K,'LIQUIDAÇÃO 2025'!$B:$B,'MEDIÇÃO '!$A$140,'LIQUIDAÇÃO 2025'!$C:$C,'MEDIÇÃO '!$B$140,'LIQUIDAÇÃO 2025'!$H:$H,'MEDIÇÃO '!M$142,'LIQUIDAÇÃO 2025'!$F:$F,'MEDIÇÃO '!$A$146)</f>
        <v>0</v>
      </c>
      <c r="N146" s="1067"/>
      <c r="Q146" s="660"/>
    </row>
    <row r="147" spans="1:17" ht="15" customHeight="1">
      <c r="A147" s="131" cm="1">
        <f t="array" ref="A147">IFERROR(INDEX(Tabela3[[CÓDIGO
 EMPRESA ]:[EMPENHO]],SMALL(IF(Tabela3[CÓDIGO
 EMPRESA ]='MEDIÇÃO '!$A$140,ROW(Tabela3[CÓDIGO
 EMPRESA ])-3),ROW(P4)),3),"")</f>
        <v>21784</v>
      </c>
      <c r="B147" s="132">
        <f>SUMIFS('LIQUIDAÇÃO 2025'!$K:$K,'LIQUIDAÇÃO 2025'!$B:$B,'MEDIÇÃO '!$A$140,'LIQUIDAÇÃO 2025'!$C:$C,'MEDIÇÃO '!$B$140,'LIQUIDAÇÃO 2025'!$H:$H,'MEDIÇÃO '!B$142,'LIQUIDAÇÃO 2025'!$F:$F,'MEDIÇÃO '!$A$147)</f>
        <v>0</v>
      </c>
      <c r="C147" s="132">
        <f>SUMIFS('LIQUIDAÇÃO 2025'!$K:$K,'LIQUIDAÇÃO 2025'!$B:$B,'MEDIÇÃO '!$A$140,'LIQUIDAÇÃO 2025'!$C:$C,'MEDIÇÃO '!$B$140,'LIQUIDAÇÃO 2025'!$H:$H,'MEDIÇÃO '!C$142,'LIQUIDAÇÃO 2025'!$F:$F,'MEDIÇÃO '!$A$147)</f>
        <v>0</v>
      </c>
      <c r="D147" s="132">
        <f>SUMIFS('LIQUIDAÇÃO 2025'!$K:$K,'LIQUIDAÇÃO 2025'!$B:$B,'MEDIÇÃO '!$A$140,'LIQUIDAÇÃO 2025'!$C:$C,'MEDIÇÃO '!$B$140,'LIQUIDAÇÃO 2025'!$H:$H,'MEDIÇÃO '!D$142,'LIQUIDAÇÃO 2025'!$F:$F,'MEDIÇÃO '!$A$147)</f>
        <v>0</v>
      </c>
      <c r="E147" s="132">
        <f>SUMIFS('LIQUIDAÇÃO 2025'!$K:$K,'LIQUIDAÇÃO 2025'!$B:$B,'MEDIÇÃO '!$A$140,'LIQUIDAÇÃO 2025'!$C:$C,'MEDIÇÃO '!$B$140,'LIQUIDAÇÃO 2025'!$H:$H,'MEDIÇÃO '!E$142,'LIQUIDAÇÃO 2025'!$F:$F,'MEDIÇÃO '!$A$147)</f>
        <v>0</v>
      </c>
      <c r="F147" s="132">
        <f>SUMIFS('LIQUIDAÇÃO 2025'!$K:$K,'LIQUIDAÇÃO 2025'!$B:$B,'MEDIÇÃO '!$A$140,'LIQUIDAÇÃO 2025'!$C:$C,'MEDIÇÃO '!$B$140,'LIQUIDAÇÃO 2025'!$H:$H,'MEDIÇÃO '!F$142,'LIQUIDAÇÃO 2025'!$F:$F,'MEDIÇÃO '!$A$147)</f>
        <v>0</v>
      </c>
      <c r="G147" s="132">
        <f>SUMIFS('LIQUIDAÇÃO 2025'!$K:$K,'LIQUIDAÇÃO 2025'!$B:$B,'MEDIÇÃO '!$A$140,'LIQUIDAÇÃO 2025'!$C:$C,'MEDIÇÃO '!$B$140,'LIQUIDAÇÃO 2025'!$H:$H,'MEDIÇÃO '!G$142,'LIQUIDAÇÃO 2025'!$F:$F,'MEDIÇÃO '!$A$147)</f>
        <v>0</v>
      </c>
      <c r="H147" s="132">
        <f>SUMIFS('LIQUIDAÇÃO 2025'!$K:$K,'LIQUIDAÇÃO 2025'!$B:$B,'MEDIÇÃO '!$A$140,'LIQUIDAÇÃO 2025'!$C:$C,'MEDIÇÃO '!$B$140,'LIQUIDAÇÃO 2025'!$H:$H,'MEDIÇÃO '!H$142,'LIQUIDAÇÃO 2025'!$F:$F,'MEDIÇÃO '!$A$147)</f>
        <v>0</v>
      </c>
      <c r="I147" s="132">
        <f>SUMIFS('LIQUIDAÇÃO 2025'!$K:$K,'LIQUIDAÇÃO 2025'!$B:$B,'MEDIÇÃO '!$A$140,'LIQUIDAÇÃO 2025'!$C:$C,'MEDIÇÃO '!$B$140,'LIQUIDAÇÃO 2025'!$H:$H,'MEDIÇÃO '!I$142,'LIQUIDAÇÃO 2025'!$F:$F,'MEDIÇÃO '!$A$147)</f>
        <v>0</v>
      </c>
      <c r="J147" s="132">
        <f>SUMIFS('LIQUIDAÇÃO 2025'!$K:$K,'LIQUIDAÇÃO 2025'!$B:$B,'MEDIÇÃO '!$A$140,'LIQUIDAÇÃO 2025'!$C:$C,'MEDIÇÃO '!$B$140,'LIQUIDAÇÃO 2025'!$H:$H,'MEDIÇÃO '!J$142,'LIQUIDAÇÃO 2025'!$F:$F,'MEDIÇÃO '!$A$147)</f>
        <v>0</v>
      </c>
      <c r="K147" s="132">
        <f>SUMIFS('LIQUIDAÇÃO 2025'!$K:$K,'LIQUIDAÇÃO 2025'!$B:$B,'MEDIÇÃO '!$A$140,'LIQUIDAÇÃO 2025'!$C:$C,'MEDIÇÃO '!$B$140,'LIQUIDAÇÃO 2025'!$H:$H,'MEDIÇÃO '!K$142,'LIQUIDAÇÃO 2025'!$F:$F,'MEDIÇÃO '!$A$147)</f>
        <v>0</v>
      </c>
      <c r="L147" s="132">
        <f>SUMIFS('LIQUIDAÇÃO 2025'!$K:$K,'LIQUIDAÇÃO 2025'!$B:$B,'MEDIÇÃO '!$A$140,'LIQUIDAÇÃO 2025'!$C:$C,'MEDIÇÃO '!$B$140,'LIQUIDAÇÃO 2025'!$H:$H,'MEDIÇÃO '!L$142,'LIQUIDAÇÃO 2025'!$F:$F,'MEDIÇÃO '!$A$147)</f>
        <v>0</v>
      </c>
      <c r="M147" s="132">
        <f>SUMIFS('LIQUIDAÇÃO 2025'!$K:$K,'LIQUIDAÇÃO 2025'!$B:$B,'MEDIÇÃO '!$A$140,'LIQUIDAÇÃO 2025'!$C:$C,'MEDIÇÃO '!$B$140,'LIQUIDAÇÃO 2025'!$H:$H,'MEDIÇÃO '!M$142,'LIQUIDAÇÃO 2025'!$F:$F,'MEDIÇÃO '!$A$147)</f>
        <v>0</v>
      </c>
      <c r="N147" s="1067"/>
    </row>
    <row r="148" spans="1:17" ht="15" customHeight="1" thickBot="1">
      <c r="A148" s="131" t="str" cm="1">
        <f t="array" ref="A148">IFERROR(INDEX(Tabela3[[CÓDIGO
 EMPRESA ]:[EMPENHO]],SMALL(IF(Tabela3[CÓDIGO
 EMPRESA ]='MEDIÇÃO '!$A$140,ROW(Tabela3[CÓDIGO
 EMPRESA ])-3),ROW(P5)),3),"")</f>
        <v/>
      </c>
      <c r="B148" s="132">
        <f>SUMIFS('LIQUIDAÇÃO 2025'!$K:$K,'LIQUIDAÇÃO 2025'!$B:$B,'MEDIÇÃO '!$A$140,'LIQUIDAÇÃO 2025'!$C:$C,'MEDIÇÃO '!$B$140,'LIQUIDAÇÃO 2025'!$H:$H,'MEDIÇÃO '!B$142,'LIQUIDAÇÃO 2025'!$F:$F,'MEDIÇÃO '!$A$148)</f>
        <v>0</v>
      </c>
      <c r="C148" s="132">
        <f>SUMIFS('LIQUIDAÇÃO 2025'!$K:$K,'LIQUIDAÇÃO 2025'!$B:$B,'MEDIÇÃO '!$A$140,'LIQUIDAÇÃO 2025'!$C:$C,'MEDIÇÃO '!$B$140,'LIQUIDAÇÃO 2025'!$H:$H,'MEDIÇÃO '!C$142,'LIQUIDAÇÃO 2025'!$F:$F,'MEDIÇÃO '!$A$148)</f>
        <v>0</v>
      </c>
      <c r="D148" s="132">
        <f>SUMIFS('LIQUIDAÇÃO 2025'!$K:$K,'LIQUIDAÇÃO 2025'!$B:$B,'MEDIÇÃO '!$A$140,'LIQUIDAÇÃO 2025'!$C:$C,'MEDIÇÃO '!$B$140,'LIQUIDAÇÃO 2025'!$H:$H,'MEDIÇÃO '!D$142,'LIQUIDAÇÃO 2025'!$F:$F,'MEDIÇÃO '!$A$148)</f>
        <v>0</v>
      </c>
      <c r="E148" s="132">
        <f>SUMIFS('LIQUIDAÇÃO 2025'!$K:$K,'LIQUIDAÇÃO 2025'!$B:$B,'MEDIÇÃO '!$A$140,'LIQUIDAÇÃO 2025'!$C:$C,'MEDIÇÃO '!$B$140,'LIQUIDAÇÃO 2025'!$H:$H,'MEDIÇÃO '!E$142,'LIQUIDAÇÃO 2025'!$F:$F,'MEDIÇÃO '!$A$148)</f>
        <v>0</v>
      </c>
      <c r="F148" s="132">
        <f>SUMIFS('LIQUIDAÇÃO 2025'!$K:$K,'LIQUIDAÇÃO 2025'!$B:$B,'MEDIÇÃO '!$A$140,'LIQUIDAÇÃO 2025'!$C:$C,'MEDIÇÃO '!$B$140,'LIQUIDAÇÃO 2025'!$H:$H,'MEDIÇÃO '!F$142,'LIQUIDAÇÃO 2025'!$F:$F,'MEDIÇÃO '!$A$148)</f>
        <v>0</v>
      </c>
      <c r="G148" s="132">
        <f>SUMIFS('LIQUIDAÇÃO 2025'!$K:$K,'LIQUIDAÇÃO 2025'!$B:$B,'MEDIÇÃO '!$A$140,'LIQUIDAÇÃO 2025'!$C:$C,'MEDIÇÃO '!$B$140,'LIQUIDAÇÃO 2025'!$H:$H,'MEDIÇÃO '!G$142,'LIQUIDAÇÃO 2025'!$F:$F,'MEDIÇÃO '!$A$148)</f>
        <v>0</v>
      </c>
      <c r="H148" s="132">
        <f>SUMIFS('LIQUIDAÇÃO 2025'!$K:$K,'LIQUIDAÇÃO 2025'!$B:$B,'MEDIÇÃO '!$A$140,'LIQUIDAÇÃO 2025'!$C:$C,'MEDIÇÃO '!$B$140,'LIQUIDAÇÃO 2025'!$H:$H,'MEDIÇÃO '!H$142,'LIQUIDAÇÃO 2025'!$F:$F,'MEDIÇÃO '!$A$148)</f>
        <v>0</v>
      </c>
      <c r="I148" s="132">
        <f>SUMIFS('LIQUIDAÇÃO 2025'!$K:$K,'LIQUIDAÇÃO 2025'!$B:$B,'MEDIÇÃO '!$A$140,'LIQUIDAÇÃO 2025'!$C:$C,'MEDIÇÃO '!$B$140,'LIQUIDAÇÃO 2025'!$H:$H,'MEDIÇÃO '!I$142,'LIQUIDAÇÃO 2025'!$F:$F,'MEDIÇÃO '!$A$148)</f>
        <v>0</v>
      </c>
      <c r="J148" s="132">
        <f>SUMIFS('LIQUIDAÇÃO 2025'!$K:$K,'LIQUIDAÇÃO 2025'!$B:$B,'MEDIÇÃO '!$A$140,'LIQUIDAÇÃO 2025'!$C:$C,'MEDIÇÃO '!$B$140,'LIQUIDAÇÃO 2025'!$H:$H,'MEDIÇÃO '!J$142,'LIQUIDAÇÃO 2025'!$F:$F,'MEDIÇÃO '!$A$148)</f>
        <v>0</v>
      </c>
      <c r="K148" s="132">
        <f>SUMIFS('LIQUIDAÇÃO 2025'!$K:$K,'LIQUIDAÇÃO 2025'!$B:$B,'MEDIÇÃO '!$A$140,'LIQUIDAÇÃO 2025'!$C:$C,'MEDIÇÃO '!$B$140,'LIQUIDAÇÃO 2025'!$H:$H,'MEDIÇÃO '!K$142,'LIQUIDAÇÃO 2025'!$F:$F,'MEDIÇÃO '!$A$148)</f>
        <v>0</v>
      </c>
      <c r="L148" s="132">
        <f>SUMIFS('LIQUIDAÇÃO 2025'!$K:$K,'LIQUIDAÇÃO 2025'!$B:$B,'MEDIÇÃO '!$A$140,'LIQUIDAÇÃO 2025'!$C:$C,'MEDIÇÃO '!$B$140,'LIQUIDAÇÃO 2025'!$H:$H,'MEDIÇÃO '!L$142,'LIQUIDAÇÃO 2025'!$F:$F,'MEDIÇÃO '!$A$148)</f>
        <v>0</v>
      </c>
      <c r="M148" s="132">
        <f>SUMIFS('LIQUIDAÇÃO 2025'!$K:$K,'LIQUIDAÇÃO 2025'!$B:$B,'MEDIÇÃO '!$A$140,'LIQUIDAÇÃO 2025'!$C:$C,'MEDIÇÃO '!$B$140,'LIQUIDAÇÃO 2025'!$H:$H,'MEDIÇÃO '!M$142,'LIQUIDAÇÃO 2025'!$F:$F,'MEDIÇÃO '!$A$148)</f>
        <v>0</v>
      </c>
      <c r="N148" s="1067"/>
    </row>
    <row r="149" spans="1:17" ht="16.5" thickBot="1">
      <c r="A149" s="214" t="s">
        <v>38</v>
      </c>
      <c r="B149" s="215">
        <v>0</v>
      </c>
      <c r="C149" s="215">
        <v>0</v>
      </c>
      <c r="D149" s="215">
        <v>0</v>
      </c>
      <c r="E149" s="215">
        <v>0</v>
      </c>
      <c r="F149" s="215">
        <v>0</v>
      </c>
      <c r="G149" s="215">
        <v>0</v>
      </c>
      <c r="H149" s="215">
        <v>0</v>
      </c>
      <c r="I149" s="215">
        <v>0</v>
      </c>
      <c r="J149" s="215">
        <v>0</v>
      </c>
      <c r="K149" s="215">
        <v>0</v>
      </c>
      <c r="L149" s="215">
        <v>0</v>
      </c>
      <c r="M149" s="215">
        <v>0</v>
      </c>
      <c r="N149" s="1068"/>
    </row>
    <row r="150" spans="1:17" ht="15.75">
      <c r="A150" s="212" t="s">
        <v>127</v>
      </c>
      <c r="B150" s="216">
        <f>IF(SUM(B144:B148)&lt;&gt;0,B143-B149-SUM(B144:B148),(B143-SUM(B144:B148)-B149))</f>
        <v>0</v>
      </c>
      <c r="C150" s="216">
        <f t="shared" ref="C150" si="97">IF(SUM(C144:C148)&lt;&gt;0,C143-C149-SUM(C144:C148),(C143-SUM(C144:C148)-C149))</f>
        <v>0</v>
      </c>
      <c r="D150" s="216">
        <f t="shared" ref="D150" si="98">IF(SUM(D144:D148)&lt;&gt;0,D143-D149-SUM(D144:D148),(D143-SUM(D144:D148)-D149))</f>
        <v>502453.59</v>
      </c>
      <c r="E150" s="216">
        <f t="shared" ref="E150" si="99">IF(SUM(E144:E148)&lt;&gt;0,E143-E149-SUM(E144:E148),(E143-SUM(E144:E148)-E149))</f>
        <v>-55051.32</v>
      </c>
      <c r="F150" s="216">
        <f t="shared" ref="F150" si="100">IF(SUM(F144:F148)&lt;&gt;0,F143-F149-SUM(F144:F148),(F143-SUM(F144:F148)-F149))</f>
        <v>0</v>
      </c>
      <c r="G150" s="216">
        <f>IF(SUM(G144:G148)&lt;&gt;0,G143-G149-SUM(G144:G148),(G143-SUM(G144:G148)-G149))</f>
        <v>0</v>
      </c>
      <c r="H150" s="216">
        <f t="shared" ref="H150" si="101">IF(SUM(H144:H148)&lt;&gt;0,H143-H149-SUM(H144:H148),(H143-SUM(H144:H148)-H149))</f>
        <v>-276565.15000000002</v>
      </c>
      <c r="I150" s="216">
        <f t="shared" ref="I150" si="102">IF(SUM(I144:I148)&lt;&gt;0,I143-I149-SUM(I144:I148),(I143-SUM(I144:I148)-I149))</f>
        <v>-168024.93</v>
      </c>
      <c r="J150" s="216">
        <f t="shared" ref="J150" si="103">IF(SUM(J144:J148)&lt;&gt;0,J143-J149-SUM(J144:J148),(J143-SUM(J144:J148)-J149))</f>
        <v>0</v>
      </c>
      <c r="K150" s="216">
        <f t="shared" ref="K150" si="104">IF(SUM(K144:K148)&lt;&gt;0,K143-K149-SUM(K144:K148),(K143-SUM(K144:K148)-K149))</f>
        <v>0</v>
      </c>
      <c r="L150" s="216">
        <f t="shared" ref="L150" si="105">IF(SUM(L144:L148)&lt;&gt;0,L143-L149-SUM(L144:L148),(L143-SUM(L144:L148)-L149))</f>
        <v>0</v>
      </c>
      <c r="M150" s="216">
        <f t="shared" ref="M150" si="106">IF(SUM(M144:M148)&lt;&gt;0,M143-M149-SUM(M144:M148),(M143-SUM(M144:M148)-M149))</f>
        <v>0</v>
      </c>
      <c r="N150" s="213">
        <f>SUM(B143:M143)-SUM(B144:M148)-SUM(B149:M149)</f>
        <v>2812.19</v>
      </c>
    </row>
    <row r="151" spans="1:17" s="57" customFormat="1">
      <c r="J151" s="86"/>
      <c r="K151" s="86"/>
      <c r="L151" s="86"/>
      <c r="M151" s="86"/>
      <c r="N151" s="210"/>
      <c r="Q151" s="659">
        <v>4023307.86</v>
      </c>
    </row>
    <row r="152" spans="1:17" s="57" customFormat="1" ht="15.75" customHeight="1">
      <c r="A152" s="123">
        <v>46674</v>
      </c>
      <c r="B152" s="118" t="s">
        <v>338</v>
      </c>
      <c r="C152" s="115"/>
      <c r="D152" s="115"/>
      <c r="E152" s="115"/>
      <c r="F152" s="91" t="s">
        <v>116</v>
      </c>
      <c r="G152" s="92" t="s">
        <v>117</v>
      </c>
      <c r="H152" s="1062" t="s">
        <v>113</v>
      </c>
      <c r="I152" s="1062"/>
      <c r="J152" s="1062" t="s">
        <v>114</v>
      </c>
      <c r="K152" s="1062"/>
      <c r="L152" s="1062" t="s">
        <v>118</v>
      </c>
      <c r="M152" s="1062"/>
      <c r="N152" s="92" t="s">
        <v>115</v>
      </c>
    </row>
    <row r="153" spans="1:17" s="57" customFormat="1" ht="18.75" customHeight="1">
      <c r="A153" s="121"/>
      <c r="B153" s="121"/>
      <c r="C153" s="121"/>
      <c r="D153" s="121"/>
      <c r="E153" s="121"/>
      <c r="F153" s="97" t="str">
        <f>VALIDAÇÕES!C16</f>
        <v>34846/2022</v>
      </c>
      <c r="G153" s="97" t="str">
        <f>VALIDAÇÕES!D16</f>
        <v>11201/2023</v>
      </c>
      <c r="H153" s="1061">
        <f>VALIDAÇÕES!G16</f>
        <v>2697252.48</v>
      </c>
      <c r="I153" s="1061"/>
      <c r="J153" s="1061">
        <f>VALIDAÇÕES!H16</f>
        <v>1336000</v>
      </c>
      <c r="K153" s="1061"/>
      <c r="L153" s="1063">
        <f>VALIDAÇÕES!E16</f>
        <v>45408</v>
      </c>
      <c r="M153" s="1063"/>
      <c r="N153" s="202">
        <f>VALIDAÇÕES!F16</f>
        <v>45773</v>
      </c>
    </row>
    <row r="154" spans="1:17" s="57" customFormat="1" ht="15.75" customHeight="1">
      <c r="A154" s="1060" t="s">
        <v>7</v>
      </c>
      <c r="B154" s="89" t="s">
        <v>44</v>
      </c>
      <c r="C154" s="89" t="s">
        <v>43</v>
      </c>
      <c r="D154" s="89" t="s">
        <v>45</v>
      </c>
      <c r="E154" s="89" t="s">
        <v>46</v>
      </c>
      <c r="F154" s="89" t="s">
        <v>47</v>
      </c>
      <c r="G154" s="89" t="s">
        <v>48</v>
      </c>
      <c r="H154" s="89" t="s">
        <v>49</v>
      </c>
      <c r="I154" s="89" t="s">
        <v>50</v>
      </c>
      <c r="J154" s="89" t="s">
        <v>51</v>
      </c>
      <c r="K154" s="89" t="s">
        <v>52</v>
      </c>
      <c r="L154" s="89" t="s">
        <v>53</v>
      </c>
      <c r="M154" s="89" t="s">
        <v>54</v>
      </c>
      <c r="N154" s="1066" t="s">
        <v>112</v>
      </c>
    </row>
    <row r="155" spans="1:17" s="57" customFormat="1" ht="15" customHeight="1">
      <c r="A155" s="1060"/>
      <c r="B155" s="100"/>
      <c r="C155" s="98">
        <v>224771.04</v>
      </c>
      <c r="D155" s="98">
        <v>224771.04</v>
      </c>
      <c r="E155" s="98">
        <v>224771.04</v>
      </c>
      <c r="F155" s="98"/>
      <c r="G155" s="98"/>
      <c r="H155" s="98"/>
      <c r="I155" s="98"/>
      <c r="J155" s="98"/>
      <c r="K155" s="98"/>
      <c r="L155" s="98"/>
      <c r="M155" s="98"/>
      <c r="N155" s="1067"/>
    </row>
    <row r="156" spans="1:17" s="57" customFormat="1">
      <c r="A156" s="131" cm="1">
        <f t="array" ref="A156">IFERROR(INDEX(Tabela3[[CÓDIGO
 EMPRESA ]:[EMPENHO]],SMALL(IF(Tabela3[CÓDIGO
 EMPRESA ]='MEDIÇÃO '!$A$152,ROW(Tabela3[CÓDIGO
 EMPRESA ])-3),ROW(P1)),3),"")</f>
        <v>3702</v>
      </c>
      <c r="B156" s="132">
        <f>SUMIFS('LIQUIDAÇÃO 2025'!$K:$K,'LIQUIDAÇÃO 2025'!$B:$B,'MEDIÇÃO '!$A$152,'LIQUIDAÇÃO 2025'!$C:$C,'MEDIÇÃO '!$B$152,'LIQUIDAÇÃO 2025'!$H:$H,'MEDIÇÃO '!B$154,'LIQUIDAÇÃO 2025'!$F:$F,'MEDIÇÃO '!$A$156)</f>
        <v>0</v>
      </c>
      <c r="C156" s="132">
        <f>SUMIFS('LIQUIDAÇÃO 2025'!$K:$K,'LIQUIDAÇÃO 2025'!$B:$B,'MEDIÇÃO '!$A$152,'LIQUIDAÇÃO 2025'!$C:$C,'MEDIÇÃO '!$B$152,'LIQUIDAÇÃO 2025'!$H:$H,'MEDIÇÃO '!C$154,'LIQUIDAÇÃO 2025'!$F:$F,'MEDIÇÃO '!$A$156)</f>
        <v>153616.32000000001</v>
      </c>
      <c r="D156" s="132">
        <f>SUMIFS('LIQUIDAÇÃO 2025'!$K:$K,'LIQUIDAÇÃO 2025'!$B:$B,'MEDIÇÃO '!$A$152,'LIQUIDAÇÃO 2025'!$C:$C,'MEDIÇÃO '!$B$152,'LIQUIDAÇÃO 2025'!$H:$H,'MEDIÇÃO '!D$154,'LIQUIDAÇÃO 2025'!$F:$F,'MEDIÇÃO '!$A$156)</f>
        <v>159589.09</v>
      </c>
      <c r="E156" s="132">
        <f>SUMIFS('LIQUIDAÇÃO 2025'!$K:$K,'LIQUIDAÇÃO 2025'!$B:$B,'MEDIÇÃO '!$A$152,'LIQUIDAÇÃO 2025'!$C:$C,'MEDIÇÃO '!$B$152,'LIQUIDAÇÃO 2025'!$H:$H,'MEDIÇÃO '!E$154,'LIQUIDAÇÃO 2025'!$F:$F,'MEDIÇÃO '!$A$156)</f>
        <v>0</v>
      </c>
      <c r="F156" s="132">
        <f>SUMIFS('LIQUIDAÇÃO 2025'!$K:$K,'LIQUIDAÇÃO 2025'!$B:$B,'MEDIÇÃO '!$A$152,'LIQUIDAÇÃO 2025'!$C:$C,'MEDIÇÃO '!$B$152,'LIQUIDAÇÃO 2025'!$H:$H,'MEDIÇÃO '!F$154,'LIQUIDAÇÃO 2025'!$F:$F,'MEDIÇÃO '!$A$156)</f>
        <v>136336.67000000001</v>
      </c>
      <c r="G156" s="132">
        <f>SUMIFS('LIQUIDAÇÃO 2025'!$K:$K,'LIQUIDAÇÃO 2025'!$B:$B,'MEDIÇÃO '!$A$152,'LIQUIDAÇÃO 2025'!$C:$C,'MEDIÇÃO '!$B$152,'LIQUIDAÇÃO 2025'!$H:$H,'MEDIÇÃO '!G$154,'LIQUIDAÇÃO 2025'!$F:$F,'MEDIÇÃO '!$A$156)</f>
        <v>0</v>
      </c>
      <c r="H156" s="132">
        <f>SUMIFS('LIQUIDAÇÃO 2025'!$K:$K,'LIQUIDAÇÃO 2025'!$B:$B,'MEDIÇÃO '!$A$152,'LIQUIDAÇÃO 2025'!$C:$C,'MEDIÇÃO '!$B$152,'LIQUIDAÇÃO 2025'!$H:$H,'MEDIÇÃO '!H$154,'LIQUIDAÇÃO 2025'!$F:$F,'MEDIÇÃO '!$A$156)</f>
        <v>0</v>
      </c>
      <c r="I156" s="132">
        <f>SUMIFS('LIQUIDAÇÃO 2025'!$K:$K,'LIQUIDAÇÃO 2025'!$B:$B,'MEDIÇÃO '!$A$152,'LIQUIDAÇÃO 2025'!$C:$C,'MEDIÇÃO '!$B$152,'LIQUIDAÇÃO 2025'!$H:$H,'MEDIÇÃO '!I$154,'LIQUIDAÇÃO 2025'!$F:$F,'MEDIÇÃO '!$A$156)</f>
        <v>0</v>
      </c>
      <c r="J156" s="132">
        <f>SUMIFS('LIQUIDAÇÃO 2025'!$K:$K,'LIQUIDAÇÃO 2025'!$B:$B,'MEDIÇÃO '!$A$152,'LIQUIDAÇÃO 2025'!$C:$C,'MEDIÇÃO '!$B$152,'LIQUIDAÇÃO 2025'!$H:$H,'MEDIÇÃO '!J$154,'LIQUIDAÇÃO 2025'!$F:$F,'MEDIÇÃO '!$A$156)</f>
        <v>0</v>
      </c>
      <c r="K156" s="132">
        <f>SUMIFS('LIQUIDAÇÃO 2025'!$K:$K,'LIQUIDAÇÃO 2025'!$B:$B,'MEDIÇÃO '!$A$152,'LIQUIDAÇÃO 2025'!$C:$C,'MEDIÇÃO '!$B$152,'LIQUIDAÇÃO 2025'!$H:$H,'MEDIÇÃO '!K$154,'LIQUIDAÇÃO 2025'!$F:$F,'MEDIÇÃO '!$A$156)</f>
        <v>0</v>
      </c>
      <c r="L156" s="132">
        <f>SUMIFS('LIQUIDAÇÃO 2025'!$K:$K,'LIQUIDAÇÃO 2025'!$B:$B,'MEDIÇÃO '!$A$152,'LIQUIDAÇÃO 2025'!$C:$C,'MEDIÇÃO '!$B$152,'LIQUIDAÇÃO 2025'!$H:$H,'MEDIÇÃO '!L$154,'LIQUIDAÇÃO 2025'!$F:$F,'MEDIÇÃO '!$A$156)</f>
        <v>0</v>
      </c>
      <c r="M156" s="132">
        <f>SUMIFS('LIQUIDAÇÃO 2025'!$K:$K,'LIQUIDAÇÃO 2025'!$B:$B,'MEDIÇÃO '!$A$152,'LIQUIDAÇÃO 2025'!$C:$C,'MEDIÇÃO '!$B$152,'LIQUIDAÇÃO 2025'!$H:$H,'MEDIÇÃO '!M$154,'LIQUIDAÇÃO 2025'!$F:$F,'MEDIÇÃO '!$A$156)</f>
        <v>0</v>
      </c>
      <c r="N156" s="1067"/>
    </row>
    <row r="157" spans="1:17" s="57" customFormat="1">
      <c r="A157" s="131" cm="1">
        <f t="array" ref="A157">IFERROR(INDEX(Tabela3[[CÓDIGO
 EMPRESA ]:[EMPENHO]],SMALL(IF(Tabela3[CÓDIGO
 EMPRESA ]='MEDIÇÃO '!$A$152,ROW(Tabela3[CÓDIGO
 EMPRESA ])-3),ROW(P2)),3),"")</f>
        <v>4177</v>
      </c>
      <c r="B157" s="132">
        <f>SUMIFS('LIQUIDAÇÃO 2025'!$K:$K,'LIQUIDAÇÃO 2025'!$B:$B,'MEDIÇÃO '!$A$152,'LIQUIDAÇÃO 2025'!$C:$C,'MEDIÇÃO '!$B$152,'LIQUIDAÇÃO 2025'!$H:$H,'MEDIÇÃO '!B$154,'LIQUIDAÇÃO 2025'!$F:$F,'MEDIÇÃO '!$A$157)</f>
        <v>0</v>
      </c>
      <c r="C157" s="132">
        <f>SUMIFS('LIQUIDAÇÃO 2025'!$K:$K,'LIQUIDAÇÃO 2025'!$B:$B,'MEDIÇÃO '!$A$152,'LIQUIDAÇÃO 2025'!$C:$C,'MEDIÇÃO '!$B$152,'LIQUIDAÇÃO 2025'!$H:$H,'MEDIÇÃO '!C$154,'LIQUIDAÇÃO 2025'!$F:$F,'MEDIÇÃO '!$A$157)</f>
        <v>0</v>
      </c>
      <c r="D157" s="132">
        <f>SUMIFS('LIQUIDAÇÃO 2025'!$K:$K,'LIQUIDAÇÃO 2025'!$B:$B,'MEDIÇÃO '!$A$152,'LIQUIDAÇÃO 2025'!$C:$C,'MEDIÇÃO '!$B$152,'LIQUIDAÇÃO 2025'!$H:$H,'MEDIÇÃO '!D$154,'LIQUIDAÇÃO 2025'!$F:$F,'MEDIÇÃO '!$A$157)</f>
        <v>0</v>
      </c>
      <c r="E157" s="132">
        <f>SUMIFS('LIQUIDAÇÃO 2025'!$K:$K,'LIQUIDAÇÃO 2025'!$B:$B,'MEDIÇÃO '!$A$152,'LIQUIDAÇÃO 2025'!$C:$C,'MEDIÇÃO '!$B$152,'LIQUIDAÇÃO 2025'!$H:$H,'MEDIÇÃO '!E$154,'LIQUIDAÇÃO 2025'!$F:$F,'MEDIÇÃO '!$A$157)</f>
        <v>125906.29</v>
      </c>
      <c r="F157" s="132">
        <f>SUMIFS('LIQUIDAÇÃO 2025'!$K:$K,'LIQUIDAÇÃO 2025'!$B:$B,'MEDIÇÃO '!$A$152,'LIQUIDAÇÃO 2025'!$C:$C,'MEDIÇÃO '!$B$152,'LIQUIDAÇÃO 2025'!$H:$H,'MEDIÇÃO '!F$154,'LIQUIDAÇÃO 2025'!$F:$F,'MEDIÇÃO '!$A$157)</f>
        <v>10028.530000000001</v>
      </c>
      <c r="G157" s="132">
        <f>SUMIFS('LIQUIDAÇÃO 2025'!$K:$K,'LIQUIDAÇÃO 2025'!$B:$B,'MEDIÇÃO '!$A$152,'LIQUIDAÇÃO 2025'!$C:$C,'MEDIÇÃO '!$B$152,'LIQUIDAÇÃO 2025'!$H:$H,'MEDIÇÃO '!G$154,'LIQUIDAÇÃO 2025'!$F:$F,'MEDIÇÃO '!$A$157)</f>
        <v>0</v>
      </c>
      <c r="H157" s="132">
        <f>SUMIFS('LIQUIDAÇÃO 2025'!$K:$K,'LIQUIDAÇÃO 2025'!$B:$B,'MEDIÇÃO '!$A$152,'LIQUIDAÇÃO 2025'!$C:$C,'MEDIÇÃO '!$B$152,'LIQUIDAÇÃO 2025'!$H:$H,'MEDIÇÃO '!H$154,'LIQUIDAÇÃO 2025'!$F:$F,'MEDIÇÃO '!$A$157)</f>
        <v>88836.22</v>
      </c>
      <c r="I157" s="132">
        <f>SUMIFS('LIQUIDAÇÃO 2025'!$K:$K,'LIQUIDAÇÃO 2025'!$B:$B,'MEDIÇÃO '!$A$152,'LIQUIDAÇÃO 2025'!$C:$C,'MEDIÇÃO '!$B$152,'LIQUIDAÇÃO 2025'!$H:$H,'MEDIÇÃO '!I$154,'LIQUIDAÇÃO 2025'!$F:$F,'MEDIÇÃO '!$A$157)</f>
        <v>0</v>
      </c>
      <c r="J157" s="132">
        <f>SUMIFS('LIQUIDAÇÃO 2025'!$K:$K,'LIQUIDAÇÃO 2025'!$B:$B,'MEDIÇÃO '!$A$152,'LIQUIDAÇÃO 2025'!$C:$C,'MEDIÇÃO '!$B$152,'LIQUIDAÇÃO 2025'!$H:$H,'MEDIÇÃO '!J$154,'LIQUIDAÇÃO 2025'!$F:$F,'MEDIÇÃO '!$A$157)</f>
        <v>0</v>
      </c>
      <c r="K157" s="132">
        <f>SUMIFS('LIQUIDAÇÃO 2025'!$K:$K,'LIQUIDAÇÃO 2025'!$B:$B,'MEDIÇÃO '!$A$152,'LIQUIDAÇÃO 2025'!$C:$C,'MEDIÇÃO '!$B$152,'LIQUIDAÇÃO 2025'!$H:$H,'MEDIÇÃO '!K$154,'LIQUIDAÇÃO 2025'!$F:$F,'MEDIÇÃO '!$A$157)</f>
        <v>0</v>
      </c>
      <c r="L157" s="132">
        <f>SUMIFS('LIQUIDAÇÃO 2025'!$K:$K,'LIQUIDAÇÃO 2025'!$B:$B,'MEDIÇÃO '!$A$152,'LIQUIDAÇÃO 2025'!$C:$C,'MEDIÇÃO '!$B$152,'LIQUIDAÇÃO 2025'!$H:$H,'MEDIÇÃO '!L$154,'LIQUIDAÇÃO 2025'!$F:$F,'MEDIÇÃO '!$A$157)</f>
        <v>0</v>
      </c>
      <c r="M157" s="132">
        <f>SUMIFS('LIQUIDAÇÃO 2025'!$K:$K,'LIQUIDAÇÃO 2025'!$B:$B,'MEDIÇÃO '!$A$152,'LIQUIDAÇÃO 2025'!$C:$C,'MEDIÇÃO '!$B$152,'LIQUIDAÇÃO 2025'!$H:$H,'MEDIÇÃO '!M$154,'LIQUIDAÇÃO 2025'!$F:$F,'MEDIÇÃO '!$A$157)</f>
        <v>0</v>
      </c>
      <c r="N157" s="1067"/>
    </row>
    <row r="158" spans="1:17" s="57" customFormat="1">
      <c r="A158" s="131" cm="1">
        <f t="array" ref="A158">IFERROR(INDEX(Tabela3[[CÓDIGO
 EMPRESA ]:[EMPENHO]],SMALL(IF(Tabela3[CÓDIGO
 EMPRESA ]='MEDIÇÃO '!$A$152,ROW(Tabela3[CÓDIGO
 EMPRESA ])-3),ROW(P3)),3),"")</f>
        <v>14449</v>
      </c>
      <c r="B158" s="132">
        <f>SUMIFS('LIQUIDAÇÃO 2025'!$K:$K,'LIQUIDAÇÃO 2025'!$B:$B,'MEDIÇÃO '!$A$152,'LIQUIDAÇÃO 2025'!$C:$C,'MEDIÇÃO '!$B$152,'LIQUIDAÇÃO 2025'!$H:$H,'MEDIÇÃO '!B$154,'LIQUIDAÇÃO 2025'!$F:$F,'MEDIÇÃO '!$A$158)</f>
        <v>0</v>
      </c>
      <c r="C158" s="132">
        <f>SUMIFS('LIQUIDAÇÃO 2025'!$K:$K,'LIQUIDAÇÃO 2025'!$B:$B,'MEDIÇÃO '!$A$152,'LIQUIDAÇÃO 2025'!$C:$C,'MEDIÇÃO '!$B$152,'LIQUIDAÇÃO 2025'!$H:$H,'MEDIÇÃO '!C$154,'LIQUIDAÇÃO 2025'!$F:$F,'MEDIÇÃO '!$A$158)</f>
        <v>0</v>
      </c>
      <c r="D158" s="132">
        <f>SUMIFS('LIQUIDAÇÃO 2025'!$K:$K,'LIQUIDAÇÃO 2025'!$B:$B,'MEDIÇÃO '!$A$152,'LIQUIDAÇÃO 2025'!$C:$C,'MEDIÇÃO '!$B$152,'LIQUIDAÇÃO 2025'!$H:$H,'MEDIÇÃO '!D$154,'LIQUIDAÇÃO 2025'!$F:$F,'MEDIÇÃO '!$A$158)</f>
        <v>0</v>
      </c>
      <c r="E158" s="132">
        <f>SUMIFS('LIQUIDAÇÃO 2025'!$K:$K,'LIQUIDAÇÃO 2025'!$B:$B,'MEDIÇÃO '!$A$152,'LIQUIDAÇÃO 2025'!$C:$C,'MEDIÇÃO '!$B$152,'LIQUIDAÇÃO 2025'!$H:$H,'MEDIÇÃO '!E$154,'LIQUIDAÇÃO 2025'!$F:$F,'MEDIÇÃO '!$A$158)</f>
        <v>0</v>
      </c>
      <c r="F158" s="132">
        <f>SUMIFS('LIQUIDAÇÃO 2025'!$K:$K,'LIQUIDAÇÃO 2025'!$B:$B,'MEDIÇÃO '!$A$152,'LIQUIDAÇÃO 2025'!$C:$C,'MEDIÇÃO '!$B$152,'LIQUIDAÇÃO 2025'!$H:$H,'MEDIÇÃO '!F$154,'LIQUIDAÇÃO 2025'!$F:$F,'MEDIÇÃO '!$A$158)</f>
        <v>0</v>
      </c>
      <c r="G158" s="132">
        <f>SUMIFS('LIQUIDAÇÃO 2025'!$K:$K,'LIQUIDAÇÃO 2025'!$B:$B,'MEDIÇÃO '!$A$152,'LIQUIDAÇÃO 2025'!$C:$C,'MEDIÇÃO '!$B$152,'LIQUIDAÇÃO 2025'!$H:$H,'MEDIÇÃO '!G$154,'LIQUIDAÇÃO 2025'!$F:$F,'MEDIÇÃO '!$A$158)</f>
        <v>0</v>
      </c>
      <c r="H158" s="132">
        <f>SUMIFS('LIQUIDAÇÃO 2025'!$K:$K,'LIQUIDAÇÃO 2025'!$B:$B,'MEDIÇÃO '!$A$152,'LIQUIDAÇÃO 2025'!$C:$C,'MEDIÇÃO '!$B$152,'LIQUIDAÇÃO 2025'!$H:$H,'MEDIÇÃO '!H$154,'LIQUIDAÇÃO 2025'!$F:$F,'MEDIÇÃO '!$A$158)</f>
        <v>210339.62</v>
      </c>
      <c r="I158" s="132">
        <f>SUMIFS('LIQUIDAÇÃO 2025'!$K:$K,'LIQUIDAÇÃO 2025'!$B:$B,'MEDIÇÃO '!$A$152,'LIQUIDAÇÃO 2025'!$C:$C,'MEDIÇÃO '!$B$152,'LIQUIDAÇÃO 2025'!$H:$H,'MEDIÇÃO '!I$154,'LIQUIDAÇÃO 2025'!$F:$F,'MEDIÇÃO '!$A$158)</f>
        <v>0</v>
      </c>
      <c r="J158" s="132">
        <f>SUMIFS('LIQUIDAÇÃO 2025'!$K:$K,'LIQUIDAÇÃO 2025'!$B:$B,'MEDIÇÃO '!$A$152,'LIQUIDAÇÃO 2025'!$C:$C,'MEDIÇÃO '!$B$152,'LIQUIDAÇÃO 2025'!$H:$H,'MEDIÇÃO '!J$154,'LIQUIDAÇÃO 2025'!$F:$F,'MEDIÇÃO '!$A$158)</f>
        <v>0</v>
      </c>
      <c r="K158" s="132">
        <f>SUMIFS('LIQUIDAÇÃO 2025'!$K:$K,'LIQUIDAÇÃO 2025'!$B:$B,'MEDIÇÃO '!$A$152,'LIQUIDAÇÃO 2025'!$C:$C,'MEDIÇÃO '!$B$152,'LIQUIDAÇÃO 2025'!$H:$H,'MEDIÇÃO '!K$154,'LIQUIDAÇÃO 2025'!$F:$F,'MEDIÇÃO '!$A$158)</f>
        <v>85300.18</v>
      </c>
      <c r="L158" s="132">
        <f>SUMIFS('LIQUIDAÇÃO 2025'!$K:$K,'LIQUIDAÇÃO 2025'!$B:$B,'MEDIÇÃO '!$A$152,'LIQUIDAÇÃO 2025'!$C:$C,'MEDIÇÃO '!$B$152,'LIQUIDAÇÃO 2025'!$H:$H,'MEDIÇÃO '!L$154,'LIQUIDAÇÃO 2025'!$F:$F,'MEDIÇÃO '!$A$158)</f>
        <v>0</v>
      </c>
      <c r="M158" s="132">
        <f>SUMIFS('LIQUIDAÇÃO 2025'!$K:$K,'LIQUIDAÇÃO 2025'!$B:$B,'MEDIÇÃO '!$A$152,'LIQUIDAÇÃO 2025'!$C:$C,'MEDIÇÃO '!$B$152,'LIQUIDAÇÃO 2025'!$H:$H,'MEDIÇÃO '!M$154,'LIQUIDAÇÃO 2025'!$F:$F,'MEDIÇÃO '!$A$158)</f>
        <v>4360.2</v>
      </c>
      <c r="N158" s="1067"/>
    </row>
    <row r="159" spans="1:17" s="57" customFormat="1">
      <c r="A159" s="131" cm="1">
        <f t="array" ref="A159">IFERROR(INDEX(Tabela3[[CÓDIGO
 EMPRESA ]:[EMPENHO]],SMALL(IF(Tabela3[CÓDIGO
 EMPRESA ]='MEDIÇÃO '!$A$152,ROW(Tabela3[CÓDIGO
 EMPRESA ])-3),ROW(P4)),3),"")</f>
        <v>17167</v>
      </c>
      <c r="B159" s="132">
        <f>SUMIFS('LIQUIDAÇÃO 2025'!$K:$K,'LIQUIDAÇÃO 2025'!$B:$B,'MEDIÇÃO '!$A$152,'LIQUIDAÇÃO 2025'!$C:$C,'MEDIÇÃO '!$B$152,'LIQUIDAÇÃO 2025'!$H:$H,'MEDIÇÃO '!B$154,'LIQUIDAÇÃO 2025'!$F:$F,'MEDIÇÃO '!$A$159)</f>
        <v>0</v>
      </c>
      <c r="C159" s="132">
        <f>SUMIFS('LIQUIDAÇÃO 2025'!$K:$K,'LIQUIDAÇÃO 2025'!$B:$B,'MEDIÇÃO '!$A$152,'LIQUIDAÇÃO 2025'!$C:$C,'MEDIÇÃO '!$B$152,'LIQUIDAÇÃO 2025'!$H:$H,'MEDIÇÃO '!C$154,'LIQUIDAÇÃO 2025'!$F:$F,'MEDIÇÃO '!$A$159)</f>
        <v>0</v>
      </c>
      <c r="D159" s="132">
        <f>SUMIFS('LIQUIDAÇÃO 2025'!$K:$K,'LIQUIDAÇÃO 2025'!$B:$B,'MEDIÇÃO '!$A$152,'LIQUIDAÇÃO 2025'!$C:$C,'MEDIÇÃO '!$B$152,'LIQUIDAÇÃO 2025'!$H:$H,'MEDIÇÃO '!D$154,'LIQUIDAÇÃO 2025'!$F:$F,'MEDIÇÃO '!$A$159)</f>
        <v>0</v>
      </c>
      <c r="E159" s="132">
        <f>SUMIFS('LIQUIDAÇÃO 2025'!$K:$K,'LIQUIDAÇÃO 2025'!$B:$B,'MEDIÇÃO '!$A$152,'LIQUIDAÇÃO 2025'!$C:$C,'MEDIÇÃO '!$B$152,'LIQUIDAÇÃO 2025'!$H:$H,'MEDIÇÃO '!E$154,'LIQUIDAÇÃO 2025'!$F:$F,'MEDIÇÃO '!$A$159)</f>
        <v>0</v>
      </c>
      <c r="F159" s="132">
        <f>SUMIFS('LIQUIDAÇÃO 2025'!$K:$K,'LIQUIDAÇÃO 2025'!$B:$B,'MEDIÇÃO '!$A$152,'LIQUIDAÇÃO 2025'!$C:$C,'MEDIÇÃO '!$B$152,'LIQUIDAÇÃO 2025'!$H:$H,'MEDIÇÃO '!F$154,'LIQUIDAÇÃO 2025'!$F:$F,'MEDIÇÃO '!$A$159)</f>
        <v>0</v>
      </c>
      <c r="G159" s="132">
        <f>SUMIFS('LIQUIDAÇÃO 2025'!$K:$K,'LIQUIDAÇÃO 2025'!$B:$B,'MEDIÇÃO '!$A$152,'LIQUIDAÇÃO 2025'!$C:$C,'MEDIÇÃO '!$B$152,'LIQUIDAÇÃO 2025'!$H:$H,'MEDIÇÃO '!G$154,'LIQUIDAÇÃO 2025'!$F:$F,'MEDIÇÃO '!$A$159)</f>
        <v>0</v>
      </c>
      <c r="H159" s="132">
        <f>SUMIFS('LIQUIDAÇÃO 2025'!$K:$K,'LIQUIDAÇÃO 2025'!$B:$B,'MEDIÇÃO '!$A$152,'LIQUIDAÇÃO 2025'!$C:$C,'MEDIÇÃO '!$B$152,'LIQUIDAÇÃO 2025'!$H:$H,'MEDIÇÃO '!H$154,'LIQUIDAÇÃO 2025'!$F:$F,'MEDIÇÃO '!$A$159)</f>
        <v>0</v>
      </c>
      <c r="I159" s="132">
        <f>SUMIFS('LIQUIDAÇÃO 2025'!$K:$K,'LIQUIDAÇÃO 2025'!$B:$B,'MEDIÇÃO '!$A$152,'LIQUIDAÇÃO 2025'!$C:$C,'MEDIÇÃO '!$B$152,'LIQUIDAÇÃO 2025'!$H:$H,'MEDIÇÃO '!I$154,'LIQUIDAÇÃO 2025'!$F:$F,'MEDIÇÃO '!$A$159)</f>
        <v>162758.1</v>
      </c>
      <c r="J159" s="132">
        <f>SUMIFS('LIQUIDAÇÃO 2025'!$K:$K,'LIQUIDAÇÃO 2025'!$B:$B,'MEDIÇÃO '!$A$152,'LIQUIDAÇÃO 2025'!$C:$C,'MEDIÇÃO '!$B$152,'LIQUIDAÇÃO 2025'!$H:$H,'MEDIÇÃO '!J$154,'LIQUIDAÇÃO 2025'!$F:$F,'MEDIÇÃO '!$A$159)</f>
        <v>0</v>
      </c>
      <c r="K159" s="132">
        <f>SUMIFS('LIQUIDAÇÃO 2025'!$K:$K,'LIQUIDAÇÃO 2025'!$B:$B,'MEDIÇÃO '!$A$152,'LIQUIDAÇÃO 2025'!$C:$C,'MEDIÇÃO '!$B$152,'LIQUIDAÇÃO 2025'!$H:$H,'MEDIÇÃO '!K$154,'LIQUIDAÇÃO 2025'!$F:$F,'MEDIÇÃO '!$A$159)</f>
        <v>67241.899999999994</v>
      </c>
      <c r="L159" s="132">
        <f>SUMIFS('LIQUIDAÇÃO 2025'!$K:$K,'LIQUIDAÇÃO 2025'!$B:$B,'MEDIÇÃO '!$A$152,'LIQUIDAÇÃO 2025'!$C:$C,'MEDIÇÃO '!$B$152,'LIQUIDAÇÃO 2025'!$H:$H,'MEDIÇÃO '!L$154,'LIQUIDAÇÃO 2025'!$F:$F,'MEDIÇÃO '!$A$159)</f>
        <v>0</v>
      </c>
      <c r="M159" s="132">
        <f>SUMIFS('LIQUIDAÇÃO 2025'!$K:$K,'LIQUIDAÇÃO 2025'!$B:$B,'MEDIÇÃO '!$A$152,'LIQUIDAÇÃO 2025'!$C:$C,'MEDIÇÃO '!$B$152,'LIQUIDAÇÃO 2025'!$H:$H,'MEDIÇÃO '!M$154,'LIQUIDAÇÃO 2025'!$F:$F,'MEDIÇÃO '!$A$159)</f>
        <v>0</v>
      </c>
      <c r="N159" s="1067"/>
    </row>
    <row r="160" spans="1:17" s="57" customFormat="1" ht="15.75" thickBot="1">
      <c r="A160" s="131" cm="1">
        <f t="array" ref="A160">IFERROR(INDEX(Tabela3[[CÓDIGO
 EMPRESA ]:[EMPENHO]],SMALL(IF(Tabela3[CÓDIGO
 EMPRESA ]='MEDIÇÃO '!$A$152,ROW(Tabela3[CÓDIGO
 EMPRESA ])-3),ROW(P5)),3),"")</f>
        <v>19571</v>
      </c>
      <c r="B160" s="132">
        <f>SUMIFS('LIQUIDAÇÃO 2025'!$K:$K,'LIQUIDAÇÃO 2025'!$B:$B,'MEDIÇÃO '!$A$152,'LIQUIDAÇÃO 2025'!$C:$C,'MEDIÇÃO '!$B$152,'LIQUIDAÇÃO 2025'!$H:$H,'MEDIÇÃO '!B$154,'LIQUIDAÇÃO 2025'!$F:$F,'MEDIÇÃO '!$A$160)</f>
        <v>0</v>
      </c>
      <c r="C160" s="132">
        <f>SUMIFS('LIQUIDAÇÃO 2025'!$K:$K,'LIQUIDAÇÃO 2025'!$B:$B,'MEDIÇÃO '!$A$152,'LIQUIDAÇÃO 2025'!$C:$C,'MEDIÇÃO '!$B$152,'LIQUIDAÇÃO 2025'!$H:$H,'MEDIÇÃO '!C$154,'LIQUIDAÇÃO 2025'!$F:$F,'MEDIÇÃO '!$A$160)</f>
        <v>0</v>
      </c>
      <c r="D160" s="132">
        <f>SUMIFS('LIQUIDAÇÃO 2025'!$K:$K,'LIQUIDAÇÃO 2025'!$B:$B,'MEDIÇÃO '!$A$152,'LIQUIDAÇÃO 2025'!$C:$C,'MEDIÇÃO '!$B$152,'LIQUIDAÇÃO 2025'!$H:$H,'MEDIÇÃO '!D$154,'LIQUIDAÇÃO 2025'!$F:$F,'MEDIÇÃO '!$A$160)</f>
        <v>0</v>
      </c>
      <c r="E160" s="132">
        <f>SUMIFS('LIQUIDAÇÃO 2025'!$K:$K,'LIQUIDAÇÃO 2025'!$B:$B,'MEDIÇÃO '!$A$152,'LIQUIDAÇÃO 2025'!$C:$C,'MEDIÇÃO '!$B$152,'LIQUIDAÇÃO 2025'!$H:$H,'MEDIÇÃO '!E$154,'LIQUIDAÇÃO 2025'!$F:$F,'MEDIÇÃO '!$A$160)</f>
        <v>0</v>
      </c>
      <c r="F160" s="132">
        <f>SUMIFS('LIQUIDAÇÃO 2025'!$K:$K,'LIQUIDAÇÃO 2025'!$B:$B,'MEDIÇÃO '!$A$152,'LIQUIDAÇÃO 2025'!$C:$C,'MEDIÇÃO '!$B$152,'LIQUIDAÇÃO 2025'!$H:$H,'MEDIÇÃO '!F$154,'LIQUIDAÇÃO 2025'!$F:$F,'MEDIÇÃO '!$A$160)</f>
        <v>0</v>
      </c>
      <c r="G160" s="132">
        <f>SUMIFS('LIQUIDAÇÃO 2025'!$K:$K,'LIQUIDAÇÃO 2025'!$B:$B,'MEDIÇÃO '!$A$152,'LIQUIDAÇÃO 2025'!$C:$C,'MEDIÇÃO '!$B$152,'LIQUIDAÇÃO 2025'!$H:$H,'MEDIÇÃO '!G$154,'LIQUIDAÇÃO 2025'!$F:$F,'MEDIÇÃO '!$A$160)</f>
        <v>0</v>
      </c>
      <c r="H160" s="132">
        <f>SUMIFS('LIQUIDAÇÃO 2025'!$K:$K,'LIQUIDAÇÃO 2025'!$B:$B,'MEDIÇÃO '!$A$152,'LIQUIDAÇÃO 2025'!$C:$C,'MEDIÇÃO '!$B$152,'LIQUIDAÇÃO 2025'!$H:$H,'MEDIÇÃO '!H$154,'LIQUIDAÇÃO 2025'!$F:$F,'MEDIÇÃO '!$A$160)</f>
        <v>0</v>
      </c>
      <c r="I160" s="132">
        <f>SUMIFS('LIQUIDAÇÃO 2025'!$K:$K,'LIQUIDAÇÃO 2025'!$B:$B,'MEDIÇÃO '!$A$152,'LIQUIDAÇÃO 2025'!$C:$C,'MEDIÇÃO '!$B$152,'LIQUIDAÇÃO 2025'!$H:$H,'MEDIÇÃO '!I$154,'LIQUIDAÇÃO 2025'!$F:$F,'MEDIÇÃO '!$A$160)</f>
        <v>0</v>
      </c>
      <c r="J160" s="132">
        <f>SUMIFS('LIQUIDAÇÃO 2025'!$K:$K,'LIQUIDAÇÃO 2025'!$B:$B,'MEDIÇÃO '!$A$152,'LIQUIDAÇÃO 2025'!$C:$C,'MEDIÇÃO '!$B$152,'LIQUIDAÇÃO 2025'!$H:$H,'MEDIÇÃO '!J$154,'LIQUIDAÇÃO 2025'!$F:$F,'MEDIÇÃO '!$A$160)</f>
        <v>0</v>
      </c>
      <c r="K160" s="132">
        <f>SUMIFS('LIQUIDAÇÃO 2025'!$K:$K,'LIQUIDAÇÃO 2025'!$B:$B,'MEDIÇÃO '!$A$152,'LIQUIDAÇÃO 2025'!$C:$C,'MEDIÇÃO '!$B$152,'LIQUIDAÇÃO 2025'!$H:$H,'MEDIÇÃO '!K$154,'LIQUIDAÇÃO 2025'!$F:$F,'MEDIÇÃO '!$A$160)</f>
        <v>0</v>
      </c>
      <c r="L160" s="132">
        <f>SUMIFS('LIQUIDAÇÃO 2025'!$K:$K,'LIQUIDAÇÃO 2025'!$B:$B,'MEDIÇÃO '!$A$152,'LIQUIDAÇÃO 2025'!$C:$C,'MEDIÇÃO '!$B$152,'LIQUIDAÇÃO 2025'!$H:$H,'MEDIÇÃO '!L$154,'LIQUIDAÇÃO 2025'!$F:$F,'MEDIÇÃO '!$A$160)</f>
        <v>144485.28</v>
      </c>
      <c r="M160" s="132">
        <f>SUMIFS('LIQUIDAÇÃO 2025'!$K:$K,'LIQUIDAÇÃO 2025'!$B:$B,'MEDIÇÃO '!$A$152,'LIQUIDAÇÃO 2025'!$C:$C,'MEDIÇÃO '!$B$152,'LIQUIDAÇÃO 2025'!$H:$H,'MEDIÇÃO '!M$154,'LIQUIDAÇÃO 2025'!$F:$F,'MEDIÇÃO '!$A$160)</f>
        <v>55514.720000000001</v>
      </c>
      <c r="N160" s="1067"/>
    </row>
    <row r="161" spans="1:16" s="57" customFormat="1" ht="16.5" thickBot="1">
      <c r="A161" s="214" t="s">
        <v>38</v>
      </c>
      <c r="B161" s="215"/>
      <c r="C161" s="215"/>
      <c r="D161" s="215"/>
      <c r="E161" s="215"/>
      <c r="F161" s="215"/>
      <c r="G161" s="215"/>
      <c r="H161" s="215"/>
      <c r="I161" s="215"/>
      <c r="J161" s="215"/>
      <c r="K161" s="215"/>
      <c r="L161" s="215"/>
      <c r="M161" s="215"/>
      <c r="N161" s="1068"/>
    </row>
    <row r="162" spans="1:16" s="57" customFormat="1" ht="15.75">
      <c r="A162" s="212" t="s">
        <v>127</v>
      </c>
      <c r="B162" s="216">
        <f>IF(SUM(B156:B160)&lt;&gt;0,B155-B161-SUM(B156:B160),(B155-SUM(B156:B160)-B161))</f>
        <v>0</v>
      </c>
      <c r="C162" s="216">
        <f t="shared" ref="C162" si="107">IF(SUM(C156:C160)&lt;&gt;0,C155-C161-SUM(C156:C160),(C155-SUM(C156:C160)-C161))</f>
        <v>71154.720000000001</v>
      </c>
      <c r="D162" s="216">
        <f t="shared" ref="D162" si="108">IF(SUM(D156:D160)&lt;&gt;0,D155-D161-SUM(D156:D160),(D155-SUM(D156:D160)-D161))</f>
        <v>65181.95</v>
      </c>
      <c r="E162" s="216">
        <f t="shared" ref="E162" si="109">IF(SUM(E156:E160)&lt;&gt;0,E155-E161-SUM(E156:E160),(E155-SUM(E156:E160)-E161))</f>
        <v>98864.75</v>
      </c>
      <c r="F162" s="216">
        <f t="shared" ref="F162" si="110">IF(SUM(F156:F160)&lt;&gt;0,F155-F161-SUM(F156:F160),(F155-SUM(F156:F160)-F161))</f>
        <v>-146365.20000000001</v>
      </c>
      <c r="G162" s="216">
        <f>IF(SUM(G156:G160)&lt;&gt;0,G155-G161-SUM(G156:G160),(G155-SUM(G156:G160)-G161))</f>
        <v>0</v>
      </c>
      <c r="H162" s="216">
        <f t="shared" ref="H162" si="111">IF(SUM(H156:H160)&lt;&gt;0,H155-H161-SUM(H156:H160),(H155-SUM(H156:H160)-H161))</f>
        <v>-299175.84000000003</v>
      </c>
      <c r="I162" s="216">
        <f t="shared" ref="I162" si="112">IF(SUM(I156:I160)&lt;&gt;0,I155-I161-SUM(I156:I160),(I155-SUM(I156:I160)-I161))</f>
        <v>-162758.1</v>
      </c>
      <c r="J162" s="216">
        <f t="shared" ref="J162" si="113">IF(SUM(J156:J160)&lt;&gt;0,J155-J161-SUM(J156:J160),(J155-SUM(J156:J160)-J161))</f>
        <v>0</v>
      </c>
      <c r="K162" s="216">
        <f t="shared" ref="K162" si="114">IF(SUM(K156:K160)&lt;&gt;0,K155-K161-SUM(K156:K160),(K155-SUM(K156:K160)-K161))</f>
        <v>-152542.07999999999</v>
      </c>
      <c r="L162" s="216">
        <f t="shared" ref="L162" si="115">IF(SUM(L156:L160)&lt;&gt;0,L155-L161-SUM(L156:L160),(L155-SUM(L156:L160)-L161))</f>
        <v>-144485.28</v>
      </c>
      <c r="M162" s="216">
        <f t="shared" ref="M162" si="116">IF(SUM(M156:M160)&lt;&gt;0,M155-M161-SUM(M156:M160),(M155-SUM(M156:M160)-M161))</f>
        <v>-59874.92</v>
      </c>
      <c r="N162" s="213">
        <f>SUM(B155:M155)-SUM(B156:M160)-SUM(B161:M161)</f>
        <v>-730000</v>
      </c>
    </row>
    <row r="163" spans="1:16" s="57" customFormat="1" ht="15.75">
      <c r="A163" s="327"/>
      <c r="B163" s="223"/>
      <c r="C163" s="223"/>
      <c r="D163" s="223"/>
      <c r="E163" s="223"/>
      <c r="F163" s="223"/>
      <c r="G163" s="223"/>
      <c r="H163" s="223"/>
      <c r="I163" s="223"/>
      <c r="J163" s="223"/>
      <c r="K163" s="223"/>
      <c r="L163" s="223"/>
      <c r="M163" s="223"/>
      <c r="N163" s="223"/>
    </row>
    <row r="164" spans="1:16" s="57" customFormat="1" ht="18.75">
      <c r="A164" s="123">
        <v>43964</v>
      </c>
      <c r="B164" s="118" t="s">
        <v>361</v>
      </c>
      <c r="C164" s="115"/>
      <c r="D164" s="115"/>
      <c r="E164" s="223"/>
      <c r="F164" s="91" t="s">
        <v>116</v>
      </c>
      <c r="G164" s="92" t="s">
        <v>117</v>
      </c>
      <c r="H164" s="1062" t="s">
        <v>113</v>
      </c>
      <c r="I164" s="1062"/>
      <c r="J164" s="1062" t="s">
        <v>114</v>
      </c>
      <c r="K164" s="1062"/>
      <c r="L164" s="1062" t="s">
        <v>118</v>
      </c>
      <c r="M164" s="1062"/>
      <c r="N164" s="92" t="s">
        <v>115</v>
      </c>
    </row>
    <row r="165" spans="1:16" s="57" customFormat="1" ht="15.75">
      <c r="F165" s="97" t="str">
        <f>VALIDAÇÕES!C17</f>
        <v>34846/2022</v>
      </c>
      <c r="G165" s="97" t="str">
        <f>VALIDAÇÕES!D17</f>
        <v>11201/2023</v>
      </c>
      <c r="H165" s="1061">
        <f>VALIDAÇÕES!G17</f>
        <v>7847498.8799999999</v>
      </c>
      <c r="I165" s="1061"/>
      <c r="J165" s="1061">
        <f>VALIDAÇÕES!H17</f>
        <v>3858340.32</v>
      </c>
      <c r="K165" s="1061"/>
      <c r="L165" s="1063">
        <f>VALIDAÇÕES!E17</f>
        <v>45408</v>
      </c>
      <c r="M165" s="1063"/>
      <c r="N165" s="202">
        <f>VALIDAÇÕES!F17</f>
        <v>45773</v>
      </c>
    </row>
    <row r="166" spans="1:16" s="57" customFormat="1" ht="15.75" customHeight="1">
      <c r="A166" s="1060" t="s">
        <v>7</v>
      </c>
      <c r="B166" s="89" t="s">
        <v>44</v>
      </c>
      <c r="C166" s="89" t="s">
        <v>43</v>
      </c>
      <c r="D166" s="89" t="s">
        <v>45</v>
      </c>
      <c r="E166" s="89" t="s">
        <v>46</v>
      </c>
      <c r="F166" s="89" t="s">
        <v>47</v>
      </c>
      <c r="G166" s="89" t="s">
        <v>48</v>
      </c>
      <c r="H166" s="89" t="s">
        <v>49</v>
      </c>
      <c r="I166" s="89" t="s">
        <v>50</v>
      </c>
      <c r="J166" s="89" t="s">
        <v>51</v>
      </c>
      <c r="K166" s="89" t="s">
        <v>52</v>
      </c>
      <c r="L166" s="89" t="s">
        <v>53</v>
      </c>
      <c r="M166" s="89" t="s">
        <v>54</v>
      </c>
      <c r="N166" s="1069" t="s">
        <v>112</v>
      </c>
    </row>
    <row r="167" spans="1:16" s="57" customFormat="1" ht="15" customHeight="1">
      <c r="A167" s="1060"/>
      <c r="B167" s="100"/>
      <c r="C167" s="100">
        <v>653958.24</v>
      </c>
      <c r="D167" s="100">
        <v>653958.24</v>
      </c>
      <c r="E167" s="100">
        <v>653958.24</v>
      </c>
      <c r="F167" s="100">
        <v>578501.52</v>
      </c>
      <c r="G167" s="100"/>
      <c r="H167" s="100"/>
      <c r="I167" s="100"/>
      <c r="J167" s="100"/>
      <c r="K167" s="100"/>
      <c r="L167" s="100"/>
      <c r="M167" s="100"/>
      <c r="N167" s="1067"/>
      <c r="P167" s="326"/>
    </row>
    <row r="168" spans="1:16" s="57" customFormat="1">
      <c r="A168" s="131" cm="1">
        <f t="array" ref="A168">IFERROR(INDEX(Tabela3[[CÓDIGO
 EMPRESA ]:[EMPENHO]],SMALL(IF(Tabela3[CÓDIGO
 EMPRESA ]='MEDIÇÃO '!$A$164,ROW(Tabela3[CÓDIGO
 EMPRESA ])-3),ROW(P1)),3),"")</f>
        <v>3675</v>
      </c>
      <c r="B168" s="132">
        <f>SUMIFS('LIQUIDAÇÃO 2025'!$K:$K,'LIQUIDAÇÃO 2025'!$B:$B,'MEDIÇÃO '!$A$164,'LIQUIDAÇÃO 2025'!$C:$C,'MEDIÇÃO '!$B$164,'LIQUIDAÇÃO 2025'!$H:$H,'MEDIÇÃO '!B$166,'LIQUIDAÇÃO 2025'!$F:$F,'MEDIÇÃO '!$A$168)</f>
        <v>0</v>
      </c>
      <c r="C168" s="132">
        <f>SUMIFS('LIQUIDAÇÃO 2025'!$K:$K,'LIQUIDAÇÃO 2025'!$B:$B,'MEDIÇÃO '!$A$164,'LIQUIDAÇÃO 2025'!$C:$C,'MEDIÇÃO '!$B$164,'LIQUIDAÇÃO 2025'!$H:$H,'MEDIÇÃO '!C$166,'LIQUIDAÇÃO 2025'!$F:$F,'MEDIÇÃO '!$A$168)</f>
        <v>0</v>
      </c>
      <c r="D168" s="132">
        <f>SUMIFS('LIQUIDAÇÃO 2025'!$K:$K,'LIQUIDAÇÃO 2025'!$B:$B,'MEDIÇÃO '!$A$164,'LIQUIDAÇÃO 2025'!$C:$C,'MEDIÇÃO '!$B$164,'LIQUIDAÇÃO 2025'!$H:$H,'MEDIÇÃO '!D$166,'LIQUIDAÇÃO 2025'!$F:$F,'MEDIÇÃO '!$A$168)</f>
        <v>108864.78</v>
      </c>
      <c r="E168" s="132">
        <f>SUMIFS('LIQUIDAÇÃO 2025'!$K:$K,'LIQUIDAÇÃO 2025'!$B:$B,'MEDIÇÃO '!$A$164,'LIQUIDAÇÃO 2025'!$C:$C,'MEDIÇÃO '!$B$164,'LIQUIDAÇÃO 2025'!$H:$H,'MEDIÇÃO '!E$166,'LIQUIDAÇÃO 2025'!$F:$F,'MEDIÇÃO '!$A$168)</f>
        <v>0</v>
      </c>
      <c r="F168" s="132">
        <f>SUMIFS('LIQUIDAÇÃO 2025'!$K:$K,'LIQUIDAÇÃO 2025'!$B:$B,'MEDIÇÃO '!$A$164,'LIQUIDAÇÃO 2025'!$C:$C,'MEDIÇÃO '!$B$164,'LIQUIDAÇÃO 2025'!$H:$H,'MEDIÇÃO '!F$166,'LIQUIDAÇÃO 2025'!$F:$F,'MEDIÇÃO '!$A$168)</f>
        <v>98595.49</v>
      </c>
      <c r="G168" s="132">
        <f>SUMIFS('LIQUIDAÇÃO 2025'!$K:$K,'LIQUIDAÇÃO 2025'!$B:$B,'MEDIÇÃO '!$A$164,'LIQUIDAÇÃO 2025'!$C:$C,'MEDIÇÃO '!$B$164,'LIQUIDAÇÃO 2025'!$H:$H,'MEDIÇÃO '!G$166,'LIQUIDAÇÃO 2025'!$F:$F,'MEDIÇÃO '!$A$168)</f>
        <v>0</v>
      </c>
      <c r="H168" s="132">
        <f>SUMIFS('LIQUIDAÇÃO 2025'!$K:$K,'LIQUIDAÇÃO 2025'!$B:$B,'MEDIÇÃO '!$A$164,'LIQUIDAÇÃO 2025'!$C:$C,'MEDIÇÃO '!$B$164,'LIQUIDAÇÃO 2025'!$H:$H,'MEDIÇÃO '!H$166,'LIQUIDAÇÃO 2025'!$F:$F,'MEDIÇÃO '!$A$168)</f>
        <v>0</v>
      </c>
      <c r="I168" s="132">
        <f>SUMIFS('LIQUIDAÇÃO 2025'!$K:$K,'LIQUIDAÇÃO 2025'!$B:$B,'MEDIÇÃO '!$A$164,'LIQUIDAÇÃO 2025'!$C:$C,'MEDIÇÃO '!$B$164,'LIQUIDAÇÃO 2025'!$H:$H,'MEDIÇÃO '!I$166,'LIQUIDAÇÃO 2025'!$F:$F,'MEDIÇÃO '!$A$168)</f>
        <v>0</v>
      </c>
      <c r="J168" s="132">
        <f>SUMIFS('LIQUIDAÇÃO 2025'!$K:$K,'LIQUIDAÇÃO 2025'!$B:$B,'MEDIÇÃO '!$A$164,'LIQUIDAÇÃO 2025'!$C:$C,'MEDIÇÃO '!$B$164,'LIQUIDAÇÃO 2025'!$H:$H,'MEDIÇÃO '!J$166,'LIQUIDAÇÃO 2025'!$F:$F,'MEDIÇÃO '!$A$168)</f>
        <v>0</v>
      </c>
      <c r="K168" s="132">
        <f>SUMIFS('LIQUIDAÇÃO 2025'!$K:$K,'LIQUIDAÇÃO 2025'!$B:$B,'MEDIÇÃO '!$A$164,'LIQUIDAÇÃO 2025'!$C:$C,'MEDIÇÃO '!$B$164,'LIQUIDAÇÃO 2025'!$H:$H,'MEDIÇÃO '!K$166,'LIQUIDAÇÃO 2025'!$F:$F,'MEDIÇÃO '!$A$168)</f>
        <v>0</v>
      </c>
      <c r="L168" s="132">
        <f>SUMIFS('LIQUIDAÇÃO 2025'!$K:$K,'LIQUIDAÇÃO 2025'!$B:$B,'MEDIÇÃO '!$A$164,'LIQUIDAÇÃO 2025'!$C:$C,'MEDIÇÃO '!$B$164,'LIQUIDAÇÃO 2025'!$H:$H,'MEDIÇÃO '!L$166,'LIQUIDAÇÃO 2025'!$F:$F,'MEDIÇÃO '!$A$168)</f>
        <v>0</v>
      </c>
      <c r="M168" s="132">
        <f>SUMIFS('LIQUIDAÇÃO 2025'!$K:$K,'LIQUIDAÇÃO 2025'!$B:$B,'MEDIÇÃO '!$A$164,'LIQUIDAÇÃO 2025'!$C:$C,'MEDIÇÃO '!$B$164,'LIQUIDAÇÃO 2025'!$H:$H,'MEDIÇÃO '!M$166,'LIQUIDAÇÃO 2025'!$F:$F,'MEDIÇÃO '!$A$168)</f>
        <v>0</v>
      </c>
      <c r="N168" s="1067"/>
    </row>
    <row r="169" spans="1:16" s="57" customFormat="1">
      <c r="A169" s="131" t="str" cm="1">
        <f t="array" ref="A169">IFERROR(INDEX(Tabela3[[CÓDIGO
 EMPRESA ]:[EMPENHO]],SMALL(IF(Tabela3[CÓDIGO
 EMPRESA ]='MEDIÇÃO '!$A$164,ROW(Tabela3[CÓDIGO
 EMPRESA ])-3),ROW(P2)),3),"")</f>
        <v/>
      </c>
      <c r="B169" s="132">
        <f>SUMIFS('LIQUIDAÇÃO 2025'!$K:$K,'LIQUIDAÇÃO 2025'!$B:$B,'MEDIÇÃO '!$A$164,'LIQUIDAÇÃO 2025'!$C:$C,'MEDIÇÃO '!$B$164,'LIQUIDAÇÃO 2025'!$H:$H,'MEDIÇÃO '!B$166,'LIQUIDAÇÃO 2025'!$F:$F,'MEDIÇÃO '!$A$169)</f>
        <v>0</v>
      </c>
      <c r="C169" s="132">
        <f>SUMIFS('LIQUIDAÇÃO 2025'!$K:$K,'LIQUIDAÇÃO 2025'!$B:$B,'MEDIÇÃO '!$A$164,'LIQUIDAÇÃO 2025'!$C:$C,'MEDIÇÃO '!$B$164,'LIQUIDAÇÃO 2025'!$H:$H,'MEDIÇÃO '!C$166,'LIQUIDAÇÃO 2025'!$F:$F,'MEDIÇÃO '!$A$169)</f>
        <v>0</v>
      </c>
      <c r="D169" s="132">
        <f>SUMIFS('LIQUIDAÇÃO 2025'!$K:$K,'LIQUIDAÇÃO 2025'!$B:$B,'MEDIÇÃO '!$A$164,'LIQUIDAÇÃO 2025'!$C:$C,'MEDIÇÃO '!$B$164,'LIQUIDAÇÃO 2025'!$H:$H,'MEDIÇÃO '!D$166,'LIQUIDAÇÃO 2025'!$F:$F,'MEDIÇÃO '!$A$169)</f>
        <v>0</v>
      </c>
      <c r="E169" s="132">
        <f>SUMIFS('LIQUIDAÇÃO 2025'!$K:$K,'LIQUIDAÇÃO 2025'!$B:$B,'MEDIÇÃO '!$A$164,'LIQUIDAÇÃO 2025'!$C:$C,'MEDIÇÃO '!$B$164,'LIQUIDAÇÃO 2025'!$H:$H,'MEDIÇÃO '!E$166,'LIQUIDAÇÃO 2025'!$F:$F,'MEDIÇÃO '!$A$169)</f>
        <v>0</v>
      </c>
      <c r="F169" s="132">
        <f>SUMIFS('LIQUIDAÇÃO 2025'!$K:$K,'LIQUIDAÇÃO 2025'!$B:$B,'MEDIÇÃO '!$A$164,'LIQUIDAÇÃO 2025'!$C:$C,'MEDIÇÃO '!$B$164,'LIQUIDAÇÃO 2025'!$H:$H,'MEDIÇÃO '!F$166,'LIQUIDAÇÃO 2025'!$F:$F,'MEDIÇÃO '!$A$169)</f>
        <v>0</v>
      </c>
      <c r="G169" s="132">
        <f>SUMIFS('LIQUIDAÇÃO 2025'!$K:$K,'LIQUIDAÇÃO 2025'!$B:$B,'MEDIÇÃO '!$A$164,'LIQUIDAÇÃO 2025'!$C:$C,'MEDIÇÃO '!$B$164,'LIQUIDAÇÃO 2025'!$H:$H,'MEDIÇÃO '!G$166,'LIQUIDAÇÃO 2025'!$F:$F,'MEDIÇÃO '!$A$169)</f>
        <v>0</v>
      </c>
      <c r="H169" s="132">
        <f>SUMIFS('LIQUIDAÇÃO 2025'!$K:$K,'LIQUIDAÇÃO 2025'!$B:$B,'MEDIÇÃO '!$A$164,'LIQUIDAÇÃO 2025'!$C:$C,'MEDIÇÃO '!$B$164,'LIQUIDAÇÃO 2025'!$H:$H,'MEDIÇÃO '!H$166,'LIQUIDAÇÃO 2025'!$F:$F,'MEDIÇÃO '!$A$169)</f>
        <v>0</v>
      </c>
      <c r="I169" s="132">
        <f>SUMIFS('LIQUIDAÇÃO 2025'!$K:$K,'LIQUIDAÇÃO 2025'!$B:$B,'MEDIÇÃO '!$A$164,'LIQUIDAÇÃO 2025'!$C:$C,'MEDIÇÃO '!$B$164,'LIQUIDAÇÃO 2025'!$H:$H,'MEDIÇÃO '!I$166,'LIQUIDAÇÃO 2025'!$F:$F,'MEDIÇÃO '!$A$169)</f>
        <v>0</v>
      </c>
      <c r="J169" s="132">
        <f>SUMIFS('LIQUIDAÇÃO 2025'!$K:$K,'LIQUIDAÇÃO 2025'!$B:$B,'MEDIÇÃO '!$A$164,'LIQUIDAÇÃO 2025'!$C:$C,'MEDIÇÃO '!$B$164,'LIQUIDAÇÃO 2025'!$H:$H,'MEDIÇÃO '!J$166,'LIQUIDAÇÃO 2025'!$F:$F,'MEDIÇÃO '!$A$169)</f>
        <v>0</v>
      </c>
      <c r="K169" s="132">
        <f>SUMIFS('LIQUIDAÇÃO 2025'!$K:$K,'LIQUIDAÇÃO 2025'!$B:$B,'MEDIÇÃO '!$A$164,'LIQUIDAÇÃO 2025'!$C:$C,'MEDIÇÃO '!$B$164,'LIQUIDAÇÃO 2025'!$H:$H,'MEDIÇÃO '!K$166,'LIQUIDAÇÃO 2025'!$F:$F,'MEDIÇÃO '!$A$169)</f>
        <v>0</v>
      </c>
      <c r="L169" s="132">
        <f>SUMIFS('LIQUIDAÇÃO 2025'!$K:$K,'LIQUIDAÇÃO 2025'!$B:$B,'MEDIÇÃO '!$A$164,'LIQUIDAÇÃO 2025'!$C:$C,'MEDIÇÃO '!$B$164,'LIQUIDAÇÃO 2025'!$H:$H,'MEDIÇÃO '!L$166,'LIQUIDAÇÃO 2025'!$F:$F,'MEDIÇÃO '!$A$169)</f>
        <v>0</v>
      </c>
      <c r="M169" s="132">
        <f>SUMIFS('LIQUIDAÇÃO 2025'!$K:$K,'LIQUIDAÇÃO 2025'!$B:$B,'MEDIÇÃO '!$A$164,'LIQUIDAÇÃO 2025'!$C:$C,'MEDIÇÃO '!$B$164,'LIQUIDAÇÃO 2025'!$H:$H,'MEDIÇÃO '!M$166,'LIQUIDAÇÃO 2025'!$F:$F,'MEDIÇÃO '!$A$169)</f>
        <v>0</v>
      </c>
      <c r="N169" s="1067"/>
    </row>
    <row r="170" spans="1:16" s="57" customFormat="1">
      <c r="A170" s="131" t="str" cm="1">
        <f t="array" ref="A170">IFERROR(INDEX(Tabela3[[CÓDIGO
 EMPRESA ]:[EMPENHO]],SMALL(IF(Tabela3[CÓDIGO
 EMPRESA ]='MEDIÇÃO '!$A$164,ROW(Tabela3[CÓDIGO
 EMPRESA ])-3),ROW(P3)),3),"")</f>
        <v/>
      </c>
      <c r="B170" s="132">
        <f>SUMIFS('LIQUIDAÇÃO 2025'!$K:$K,'LIQUIDAÇÃO 2025'!$B:$B,'MEDIÇÃO '!$A$164,'LIQUIDAÇÃO 2025'!$C:$C,'MEDIÇÃO '!$B$164,'LIQUIDAÇÃO 2025'!$H:$H,'MEDIÇÃO '!B$166,'LIQUIDAÇÃO 2025'!$F:$F,'MEDIÇÃO '!$A$170)</f>
        <v>0</v>
      </c>
      <c r="C170" s="132">
        <f>SUMIFS('LIQUIDAÇÃO 2025'!$K:$K,'LIQUIDAÇÃO 2025'!$B:$B,'MEDIÇÃO '!$A$164,'LIQUIDAÇÃO 2025'!$C:$C,'MEDIÇÃO '!$B$164,'LIQUIDAÇÃO 2025'!$H:$H,'MEDIÇÃO '!C$166,'LIQUIDAÇÃO 2025'!$F:$F,'MEDIÇÃO '!$A$170)</f>
        <v>0</v>
      </c>
      <c r="D170" s="132">
        <f>SUMIFS('LIQUIDAÇÃO 2025'!$K:$K,'LIQUIDAÇÃO 2025'!$B:$B,'MEDIÇÃO '!$A$164,'LIQUIDAÇÃO 2025'!$C:$C,'MEDIÇÃO '!$B$164,'LIQUIDAÇÃO 2025'!$H:$H,'MEDIÇÃO '!D$166,'LIQUIDAÇÃO 2025'!$F:$F,'MEDIÇÃO '!$A$170)</f>
        <v>0</v>
      </c>
      <c r="E170" s="132">
        <f>SUMIFS('LIQUIDAÇÃO 2025'!$K:$K,'LIQUIDAÇÃO 2025'!$B:$B,'MEDIÇÃO '!$A$164,'LIQUIDAÇÃO 2025'!$C:$C,'MEDIÇÃO '!$B$164,'LIQUIDAÇÃO 2025'!$H:$H,'MEDIÇÃO '!E$166,'LIQUIDAÇÃO 2025'!$F:$F,'MEDIÇÃO '!$A$170)</f>
        <v>0</v>
      </c>
      <c r="F170" s="132">
        <f>SUMIFS('LIQUIDAÇÃO 2025'!$K:$K,'LIQUIDAÇÃO 2025'!$B:$B,'MEDIÇÃO '!$A$164,'LIQUIDAÇÃO 2025'!$C:$C,'MEDIÇÃO '!$B$164,'LIQUIDAÇÃO 2025'!$H:$H,'MEDIÇÃO '!F$166,'LIQUIDAÇÃO 2025'!$F:$F,'MEDIÇÃO '!$A$170)</f>
        <v>0</v>
      </c>
      <c r="G170" s="132">
        <f>SUMIFS('LIQUIDAÇÃO 2025'!$K:$K,'LIQUIDAÇÃO 2025'!$B:$B,'MEDIÇÃO '!$A$164,'LIQUIDAÇÃO 2025'!$C:$C,'MEDIÇÃO '!$B$164,'LIQUIDAÇÃO 2025'!$H:$H,'MEDIÇÃO '!G$166,'LIQUIDAÇÃO 2025'!$F:$F,'MEDIÇÃO '!$A$170)</f>
        <v>0</v>
      </c>
      <c r="H170" s="132">
        <f>SUMIFS('LIQUIDAÇÃO 2025'!$K:$K,'LIQUIDAÇÃO 2025'!$B:$B,'MEDIÇÃO '!$A$164,'LIQUIDAÇÃO 2025'!$C:$C,'MEDIÇÃO '!$B$164,'LIQUIDAÇÃO 2025'!$H:$H,'MEDIÇÃO '!H$166,'LIQUIDAÇÃO 2025'!$F:$F,'MEDIÇÃO '!$A$170)</f>
        <v>0</v>
      </c>
      <c r="I170" s="132">
        <f>SUMIFS('LIQUIDAÇÃO 2025'!$K:$K,'LIQUIDAÇÃO 2025'!$B:$B,'MEDIÇÃO '!$A$164,'LIQUIDAÇÃO 2025'!$C:$C,'MEDIÇÃO '!$B$164,'LIQUIDAÇÃO 2025'!$H:$H,'MEDIÇÃO '!I$166,'LIQUIDAÇÃO 2025'!$F:$F,'MEDIÇÃO '!$A$170)</f>
        <v>0</v>
      </c>
      <c r="J170" s="132">
        <f>SUMIFS('LIQUIDAÇÃO 2025'!$K:$K,'LIQUIDAÇÃO 2025'!$B:$B,'MEDIÇÃO '!$A$164,'LIQUIDAÇÃO 2025'!$C:$C,'MEDIÇÃO '!$B$164,'LIQUIDAÇÃO 2025'!$H:$H,'MEDIÇÃO '!J$166,'LIQUIDAÇÃO 2025'!$F:$F,'MEDIÇÃO '!$A$170)</f>
        <v>0</v>
      </c>
      <c r="K170" s="132">
        <f>SUMIFS('LIQUIDAÇÃO 2025'!$K:$K,'LIQUIDAÇÃO 2025'!$B:$B,'MEDIÇÃO '!$A$164,'LIQUIDAÇÃO 2025'!$C:$C,'MEDIÇÃO '!$B$164,'LIQUIDAÇÃO 2025'!$H:$H,'MEDIÇÃO '!K$166,'LIQUIDAÇÃO 2025'!$F:$F,'MEDIÇÃO '!$A$170)</f>
        <v>0</v>
      </c>
      <c r="L170" s="132">
        <f>SUMIFS('LIQUIDAÇÃO 2025'!$K:$K,'LIQUIDAÇÃO 2025'!$B:$B,'MEDIÇÃO '!$A$164,'LIQUIDAÇÃO 2025'!$C:$C,'MEDIÇÃO '!$B$164,'LIQUIDAÇÃO 2025'!$H:$H,'MEDIÇÃO '!L$166,'LIQUIDAÇÃO 2025'!$F:$F,'MEDIÇÃO '!$A$170)</f>
        <v>0</v>
      </c>
      <c r="M170" s="132">
        <f>SUMIFS('LIQUIDAÇÃO 2025'!$K:$K,'LIQUIDAÇÃO 2025'!$B:$B,'MEDIÇÃO '!$A$164,'LIQUIDAÇÃO 2025'!$C:$C,'MEDIÇÃO '!$B$164,'LIQUIDAÇÃO 2025'!$H:$H,'MEDIÇÃO '!M$166,'LIQUIDAÇÃO 2025'!$F:$F,'MEDIÇÃO '!$A$170)</f>
        <v>0</v>
      </c>
      <c r="N170" s="1067"/>
    </row>
    <row r="171" spans="1:16" s="57" customFormat="1">
      <c r="A171" s="131" t="str" cm="1">
        <f t="array" ref="A171">IFERROR(INDEX(Tabela3[[CÓDIGO
 EMPRESA ]:[EMPENHO]],SMALL(IF(Tabela3[CÓDIGO
 EMPRESA ]='MEDIÇÃO '!$A$164,ROW(Tabela3[CÓDIGO
 EMPRESA ])-3),ROW(P4)),3),"")</f>
        <v/>
      </c>
      <c r="B171" s="132">
        <f>SUMIFS('LIQUIDAÇÃO 2025'!$K:$K,'LIQUIDAÇÃO 2025'!$B:$B,'MEDIÇÃO '!$A$164,'LIQUIDAÇÃO 2025'!$C:$C,'MEDIÇÃO '!$B$164,'LIQUIDAÇÃO 2025'!$H:$H,'MEDIÇÃO '!B$166,'LIQUIDAÇÃO 2025'!$F:$F,'MEDIÇÃO '!$A$171)</f>
        <v>0</v>
      </c>
      <c r="C171" s="132">
        <f>SUMIFS('LIQUIDAÇÃO 2025'!$K:$K,'LIQUIDAÇÃO 2025'!$B:$B,'MEDIÇÃO '!$A$164,'LIQUIDAÇÃO 2025'!$C:$C,'MEDIÇÃO '!$B$164,'LIQUIDAÇÃO 2025'!$H:$H,'MEDIÇÃO '!C$166,'LIQUIDAÇÃO 2025'!$F:$F,'MEDIÇÃO '!$A$171)</f>
        <v>0</v>
      </c>
      <c r="D171" s="132">
        <f>SUMIFS('LIQUIDAÇÃO 2025'!$K:$K,'LIQUIDAÇÃO 2025'!$B:$B,'MEDIÇÃO '!$A$164,'LIQUIDAÇÃO 2025'!$C:$C,'MEDIÇÃO '!$B$164,'LIQUIDAÇÃO 2025'!$H:$H,'MEDIÇÃO '!D$166,'LIQUIDAÇÃO 2025'!$F:$F,'MEDIÇÃO '!$A$171)</f>
        <v>0</v>
      </c>
      <c r="E171" s="132">
        <f>SUMIFS('LIQUIDAÇÃO 2025'!$K:$K,'LIQUIDAÇÃO 2025'!$B:$B,'MEDIÇÃO '!$A$164,'LIQUIDAÇÃO 2025'!$C:$C,'MEDIÇÃO '!$B$164,'LIQUIDAÇÃO 2025'!$H:$H,'MEDIÇÃO '!E$166,'LIQUIDAÇÃO 2025'!$F:$F,'MEDIÇÃO '!$A$171)</f>
        <v>0</v>
      </c>
      <c r="F171" s="132">
        <f>SUMIFS('LIQUIDAÇÃO 2025'!$K:$K,'LIQUIDAÇÃO 2025'!$B:$B,'MEDIÇÃO '!$A$164,'LIQUIDAÇÃO 2025'!$C:$C,'MEDIÇÃO '!$B$164,'LIQUIDAÇÃO 2025'!$H:$H,'MEDIÇÃO '!F$166,'LIQUIDAÇÃO 2025'!$F:$F,'MEDIÇÃO '!$A$171)</f>
        <v>0</v>
      </c>
      <c r="G171" s="132">
        <f>SUMIFS('LIQUIDAÇÃO 2025'!$K:$K,'LIQUIDAÇÃO 2025'!$B:$B,'MEDIÇÃO '!$A$164,'LIQUIDAÇÃO 2025'!$C:$C,'MEDIÇÃO '!$B$164,'LIQUIDAÇÃO 2025'!$H:$H,'MEDIÇÃO '!G$166,'LIQUIDAÇÃO 2025'!$F:$F,'MEDIÇÃO '!$A$171)</f>
        <v>0</v>
      </c>
      <c r="H171" s="132">
        <f>SUMIFS('LIQUIDAÇÃO 2025'!$K:$K,'LIQUIDAÇÃO 2025'!$B:$B,'MEDIÇÃO '!$A$164,'LIQUIDAÇÃO 2025'!$C:$C,'MEDIÇÃO '!$B$164,'LIQUIDAÇÃO 2025'!$H:$H,'MEDIÇÃO '!H$166,'LIQUIDAÇÃO 2025'!$F:$F,'MEDIÇÃO '!$A$171)</f>
        <v>0</v>
      </c>
      <c r="I171" s="132">
        <f>SUMIFS('LIQUIDAÇÃO 2025'!$K:$K,'LIQUIDAÇÃO 2025'!$B:$B,'MEDIÇÃO '!$A$164,'LIQUIDAÇÃO 2025'!$C:$C,'MEDIÇÃO '!$B$164,'LIQUIDAÇÃO 2025'!$H:$H,'MEDIÇÃO '!I$166,'LIQUIDAÇÃO 2025'!$F:$F,'MEDIÇÃO '!$A$171)</f>
        <v>0</v>
      </c>
      <c r="J171" s="132">
        <f>SUMIFS('LIQUIDAÇÃO 2025'!$K:$K,'LIQUIDAÇÃO 2025'!$B:$B,'MEDIÇÃO '!$A$164,'LIQUIDAÇÃO 2025'!$C:$C,'MEDIÇÃO '!$B$164,'LIQUIDAÇÃO 2025'!$H:$H,'MEDIÇÃO '!J$166,'LIQUIDAÇÃO 2025'!$F:$F,'MEDIÇÃO '!$A$171)</f>
        <v>0</v>
      </c>
      <c r="K171" s="132">
        <f>SUMIFS('LIQUIDAÇÃO 2025'!$K:$K,'LIQUIDAÇÃO 2025'!$B:$B,'MEDIÇÃO '!$A$164,'LIQUIDAÇÃO 2025'!$C:$C,'MEDIÇÃO '!$B$164,'LIQUIDAÇÃO 2025'!$H:$H,'MEDIÇÃO '!K$166,'LIQUIDAÇÃO 2025'!$F:$F,'MEDIÇÃO '!$A$171)</f>
        <v>0</v>
      </c>
      <c r="L171" s="132">
        <f>SUMIFS('LIQUIDAÇÃO 2025'!$K:$K,'LIQUIDAÇÃO 2025'!$B:$B,'MEDIÇÃO '!$A$164,'LIQUIDAÇÃO 2025'!$C:$C,'MEDIÇÃO '!$B$164,'LIQUIDAÇÃO 2025'!$H:$H,'MEDIÇÃO '!L$166,'LIQUIDAÇÃO 2025'!$F:$F,'MEDIÇÃO '!$A$171)</f>
        <v>0</v>
      </c>
      <c r="M171" s="132">
        <f>SUMIFS('LIQUIDAÇÃO 2025'!$K:$K,'LIQUIDAÇÃO 2025'!$B:$B,'MEDIÇÃO '!$A$164,'LIQUIDAÇÃO 2025'!$C:$C,'MEDIÇÃO '!$B$164,'LIQUIDAÇÃO 2025'!$H:$H,'MEDIÇÃO '!M$166,'LIQUIDAÇÃO 2025'!$F:$F,'MEDIÇÃO '!$A$171)</f>
        <v>0</v>
      </c>
      <c r="N171" s="1067"/>
    </row>
    <row r="172" spans="1:16" s="57" customFormat="1" ht="15.75" thickBot="1">
      <c r="A172" s="131" t="str" cm="1">
        <f t="array" ref="A172">IFERROR(INDEX(Tabela3[[CÓDIGO
 EMPRESA ]:[EMPENHO]],SMALL(IF(Tabela3[CÓDIGO
 EMPRESA ]='MEDIÇÃO '!$A$164,ROW(Tabela3[CÓDIGO
 EMPRESA ])-3),ROW(P5)),3),"")</f>
        <v/>
      </c>
      <c r="B172" s="132">
        <f>SUMIFS('LIQUIDAÇÃO 2025'!$K:$K,'LIQUIDAÇÃO 2025'!$B:$B,'MEDIÇÃO '!$A$164,'LIQUIDAÇÃO 2025'!$C:$C,'MEDIÇÃO '!$B$164,'LIQUIDAÇÃO 2025'!$H:$H,'MEDIÇÃO '!B$166,'LIQUIDAÇÃO 2025'!$F:$F,'MEDIÇÃO '!$A$172)</f>
        <v>0</v>
      </c>
      <c r="C172" s="132">
        <f>SUMIFS('LIQUIDAÇÃO 2025'!$K:$K,'LIQUIDAÇÃO 2025'!$B:$B,'MEDIÇÃO '!$A$164,'LIQUIDAÇÃO 2025'!$C:$C,'MEDIÇÃO '!$B$164,'LIQUIDAÇÃO 2025'!$H:$H,'MEDIÇÃO '!C$166,'LIQUIDAÇÃO 2025'!$F:$F,'MEDIÇÃO '!$A$172)</f>
        <v>0</v>
      </c>
      <c r="D172" s="132">
        <f>SUMIFS('LIQUIDAÇÃO 2025'!$K:$K,'LIQUIDAÇÃO 2025'!$B:$B,'MEDIÇÃO '!$A$164,'LIQUIDAÇÃO 2025'!$C:$C,'MEDIÇÃO '!$B$164,'LIQUIDAÇÃO 2025'!$H:$H,'MEDIÇÃO '!D$166,'LIQUIDAÇÃO 2025'!$F:$F,'MEDIÇÃO '!$A$172)</f>
        <v>0</v>
      </c>
      <c r="E172" s="132">
        <f>SUMIFS('LIQUIDAÇÃO 2025'!$K:$K,'LIQUIDAÇÃO 2025'!$B:$B,'MEDIÇÃO '!$A$164,'LIQUIDAÇÃO 2025'!$C:$C,'MEDIÇÃO '!$B$164,'LIQUIDAÇÃO 2025'!$H:$H,'MEDIÇÃO '!E$166,'LIQUIDAÇÃO 2025'!$F:$F,'MEDIÇÃO '!$A$172)</f>
        <v>0</v>
      </c>
      <c r="F172" s="132">
        <f>SUMIFS('LIQUIDAÇÃO 2025'!$K:$K,'LIQUIDAÇÃO 2025'!$B:$B,'MEDIÇÃO '!$A$164,'LIQUIDAÇÃO 2025'!$C:$C,'MEDIÇÃO '!$B$164,'LIQUIDAÇÃO 2025'!$H:$H,'MEDIÇÃO '!F$166,'LIQUIDAÇÃO 2025'!$F:$F,'MEDIÇÃO '!$A$172)</f>
        <v>0</v>
      </c>
      <c r="G172" s="132">
        <f>SUMIFS('LIQUIDAÇÃO 2025'!$K:$K,'LIQUIDAÇÃO 2025'!$B:$B,'MEDIÇÃO '!$A$164,'LIQUIDAÇÃO 2025'!$C:$C,'MEDIÇÃO '!$B$164,'LIQUIDAÇÃO 2025'!$H:$H,'MEDIÇÃO '!G$166,'LIQUIDAÇÃO 2025'!$F:$F,'MEDIÇÃO '!$A$172)</f>
        <v>0</v>
      </c>
      <c r="H172" s="132">
        <f>SUMIFS('LIQUIDAÇÃO 2025'!$K:$K,'LIQUIDAÇÃO 2025'!$B:$B,'MEDIÇÃO '!$A$164,'LIQUIDAÇÃO 2025'!$C:$C,'MEDIÇÃO '!$B$164,'LIQUIDAÇÃO 2025'!$H:$H,'MEDIÇÃO '!H$166,'LIQUIDAÇÃO 2025'!$F:$F,'MEDIÇÃO '!$A$172)</f>
        <v>0</v>
      </c>
      <c r="I172" s="132">
        <f>SUMIFS('LIQUIDAÇÃO 2025'!$K:$K,'LIQUIDAÇÃO 2025'!$B:$B,'MEDIÇÃO '!$A$164,'LIQUIDAÇÃO 2025'!$C:$C,'MEDIÇÃO '!$B$164,'LIQUIDAÇÃO 2025'!$H:$H,'MEDIÇÃO '!I$166,'LIQUIDAÇÃO 2025'!$F:$F,'MEDIÇÃO '!$A$172)</f>
        <v>0</v>
      </c>
      <c r="J172" s="132">
        <f>SUMIFS('LIQUIDAÇÃO 2025'!$K:$K,'LIQUIDAÇÃO 2025'!$B:$B,'MEDIÇÃO '!$A$164,'LIQUIDAÇÃO 2025'!$C:$C,'MEDIÇÃO '!$B$164,'LIQUIDAÇÃO 2025'!$H:$H,'MEDIÇÃO '!J$166,'LIQUIDAÇÃO 2025'!$F:$F,'MEDIÇÃO '!$A$172)</f>
        <v>0</v>
      </c>
      <c r="K172" s="132">
        <f>SUMIFS('LIQUIDAÇÃO 2025'!$K:$K,'LIQUIDAÇÃO 2025'!$B:$B,'MEDIÇÃO '!$A$164,'LIQUIDAÇÃO 2025'!$C:$C,'MEDIÇÃO '!$B$164,'LIQUIDAÇÃO 2025'!$H:$H,'MEDIÇÃO '!K$166,'LIQUIDAÇÃO 2025'!$F:$F,'MEDIÇÃO '!$A$172)</f>
        <v>0</v>
      </c>
      <c r="L172" s="132">
        <f>SUMIFS('LIQUIDAÇÃO 2025'!$K:$K,'LIQUIDAÇÃO 2025'!$B:$B,'MEDIÇÃO '!$A$164,'LIQUIDAÇÃO 2025'!$C:$C,'MEDIÇÃO '!$B$164,'LIQUIDAÇÃO 2025'!$H:$H,'MEDIÇÃO '!L$166,'LIQUIDAÇÃO 2025'!$F:$F,'MEDIÇÃO '!$A$172)</f>
        <v>0</v>
      </c>
      <c r="M172" s="132">
        <f>SUMIFS('LIQUIDAÇÃO 2025'!$K:$K,'LIQUIDAÇÃO 2025'!$B:$B,'MEDIÇÃO '!$A$164,'LIQUIDAÇÃO 2025'!$C:$C,'MEDIÇÃO '!$B$164,'LIQUIDAÇÃO 2025'!$H:$H,'MEDIÇÃO '!M$166,'LIQUIDAÇÃO 2025'!$F:$F,'MEDIÇÃO '!$A$172)</f>
        <v>0</v>
      </c>
      <c r="N172" s="1067"/>
    </row>
    <row r="173" spans="1:16" s="57" customFormat="1" ht="16.5" thickBot="1">
      <c r="A173" s="214" t="s">
        <v>38</v>
      </c>
      <c r="B173" s="215"/>
      <c r="C173" s="215"/>
      <c r="D173" s="215"/>
      <c r="E173" s="215">
        <v>653958.24</v>
      </c>
      <c r="F173" s="215">
        <v>578501.52</v>
      </c>
      <c r="G173" s="215"/>
      <c r="H173" s="215"/>
      <c r="I173" s="215"/>
      <c r="J173" s="215"/>
      <c r="K173" s="215"/>
      <c r="L173" s="215"/>
      <c r="M173" s="215"/>
      <c r="N173" s="1068"/>
    </row>
    <row r="174" spans="1:16" s="57" customFormat="1" ht="15.75">
      <c r="A174" s="212" t="s">
        <v>127</v>
      </c>
      <c r="B174" s="216">
        <f>IF(SUM(B168:B172)&lt;&gt;0,B167-B173-SUM(B168:B172),(B167-SUM(B168:B172)-B173))</f>
        <v>0</v>
      </c>
      <c r="C174" s="216">
        <f t="shared" ref="C174" si="117">IF(SUM(C168:C172)&lt;&gt;0,C167-C173-SUM(C168:C172),(C167-SUM(C168:C172)-C173))</f>
        <v>653958.24</v>
      </c>
      <c r="D174" s="216">
        <f t="shared" ref="D174" si="118">IF(SUM(D168:D172)&lt;&gt;0,D167-D173-SUM(D168:D172),(D167-SUM(D168:D172)-D173))</f>
        <v>545093.46</v>
      </c>
      <c r="E174" s="216">
        <f t="shared" ref="E174" si="119">IF(SUM(E168:E172)&lt;&gt;0,E167-E173-SUM(E168:E172),(E167-SUM(E168:E172)-E173))</f>
        <v>0</v>
      </c>
      <c r="F174" s="216">
        <f t="shared" ref="F174" si="120">IF(SUM(F168:F172)&lt;&gt;0,F167-F173-SUM(F168:F172),(F167-SUM(F168:F172)-F173))</f>
        <v>-98595.49</v>
      </c>
      <c r="G174" s="216">
        <f>IF(SUM(G168:G172)&lt;&gt;0,G167-G173-SUM(G168:G172),(G167-SUM(G168:G172)-G173))</f>
        <v>0</v>
      </c>
      <c r="H174" s="216">
        <f t="shared" ref="H174" si="121">IF(SUM(H168:H172)&lt;&gt;0,H167-H173-SUM(H168:H172),(H167-SUM(H168:H172)-H173))</f>
        <v>0</v>
      </c>
      <c r="I174" s="216">
        <f t="shared" ref="I174" si="122">IF(SUM(I168:I172)&lt;&gt;0,I167-I173-SUM(I168:I172),(I167-SUM(I168:I172)-I173))</f>
        <v>0</v>
      </c>
      <c r="J174" s="216">
        <f t="shared" ref="J174" si="123">IF(SUM(J168:J172)&lt;&gt;0,J167-J173-SUM(J168:J172),(J167-SUM(J168:J172)-J173))</f>
        <v>0</v>
      </c>
      <c r="K174" s="216">
        <f t="shared" ref="K174" si="124">IF(SUM(K168:K172)&lt;&gt;0,K167-K173-SUM(K168:K172),(K167-SUM(K168:K172)-K173))</f>
        <v>0</v>
      </c>
      <c r="L174" s="216">
        <f t="shared" ref="L174" si="125">IF(SUM(L168:L172)&lt;&gt;0,L167-L173-SUM(L168:L172),(L167-SUM(L168:L172)-L173))</f>
        <v>0</v>
      </c>
      <c r="M174" s="216">
        <f t="shared" ref="M174" si="126">IF(SUM(M168:M172)&lt;&gt;0,M167-M173-SUM(M168:M172),(M167-SUM(M168:M172)-M173))</f>
        <v>0</v>
      </c>
      <c r="N174" s="213">
        <f>SUM(B167:M167)-SUM(B168:M172)-SUM(B173:M173)</f>
        <v>1100456.21</v>
      </c>
    </row>
    <row r="175" spans="1:16" s="57" customFormat="1">
      <c r="A175" s="88"/>
      <c r="B175" s="138"/>
      <c r="C175" s="138"/>
      <c r="D175" s="138"/>
      <c r="E175" s="138"/>
      <c r="F175" s="138"/>
      <c r="G175" s="138"/>
      <c r="H175" s="138"/>
      <c r="I175" s="138"/>
      <c r="J175" s="138"/>
      <c r="K175" s="138"/>
      <c r="L175" s="138"/>
      <c r="M175" s="138"/>
      <c r="N175" s="211"/>
    </row>
    <row r="176" spans="1:16" s="57" customFormat="1" ht="18.75" customHeight="1">
      <c r="A176" s="123">
        <v>60979</v>
      </c>
      <c r="B176" s="118" t="s">
        <v>122</v>
      </c>
      <c r="C176" s="115"/>
      <c r="D176" s="115"/>
      <c r="E176" s="115"/>
      <c r="F176" s="91" t="s">
        <v>116</v>
      </c>
      <c r="G176" s="92" t="s">
        <v>117</v>
      </c>
      <c r="H176" s="1062" t="s">
        <v>113</v>
      </c>
      <c r="I176" s="1062"/>
      <c r="J176" s="1062" t="s">
        <v>114</v>
      </c>
      <c r="K176" s="1062"/>
      <c r="L176" s="1062" t="s">
        <v>118</v>
      </c>
      <c r="M176" s="1062"/>
      <c r="N176" s="92" t="s">
        <v>115</v>
      </c>
    </row>
    <row r="177" spans="1:19" s="57" customFormat="1" ht="18.75" customHeight="1">
      <c r="A177" s="121"/>
      <c r="B177" s="121"/>
      <c r="C177" s="121"/>
      <c r="D177" s="121"/>
      <c r="E177" s="121"/>
      <c r="F177" s="97" t="str">
        <f>VALIDAÇÕES!C12</f>
        <v>36764/2023</v>
      </c>
      <c r="G177" s="97" t="str">
        <f>VALIDAÇÕES!D12</f>
        <v>39201/2023</v>
      </c>
      <c r="H177" s="1061">
        <f>VALIDAÇÕES!G12</f>
        <v>26365500</v>
      </c>
      <c r="I177" s="1061"/>
      <c r="J177" s="1061">
        <f>VALIDAÇÕES!H12</f>
        <v>10546200</v>
      </c>
      <c r="K177" s="1061"/>
      <c r="L177" s="1063">
        <f>VALIDAÇÕES!E12</f>
        <v>45271</v>
      </c>
      <c r="M177" s="1063"/>
      <c r="N177" s="202">
        <f>VALIDAÇÕES!F12</f>
        <v>46153</v>
      </c>
    </row>
    <row r="178" spans="1:19" s="57" customFormat="1" ht="15.75" customHeight="1">
      <c r="A178" s="1060" t="s">
        <v>7</v>
      </c>
      <c r="B178" s="89" t="s">
        <v>44</v>
      </c>
      <c r="C178" s="89" t="s">
        <v>43</v>
      </c>
      <c r="D178" s="89" t="s">
        <v>45</v>
      </c>
      <c r="E178" s="89" t="s">
        <v>46</v>
      </c>
      <c r="F178" s="89" t="s">
        <v>47</v>
      </c>
      <c r="G178" s="89" t="s">
        <v>48</v>
      </c>
      <c r="H178" s="89" t="s">
        <v>49</v>
      </c>
      <c r="I178" s="89" t="s">
        <v>50</v>
      </c>
      <c r="J178" s="89" t="s">
        <v>51</v>
      </c>
      <c r="K178" s="89" t="s">
        <v>52</v>
      </c>
      <c r="L178" s="89" t="s">
        <v>53</v>
      </c>
      <c r="M178" s="89" t="s">
        <v>54</v>
      </c>
      <c r="N178" s="1066" t="s">
        <v>112</v>
      </c>
    </row>
    <row r="179" spans="1:19" s="57" customFormat="1" ht="15" customHeight="1">
      <c r="A179" s="1060"/>
      <c r="B179" s="100"/>
      <c r="C179" s="100">
        <v>1843298.1</v>
      </c>
      <c r="D179" s="100"/>
      <c r="E179" s="100">
        <v>700000</v>
      </c>
      <c r="F179" s="100">
        <v>300000</v>
      </c>
      <c r="G179" s="100">
        <v>1156701.8999999999</v>
      </c>
      <c r="H179" s="100">
        <v>100000</v>
      </c>
      <c r="I179" s="100"/>
      <c r="J179" s="100"/>
      <c r="K179" s="100"/>
      <c r="L179" s="100"/>
      <c r="M179" s="100"/>
      <c r="N179" s="1067"/>
    </row>
    <row r="180" spans="1:19" s="57" customFormat="1">
      <c r="A180" s="131" cm="1">
        <f t="array" ref="A180">IFERROR(INDEX(Tabela3[[CÓDIGO
 EMPRESA ]:[EMPENHO]],SMALL(IF(Tabela3[CÓDIGO
 EMPRESA ]='MEDIÇÃO '!$A$176,ROW(Tabela3[CÓDIGO
 EMPRESA ])-3),ROW(P1)),3),"")</f>
        <v>3679</v>
      </c>
      <c r="B180" s="132">
        <f>SUMIFS('LIQUIDAÇÃO 2025'!$K:$K,'LIQUIDAÇÃO 2025'!$B:$B,'MEDIÇÃO '!$A$176,'LIQUIDAÇÃO 2025'!$C:$C,'MEDIÇÃO '!$B$176,'LIQUIDAÇÃO 2025'!$H:$H,'MEDIÇÃO '!B$178,'LIQUIDAÇÃO 2025'!$F:$F,'MEDIÇÃO '!$A$180)</f>
        <v>0</v>
      </c>
      <c r="C180" s="132">
        <f>SUMIFS('LIQUIDAÇÃO 2025'!$K:$K,'LIQUIDAÇÃO 2025'!$B:$B,'MEDIÇÃO '!$A$176,'LIQUIDAÇÃO 2025'!$C:$C,'MEDIÇÃO '!$B$176,'LIQUIDAÇÃO 2025'!$H:$H,'MEDIÇÃO '!C$178,'LIQUIDAÇÃO 2025'!$F:$F,'MEDIÇÃO '!$A$180)</f>
        <v>537335.4</v>
      </c>
      <c r="D180" s="132">
        <f>SUMIFS('LIQUIDAÇÃO 2025'!$K:$K,'LIQUIDAÇÃO 2025'!$B:$B,'MEDIÇÃO '!$A$176,'LIQUIDAÇÃO 2025'!$C:$C,'MEDIÇÃO '!$B$176,'LIQUIDAÇÃO 2025'!$H:$H,'MEDIÇÃO '!D$178,'LIQUIDAÇÃO 2025'!$F:$F,'MEDIÇÃO '!$A$180)</f>
        <v>0</v>
      </c>
      <c r="E180" s="132">
        <f>SUMIFS('LIQUIDAÇÃO 2025'!$K:$K,'LIQUIDAÇÃO 2025'!$B:$B,'MEDIÇÃO '!$A$176,'LIQUIDAÇÃO 2025'!$C:$C,'MEDIÇÃO '!$B$176,'LIQUIDAÇÃO 2025'!$H:$H,'MEDIÇÃO '!E$178,'LIQUIDAÇÃO 2025'!$F:$F,'MEDIÇÃO '!$A$180)</f>
        <v>529914</v>
      </c>
      <c r="F180" s="132">
        <f>SUMIFS('LIQUIDAÇÃO 2025'!$K:$K,'LIQUIDAÇÃO 2025'!$B:$B,'MEDIÇÃO '!$A$176,'LIQUIDAÇÃO 2025'!$C:$C,'MEDIÇÃO '!$B$176,'LIQUIDAÇÃO 2025'!$H:$H,'MEDIÇÃO '!F$178,'LIQUIDAÇÃO 2025'!$F:$F,'MEDIÇÃO '!$A$180)</f>
        <v>581277.9</v>
      </c>
      <c r="G180" s="132">
        <f>SUMIFS('LIQUIDAÇÃO 2025'!$K:$K,'LIQUIDAÇÃO 2025'!$B:$B,'MEDIÇÃO '!$A$176,'LIQUIDAÇÃO 2025'!$C:$C,'MEDIÇÃO '!$B$176,'LIQUIDAÇÃO 2025'!$H:$H,'MEDIÇÃO '!G$178,'LIQUIDAÇÃO 2025'!$F:$F,'MEDIÇÃO '!$A$180)</f>
        <v>194770.8</v>
      </c>
      <c r="H180" s="132">
        <f>SUMIFS('LIQUIDAÇÃO 2025'!$K:$K,'LIQUIDAÇÃO 2025'!$B:$B,'MEDIÇÃO '!$A$176,'LIQUIDAÇÃO 2025'!$C:$C,'MEDIÇÃO '!$B$176,'LIQUIDAÇÃO 2025'!$H:$H,'MEDIÇÃO '!H$178,'LIQUIDAÇÃO 2025'!$F:$F,'MEDIÇÃO '!$A$180)</f>
        <v>0</v>
      </c>
      <c r="I180" s="132">
        <f>SUMIFS('LIQUIDAÇÃO 2025'!$K:$K,'LIQUIDAÇÃO 2025'!$B:$B,'MEDIÇÃO '!$A$176,'LIQUIDAÇÃO 2025'!$C:$C,'MEDIÇÃO '!$B$176,'LIQUIDAÇÃO 2025'!$H:$H,'MEDIÇÃO '!I$178,'LIQUIDAÇÃO 2025'!$F:$F,'MEDIÇÃO '!$A$180)</f>
        <v>0</v>
      </c>
      <c r="J180" s="132">
        <f>SUMIFS('LIQUIDAÇÃO 2025'!$K:$K,'LIQUIDAÇÃO 2025'!$B:$B,'MEDIÇÃO '!$A$176,'LIQUIDAÇÃO 2025'!$C:$C,'MEDIÇÃO '!$B$176,'LIQUIDAÇÃO 2025'!$H:$H,'MEDIÇÃO '!J$178,'LIQUIDAÇÃO 2025'!$F:$F,'MEDIÇÃO '!$A$180)</f>
        <v>0</v>
      </c>
      <c r="K180" s="132">
        <f>SUMIFS('LIQUIDAÇÃO 2025'!$K:$K,'LIQUIDAÇÃO 2025'!$B:$B,'MEDIÇÃO '!$A$176,'LIQUIDAÇÃO 2025'!$C:$C,'MEDIÇÃO '!$B$176,'LIQUIDAÇÃO 2025'!$H:$H,'MEDIÇÃO '!K$178,'LIQUIDAÇÃO 2025'!$F:$F,'MEDIÇÃO '!$A$180)</f>
        <v>0</v>
      </c>
      <c r="L180" s="132">
        <f>SUMIFS('LIQUIDAÇÃO 2025'!$K:$K,'LIQUIDAÇÃO 2025'!$B:$B,'MEDIÇÃO '!$A$176,'LIQUIDAÇÃO 2025'!$C:$C,'MEDIÇÃO '!$B$176,'LIQUIDAÇÃO 2025'!$H:$H,'MEDIÇÃO '!L$178,'LIQUIDAÇÃO 2025'!$F:$F,'MEDIÇÃO '!$A$180)</f>
        <v>0</v>
      </c>
      <c r="M180" s="132">
        <f>SUMIFS('LIQUIDAÇÃO 2025'!$K:$K,'LIQUIDAÇÃO 2025'!$B:$B,'MEDIÇÃO '!$A$176,'LIQUIDAÇÃO 2025'!$C:$C,'MEDIÇÃO '!$B$176,'LIQUIDAÇÃO 2025'!$H:$H,'MEDIÇÃO '!M$178,'LIQUIDAÇÃO 2025'!$F:$F,'MEDIÇÃO '!$A$180)</f>
        <v>0</v>
      </c>
      <c r="N180" s="1067"/>
      <c r="P180" s="708">
        <v>700000</v>
      </c>
      <c r="S180" s="57">
        <v>7000</v>
      </c>
    </row>
    <row r="181" spans="1:19" s="57" customFormat="1">
      <c r="A181" s="131" cm="1">
        <f t="array" ref="A181">IFERROR(INDEX(Tabela3[[CÓDIGO
 EMPRESA ]:[EMPENHO]],SMALL(IF(Tabela3[CÓDIGO
 EMPRESA ]='MEDIÇÃO '!$A$176,ROW(Tabela3[CÓDIGO
 EMPRESA ])-3),ROW(P2)),3),"")</f>
        <v>5141</v>
      </c>
      <c r="B181" s="132">
        <f>SUMIFS('LIQUIDAÇÃO 2025'!$K:$K,'LIQUIDAÇÃO 2025'!$B:$B,'MEDIÇÃO '!$A$176,'LIQUIDAÇÃO 2025'!$C:$C,'MEDIÇÃO '!$B$176,'LIQUIDAÇÃO 2025'!$H:$H,'MEDIÇÃO '!B$178,'LIQUIDAÇÃO 2025'!$F:$F,'MEDIÇÃO '!$A$181)</f>
        <v>0</v>
      </c>
      <c r="C181" s="132">
        <f>SUMIFS('LIQUIDAÇÃO 2025'!$K:$K,'LIQUIDAÇÃO 2025'!$B:$B,'MEDIÇÃO '!$A$176,'LIQUIDAÇÃO 2025'!$C:$C,'MEDIÇÃO '!$B$176,'LIQUIDAÇÃO 2025'!$H:$H,'MEDIÇÃO '!C$178,'LIQUIDAÇÃO 2025'!$F:$F,'MEDIÇÃO '!$A$181)</f>
        <v>0</v>
      </c>
      <c r="D181" s="132">
        <f>SUMIFS('LIQUIDAÇÃO 2025'!$K:$K,'LIQUIDAÇÃO 2025'!$B:$B,'MEDIÇÃO '!$A$176,'LIQUIDAÇÃO 2025'!$C:$C,'MEDIÇÃO '!$B$176,'LIQUIDAÇÃO 2025'!$H:$H,'MEDIÇÃO '!D$178,'LIQUIDAÇÃO 2025'!$F:$F,'MEDIÇÃO '!$A$181)</f>
        <v>0</v>
      </c>
      <c r="E181" s="132">
        <f>SUMIFS('LIQUIDAÇÃO 2025'!$K:$K,'LIQUIDAÇÃO 2025'!$B:$B,'MEDIÇÃO '!$A$176,'LIQUIDAÇÃO 2025'!$C:$C,'MEDIÇÃO '!$B$176,'LIQUIDAÇÃO 2025'!$H:$H,'MEDIÇÃO '!E$178,'LIQUIDAÇÃO 2025'!$F:$F,'MEDIÇÃO '!$A$181)</f>
        <v>0</v>
      </c>
      <c r="F181" s="132">
        <f>SUMIFS('LIQUIDAÇÃO 2025'!$K:$K,'LIQUIDAÇÃO 2025'!$B:$B,'MEDIÇÃO '!$A$176,'LIQUIDAÇÃO 2025'!$C:$C,'MEDIÇÃO '!$B$176,'LIQUIDAÇÃO 2025'!$H:$H,'MEDIÇÃO '!F$178,'LIQUIDAÇÃO 2025'!$F:$F,'MEDIÇÃO '!$A$181)</f>
        <v>0</v>
      </c>
      <c r="G181" s="132">
        <f>SUMIFS('LIQUIDAÇÃO 2025'!$K:$K,'LIQUIDAÇÃO 2025'!$B:$B,'MEDIÇÃO '!$A$176,'LIQUIDAÇÃO 2025'!$C:$C,'MEDIÇÃO '!$B$176,'LIQUIDAÇÃO 2025'!$H:$H,'MEDIÇÃO '!G$178,'LIQUIDAÇÃO 2025'!$F:$F,'MEDIÇÃO '!$A$181)</f>
        <v>407990.1</v>
      </c>
      <c r="H181" s="132">
        <f>SUMIFS('LIQUIDAÇÃO 2025'!$K:$K,'LIQUIDAÇÃO 2025'!$B:$B,'MEDIÇÃO '!$A$176,'LIQUIDAÇÃO 2025'!$C:$C,'MEDIÇÃO '!$B$176,'LIQUIDAÇÃO 2025'!$H:$H,'MEDIÇÃO '!H$178,'LIQUIDAÇÃO 2025'!$F:$F,'MEDIÇÃO '!$A$181)</f>
        <v>292009.90000000002</v>
      </c>
      <c r="I181" s="132">
        <f>SUMIFS('LIQUIDAÇÃO 2025'!$K:$K,'LIQUIDAÇÃO 2025'!$B:$B,'MEDIÇÃO '!$A$176,'LIQUIDAÇÃO 2025'!$C:$C,'MEDIÇÃO '!$B$176,'LIQUIDAÇÃO 2025'!$H:$H,'MEDIÇÃO '!I$178,'LIQUIDAÇÃO 2025'!$F:$F,'MEDIÇÃO '!$A$181)</f>
        <v>0</v>
      </c>
      <c r="J181" s="132">
        <f>SUMIFS('LIQUIDAÇÃO 2025'!$K:$K,'LIQUIDAÇÃO 2025'!$B:$B,'MEDIÇÃO '!$A$176,'LIQUIDAÇÃO 2025'!$C:$C,'MEDIÇÃO '!$B$176,'LIQUIDAÇÃO 2025'!$H:$H,'MEDIÇÃO '!J$178,'LIQUIDAÇÃO 2025'!$F:$F,'MEDIÇÃO '!$A$181)</f>
        <v>0</v>
      </c>
      <c r="K181" s="132">
        <f>SUMIFS('LIQUIDAÇÃO 2025'!$K:$K,'LIQUIDAÇÃO 2025'!$B:$B,'MEDIÇÃO '!$A$176,'LIQUIDAÇÃO 2025'!$C:$C,'MEDIÇÃO '!$B$176,'LIQUIDAÇÃO 2025'!$H:$H,'MEDIÇÃO '!K$178,'LIQUIDAÇÃO 2025'!$F:$F,'MEDIÇÃO '!$A$181)</f>
        <v>0</v>
      </c>
      <c r="L181" s="132">
        <f>SUMIFS('LIQUIDAÇÃO 2025'!$K:$K,'LIQUIDAÇÃO 2025'!$B:$B,'MEDIÇÃO '!$A$176,'LIQUIDAÇÃO 2025'!$C:$C,'MEDIÇÃO '!$B$176,'LIQUIDAÇÃO 2025'!$H:$H,'MEDIÇÃO '!L$178,'LIQUIDAÇÃO 2025'!$F:$F,'MEDIÇÃO '!$A$181)</f>
        <v>0</v>
      </c>
      <c r="M181" s="132">
        <f>SUMIFS('LIQUIDAÇÃO 2025'!$K:$K,'LIQUIDAÇÃO 2025'!$B:$B,'MEDIÇÃO '!$A$176,'LIQUIDAÇÃO 2025'!$C:$C,'MEDIÇÃO '!$B$176,'LIQUIDAÇÃO 2025'!$H:$H,'MEDIÇÃO '!M$178,'LIQUIDAÇÃO 2025'!$F:$F,'MEDIÇÃO '!$A$181)</f>
        <v>0</v>
      </c>
      <c r="N181" s="1067"/>
    </row>
    <row r="182" spans="1:19" s="57" customFormat="1">
      <c r="A182" s="131" cm="1">
        <f t="array" ref="A182">IFERROR(INDEX(Tabela3[[CÓDIGO
 EMPRESA ]:[EMPENHO]],SMALL(IF(Tabela3[CÓDIGO
 EMPRESA ]='MEDIÇÃO '!$A$176,ROW(Tabela3[CÓDIGO
 EMPRESA ])-3),ROW(P3)),3),"")</f>
        <v>11474</v>
      </c>
      <c r="B182" s="132">
        <f>SUMIFS('LIQUIDAÇÃO 2025'!$K:$K,'LIQUIDAÇÃO 2025'!$B:$B,'MEDIÇÃO '!$A$176,'LIQUIDAÇÃO 2025'!$C:$C,'MEDIÇÃO '!$B$176,'LIQUIDAÇÃO 2025'!$H:$H,'MEDIÇÃO '!B$178,'LIQUIDAÇÃO 2025'!$F:$F,'MEDIÇÃO '!$A$182)</f>
        <v>0</v>
      </c>
      <c r="C182" s="132">
        <f>SUMIFS('LIQUIDAÇÃO 2025'!$K:$K,'LIQUIDAÇÃO 2025'!$B:$B,'MEDIÇÃO '!$A$176,'LIQUIDAÇÃO 2025'!$C:$C,'MEDIÇÃO '!$B$176,'LIQUIDAÇÃO 2025'!$H:$H,'MEDIÇÃO '!C$178,'LIQUIDAÇÃO 2025'!$F:$F,'MEDIÇÃO '!$A$182)</f>
        <v>0</v>
      </c>
      <c r="D182" s="132">
        <f>SUMIFS('LIQUIDAÇÃO 2025'!$K:$K,'LIQUIDAÇÃO 2025'!$B:$B,'MEDIÇÃO '!$A$176,'LIQUIDAÇÃO 2025'!$C:$C,'MEDIÇÃO '!$B$176,'LIQUIDAÇÃO 2025'!$H:$H,'MEDIÇÃO '!D$178,'LIQUIDAÇÃO 2025'!$F:$F,'MEDIÇÃO '!$A$182)</f>
        <v>0</v>
      </c>
      <c r="E182" s="132">
        <f>SUMIFS('LIQUIDAÇÃO 2025'!$K:$K,'LIQUIDAÇÃO 2025'!$B:$B,'MEDIÇÃO '!$A$176,'LIQUIDAÇÃO 2025'!$C:$C,'MEDIÇÃO '!$B$176,'LIQUIDAÇÃO 2025'!$H:$H,'MEDIÇÃO '!E$178,'LIQUIDAÇÃO 2025'!$F:$F,'MEDIÇÃO '!$A$182)</f>
        <v>0</v>
      </c>
      <c r="F182" s="132">
        <f>SUMIFS('LIQUIDAÇÃO 2025'!$K:$K,'LIQUIDAÇÃO 2025'!$B:$B,'MEDIÇÃO '!$A$176,'LIQUIDAÇÃO 2025'!$C:$C,'MEDIÇÃO '!$B$176,'LIQUIDAÇÃO 2025'!$H:$H,'MEDIÇÃO '!F$178,'LIQUIDAÇÃO 2025'!$F:$F,'MEDIÇÃO '!$A$182)</f>
        <v>0</v>
      </c>
      <c r="G182" s="132">
        <f>SUMIFS('LIQUIDAÇÃO 2025'!$K:$K,'LIQUIDAÇÃO 2025'!$B:$B,'MEDIÇÃO '!$A$176,'LIQUIDAÇÃO 2025'!$C:$C,'MEDIÇÃO '!$B$176,'LIQUIDAÇÃO 2025'!$H:$H,'MEDIÇÃO '!G$178,'LIQUIDAÇÃO 2025'!$F:$F,'MEDIÇÃO '!$A$182)</f>
        <v>0</v>
      </c>
      <c r="H182" s="132">
        <f>SUMIFS('LIQUIDAÇÃO 2025'!$K:$K,'LIQUIDAÇÃO 2025'!$B:$B,'MEDIÇÃO '!$A$176,'LIQUIDAÇÃO 2025'!$C:$C,'MEDIÇÃO '!$B$176,'LIQUIDAÇÃO 2025'!$H:$H,'MEDIÇÃO '!H$178,'LIQUIDAÇÃO 2025'!$F:$F,'MEDIÇÃO '!$A$182)</f>
        <v>300000</v>
      </c>
      <c r="I182" s="132">
        <f>SUMIFS('LIQUIDAÇÃO 2025'!$K:$K,'LIQUIDAÇÃO 2025'!$B:$B,'MEDIÇÃO '!$A$176,'LIQUIDAÇÃO 2025'!$C:$C,'MEDIÇÃO '!$B$176,'LIQUIDAÇÃO 2025'!$H:$H,'MEDIÇÃO '!I$178,'LIQUIDAÇÃO 2025'!$F:$F,'MEDIÇÃO '!$A$182)</f>
        <v>0</v>
      </c>
      <c r="J182" s="132">
        <f>SUMIFS('LIQUIDAÇÃO 2025'!$K:$K,'LIQUIDAÇÃO 2025'!$B:$B,'MEDIÇÃO '!$A$176,'LIQUIDAÇÃO 2025'!$C:$C,'MEDIÇÃO '!$B$176,'LIQUIDAÇÃO 2025'!$H:$H,'MEDIÇÃO '!J$178,'LIQUIDAÇÃO 2025'!$F:$F,'MEDIÇÃO '!$A$182)</f>
        <v>0</v>
      </c>
      <c r="K182" s="132">
        <f>SUMIFS('LIQUIDAÇÃO 2025'!$K:$K,'LIQUIDAÇÃO 2025'!$B:$B,'MEDIÇÃO '!$A$176,'LIQUIDAÇÃO 2025'!$C:$C,'MEDIÇÃO '!$B$176,'LIQUIDAÇÃO 2025'!$H:$H,'MEDIÇÃO '!K$178,'LIQUIDAÇÃO 2025'!$F:$F,'MEDIÇÃO '!$A$182)</f>
        <v>0</v>
      </c>
      <c r="L182" s="132">
        <f>SUMIFS('LIQUIDAÇÃO 2025'!$K:$K,'LIQUIDAÇÃO 2025'!$B:$B,'MEDIÇÃO '!$A$176,'LIQUIDAÇÃO 2025'!$C:$C,'MEDIÇÃO '!$B$176,'LIQUIDAÇÃO 2025'!$H:$H,'MEDIÇÃO '!L$178,'LIQUIDAÇÃO 2025'!$F:$F,'MEDIÇÃO '!$A$182)</f>
        <v>0</v>
      </c>
      <c r="M182" s="132">
        <f>SUMIFS('LIQUIDAÇÃO 2025'!$K:$K,'LIQUIDAÇÃO 2025'!$B:$B,'MEDIÇÃO '!$A$176,'LIQUIDAÇÃO 2025'!$C:$C,'MEDIÇÃO '!$B$176,'LIQUIDAÇÃO 2025'!$H:$H,'MEDIÇÃO '!M$178,'LIQUIDAÇÃO 2025'!$F:$F,'MEDIÇÃO '!$A$182)</f>
        <v>0</v>
      </c>
      <c r="N182" s="1067"/>
    </row>
    <row r="183" spans="1:19" s="57" customFormat="1">
      <c r="A183" s="131" cm="1">
        <f t="array" ref="A183">IFERROR(INDEX(Tabela3[[CÓDIGO
 EMPRESA ]:[EMPENHO]],SMALL(IF(Tabela3[CÓDIGO
 EMPRESA ]='MEDIÇÃO '!$A$176,ROW(Tabela3[CÓDIGO
 EMPRESA ])-3),ROW(P4)),3),"")</f>
        <v>13556</v>
      </c>
      <c r="B183" s="132">
        <f>SUMIFS('LIQUIDAÇÃO 2025'!$K:$K,'LIQUIDAÇÃO 2025'!$B:$B,'MEDIÇÃO '!$A$176,'LIQUIDAÇÃO 2025'!$C:$C,'MEDIÇÃO '!$B$176,'LIQUIDAÇÃO 2025'!$H:$H,'MEDIÇÃO '!B$178,'LIQUIDAÇÃO 2025'!$F:$F,'MEDIÇÃO '!$A$183)</f>
        <v>0</v>
      </c>
      <c r="C183" s="132">
        <f>SUMIFS('LIQUIDAÇÃO 2025'!$K:$K,'LIQUIDAÇÃO 2025'!$B:$B,'MEDIÇÃO '!$A$176,'LIQUIDAÇÃO 2025'!$C:$C,'MEDIÇÃO '!$B$176,'LIQUIDAÇÃO 2025'!$H:$H,'MEDIÇÃO '!C$178,'LIQUIDAÇÃO 2025'!$F:$F,'MEDIÇÃO '!$A$183)</f>
        <v>0</v>
      </c>
      <c r="D183" s="132">
        <f>SUMIFS('LIQUIDAÇÃO 2025'!$K:$K,'LIQUIDAÇÃO 2025'!$B:$B,'MEDIÇÃO '!$A$176,'LIQUIDAÇÃO 2025'!$C:$C,'MEDIÇÃO '!$B$176,'LIQUIDAÇÃO 2025'!$H:$H,'MEDIÇÃO '!D$178,'LIQUIDAÇÃO 2025'!$F:$F,'MEDIÇÃO '!$A$183)</f>
        <v>0</v>
      </c>
      <c r="E183" s="132">
        <f>SUMIFS('LIQUIDAÇÃO 2025'!$K:$K,'LIQUIDAÇÃO 2025'!$B:$B,'MEDIÇÃO '!$A$176,'LIQUIDAÇÃO 2025'!$C:$C,'MEDIÇÃO '!$B$176,'LIQUIDAÇÃO 2025'!$H:$H,'MEDIÇÃO '!E$178,'LIQUIDAÇÃO 2025'!$F:$F,'MEDIÇÃO '!$A$183)</f>
        <v>0</v>
      </c>
      <c r="F183" s="132">
        <f>SUMIFS('LIQUIDAÇÃO 2025'!$K:$K,'LIQUIDAÇÃO 2025'!$B:$B,'MEDIÇÃO '!$A$176,'LIQUIDAÇÃO 2025'!$C:$C,'MEDIÇÃO '!$B$176,'LIQUIDAÇÃO 2025'!$H:$H,'MEDIÇÃO '!F$178,'LIQUIDAÇÃO 2025'!$F:$F,'MEDIÇÃO '!$A$183)</f>
        <v>0</v>
      </c>
      <c r="G183" s="132">
        <f>SUMIFS('LIQUIDAÇÃO 2025'!$K:$K,'LIQUIDAÇÃO 2025'!$B:$B,'MEDIÇÃO '!$A$176,'LIQUIDAÇÃO 2025'!$C:$C,'MEDIÇÃO '!$B$176,'LIQUIDAÇÃO 2025'!$H:$H,'MEDIÇÃO '!G$178,'LIQUIDAÇÃO 2025'!$F:$F,'MEDIÇÃO '!$A$183)</f>
        <v>0</v>
      </c>
      <c r="H183" s="132">
        <f>SUMIFS('LIQUIDAÇÃO 2025'!$K:$K,'LIQUIDAÇÃO 2025'!$B:$B,'MEDIÇÃO '!$A$176,'LIQUIDAÇÃO 2025'!$C:$C,'MEDIÇÃO '!$B$176,'LIQUIDAÇÃO 2025'!$H:$H,'MEDIÇÃO '!H$178,'LIQUIDAÇÃO 2025'!$F:$F,'MEDIÇÃO '!$A$183)</f>
        <v>613492.37</v>
      </c>
      <c r="I183" s="132">
        <f>SUMIFS('LIQUIDAÇÃO 2025'!$K:$K,'LIQUIDAÇÃO 2025'!$B:$B,'MEDIÇÃO '!$A$176,'LIQUIDAÇÃO 2025'!$C:$C,'MEDIÇÃO '!$B$176,'LIQUIDAÇÃO 2025'!$H:$H,'MEDIÇÃO '!I$178,'LIQUIDAÇÃO 2025'!$F:$F,'MEDIÇÃO '!$A$183)</f>
        <v>0</v>
      </c>
      <c r="J183" s="132">
        <f>SUMIFS('LIQUIDAÇÃO 2025'!$K:$K,'LIQUIDAÇÃO 2025'!$B:$B,'MEDIÇÃO '!$A$176,'LIQUIDAÇÃO 2025'!$C:$C,'MEDIÇÃO '!$B$176,'LIQUIDAÇÃO 2025'!$H:$H,'MEDIÇÃO '!J$178,'LIQUIDAÇÃO 2025'!$F:$F,'MEDIÇÃO '!$A$183)</f>
        <v>543209.53</v>
      </c>
      <c r="K183" s="132">
        <f>SUMIFS('LIQUIDAÇÃO 2025'!$K:$K,'LIQUIDAÇÃO 2025'!$B:$B,'MEDIÇÃO '!$A$176,'LIQUIDAÇÃO 2025'!$C:$C,'MEDIÇÃO '!$B$176,'LIQUIDAÇÃO 2025'!$H:$H,'MEDIÇÃO '!K$178,'LIQUIDAÇÃO 2025'!$F:$F,'MEDIÇÃO '!$A$183)</f>
        <v>0</v>
      </c>
      <c r="L183" s="132">
        <f>SUMIFS('LIQUIDAÇÃO 2025'!$K:$K,'LIQUIDAÇÃO 2025'!$B:$B,'MEDIÇÃO '!$A$176,'LIQUIDAÇÃO 2025'!$C:$C,'MEDIÇÃO '!$B$176,'LIQUIDAÇÃO 2025'!$H:$H,'MEDIÇÃO '!L$178,'LIQUIDAÇÃO 2025'!$F:$F,'MEDIÇÃO '!$A$183)</f>
        <v>0</v>
      </c>
      <c r="M183" s="132">
        <f>SUMIFS('LIQUIDAÇÃO 2025'!$K:$K,'LIQUIDAÇÃO 2025'!$B:$B,'MEDIÇÃO '!$A$176,'LIQUIDAÇÃO 2025'!$C:$C,'MEDIÇÃO '!$B$176,'LIQUIDAÇÃO 2025'!$H:$H,'MEDIÇÃO '!M$178,'LIQUIDAÇÃO 2025'!$F:$F,'MEDIÇÃO '!$A$183)</f>
        <v>0</v>
      </c>
      <c r="N183" s="1067"/>
    </row>
    <row r="184" spans="1:19" s="57" customFormat="1" ht="15.75" thickBot="1">
      <c r="A184" s="131" cm="1">
        <f t="array" ref="A184">IFERROR(INDEX(Tabela3[[CÓDIGO
 EMPRESA ]:[EMPENHO]],SMALL(IF(Tabela3[CÓDIGO
 EMPRESA ]='MEDIÇÃO '!$A$176,ROW(Tabela3[CÓDIGO
 EMPRESA ])-3),ROW(P5)),3),"")</f>
        <v>17162</v>
      </c>
      <c r="B184" s="132">
        <f>SUMIFS('LIQUIDAÇÃO 2025'!$K:$K,'LIQUIDAÇÃO 2025'!$B:$B,'MEDIÇÃO '!$A$176,'LIQUIDAÇÃO 2025'!$C:$C,'MEDIÇÃO '!$B$176,'LIQUIDAÇÃO 2025'!$H:$H,'MEDIÇÃO '!B$178,'LIQUIDAÇÃO 2025'!$F:$F,'MEDIÇÃO '!$A$184)</f>
        <v>0</v>
      </c>
      <c r="C184" s="132">
        <f>SUMIFS('LIQUIDAÇÃO 2025'!$K:$K,'LIQUIDAÇÃO 2025'!$B:$B,'MEDIÇÃO '!$A$176,'LIQUIDAÇÃO 2025'!$C:$C,'MEDIÇÃO '!$B$176,'LIQUIDAÇÃO 2025'!$H:$H,'MEDIÇÃO '!C$178,'LIQUIDAÇÃO 2025'!$F:$F,'MEDIÇÃO '!$A$184)</f>
        <v>0</v>
      </c>
      <c r="D184" s="132">
        <f>SUMIFS('LIQUIDAÇÃO 2025'!$K:$K,'LIQUIDAÇÃO 2025'!$B:$B,'MEDIÇÃO '!$A$176,'LIQUIDAÇÃO 2025'!$C:$C,'MEDIÇÃO '!$B$176,'LIQUIDAÇÃO 2025'!$H:$H,'MEDIÇÃO '!D$178,'LIQUIDAÇÃO 2025'!$F:$F,'MEDIÇÃO '!$A$184)</f>
        <v>0</v>
      </c>
      <c r="E184" s="132">
        <f>SUMIFS('LIQUIDAÇÃO 2025'!$K:$K,'LIQUIDAÇÃO 2025'!$B:$B,'MEDIÇÃO '!$A$176,'LIQUIDAÇÃO 2025'!$C:$C,'MEDIÇÃO '!$B$176,'LIQUIDAÇÃO 2025'!$H:$H,'MEDIÇÃO '!E$178,'LIQUIDAÇÃO 2025'!$F:$F,'MEDIÇÃO '!$A$184)</f>
        <v>0</v>
      </c>
      <c r="F184" s="132">
        <f>SUMIFS('LIQUIDAÇÃO 2025'!$K:$K,'LIQUIDAÇÃO 2025'!$B:$B,'MEDIÇÃO '!$A$176,'LIQUIDAÇÃO 2025'!$C:$C,'MEDIÇÃO '!$B$176,'LIQUIDAÇÃO 2025'!$H:$H,'MEDIÇÃO '!F$178,'LIQUIDAÇÃO 2025'!$F:$F,'MEDIÇÃO '!$A$184)</f>
        <v>0</v>
      </c>
      <c r="G184" s="132">
        <f>SUMIFS('LIQUIDAÇÃO 2025'!$K:$K,'LIQUIDAÇÃO 2025'!$B:$B,'MEDIÇÃO '!$A$176,'LIQUIDAÇÃO 2025'!$C:$C,'MEDIÇÃO '!$B$176,'LIQUIDAÇÃO 2025'!$H:$H,'MEDIÇÃO '!G$178,'LIQUIDAÇÃO 2025'!$F:$F,'MEDIÇÃO '!$A$184)</f>
        <v>0</v>
      </c>
      <c r="H184" s="132">
        <f>SUMIFS('LIQUIDAÇÃO 2025'!$K:$K,'LIQUIDAÇÃO 2025'!$B:$B,'MEDIÇÃO '!$A$176,'LIQUIDAÇÃO 2025'!$C:$C,'MEDIÇÃO '!$B$176,'LIQUIDAÇÃO 2025'!$H:$H,'MEDIÇÃO '!H$178,'LIQUIDAÇÃO 2025'!$F:$F,'MEDIÇÃO '!$A$184)</f>
        <v>0</v>
      </c>
      <c r="I184" s="132">
        <f>SUMIFS('LIQUIDAÇÃO 2025'!$K:$K,'LIQUIDAÇÃO 2025'!$B:$B,'MEDIÇÃO '!$A$176,'LIQUIDAÇÃO 2025'!$C:$C,'MEDIÇÃO '!$B$176,'LIQUIDAÇÃO 2025'!$H:$H,'MEDIÇÃO '!I$178,'LIQUIDAÇÃO 2025'!$F:$F,'MEDIÇÃO '!$A$184)</f>
        <v>0</v>
      </c>
      <c r="J184" s="132">
        <f>SUMIFS('LIQUIDAÇÃO 2025'!$K:$K,'LIQUIDAÇÃO 2025'!$B:$B,'MEDIÇÃO '!$A$176,'LIQUIDAÇÃO 2025'!$C:$C,'MEDIÇÃO '!$B$176,'LIQUIDAÇÃO 2025'!$H:$H,'MEDIÇÃO '!J$178,'LIQUIDAÇÃO 2025'!$F:$F,'MEDIÇÃO '!$A$184)</f>
        <v>46791.77</v>
      </c>
      <c r="K184" s="132">
        <f>SUMIFS('LIQUIDAÇÃO 2025'!$K:$K,'LIQUIDAÇÃO 2025'!$B:$B,'MEDIÇÃO '!$A$176,'LIQUIDAÇÃO 2025'!$C:$C,'MEDIÇÃO '!$B$176,'LIQUIDAÇÃO 2025'!$H:$H,'MEDIÇÃO '!K$178,'LIQUIDAÇÃO 2025'!$F:$F,'MEDIÇÃO '!$A$184)</f>
        <v>0</v>
      </c>
      <c r="L184" s="132">
        <f>SUMIFS('LIQUIDAÇÃO 2025'!$K:$K,'LIQUIDAÇÃO 2025'!$B:$B,'MEDIÇÃO '!$A$176,'LIQUIDAÇÃO 2025'!$C:$C,'MEDIÇÃO '!$B$176,'LIQUIDAÇÃO 2025'!$H:$H,'MEDIÇÃO '!L$178,'LIQUIDAÇÃO 2025'!$F:$F,'MEDIÇÃO '!$A$184)</f>
        <v>53208.23</v>
      </c>
      <c r="M184" s="132">
        <f>SUMIFS('LIQUIDAÇÃO 2025'!$K:$K,'LIQUIDAÇÃO 2025'!$B:$B,'MEDIÇÃO '!$A$176,'LIQUIDAÇÃO 2025'!$C:$C,'MEDIÇÃO '!$B$176,'LIQUIDAÇÃO 2025'!$H:$H,'MEDIÇÃO '!M$178,'LIQUIDAÇÃO 2025'!$F:$F,'MEDIÇÃO '!$A$184)</f>
        <v>0</v>
      </c>
      <c r="N184" s="1067"/>
    </row>
    <row r="185" spans="1:19" s="57" customFormat="1" ht="16.5" thickBot="1">
      <c r="A185" s="214" t="s">
        <v>38</v>
      </c>
      <c r="B185" s="215"/>
      <c r="C185" s="215"/>
      <c r="D185" s="215"/>
      <c r="E185" s="215"/>
      <c r="F185" s="215"/>
      <c r="G185" s="215"/>
      <c r="H185" s="215"/>
      <c r="I185" s="215"/>
      <c r="J185" s="215"/>
      <c r="K185" s="215"/>
      <c r="L185" s="215"/>
      <c r="M185" s="215"/>
      <c r="N185" s="1068"/>
    </row>
    <row r="186" spans="1:19" s="57" customFormat="1" ht="15.75">
      <c r="A186" s="212" t="s">
        <v>127</v>
      </c>
      <c r="B186" s="216">
        <f>IF(SUM(B180:B184)&lt;&gt;0,B179-B185-SUM(B180:B184),(B179-SUM(B180:B184)-B185))</f>
        <v>0</v>
      </c>
      <c r="C186" s="216">
        <f t="shared" ref="C186" si="127">IF(SUM(C180:C184)&lt;&gt;0,C179-C185-SUM(C180:C184),(C179-SUM(C180:C184)-C185))</f>
        <v>1305962.7</v>
      </c>
      <c r="D186" s="216">
        <f t="shared" ref="D186" si="128">IF(SUM(D180:D184)&lt;&gt;0,D179-D185-SUM(D180:D184),(D179-SUM(D180:D184)-D185))</f>
        <v>0</v>
      </c>
      <c r="E186" s="216">
        <f t="shared" ref="E186" si="129">IF(SUM(E180:E184)&lt;&gt;0,E179-E185-SUM(E180:E184),(E179-SUM(E180:E184)-E185))</f>
        <v>170086</v>
      </c>
      <c r="F186" s="216">
        <f t="shared" ref="F186" si="130">IF(SUM(F180:F184)&lt;&gt;0,F179-F185-SUM(F180:F184),(F179-SUM(F180:F184)-F185))</f>
        <v>-281277.90000000002</v>
      </c>
      <c r="G186" s="216">
        <f>IF(SUM(G180:G184)&lt;&gt;0,G179-G185-SUM(G180:G184),(G179-SUM(G180:G184)-G185))</f>
        <v>553941</v>
      </c>
      <c r="H186" s="216">
        <f t="shared" ref="H186" si="131">IF(SUM(H180:H184)&lt;&gt;0,H179-H185-SUM(H180:H184),(H179-SUM(H180:H184)-H185))</f>
        <v>-1105502.27</v>
      </c>
      <c r="I186" s="216">
        <f t="shared" ref="I186" si="132">IF(SUM(I180:I184)&lt;&gt;0,I179-I185-SUM(I180:I184),(I179-SUM(I180:I184)-I185))</f>
        <v>0</v>
      </c>
      <c r="J186" s="216">
        <f t="shared" ref="J186" si="133">IF(SUM(J180:J184)&lt;&gt;0,J179-J185-SUM(J180:J184),(J179-SUM(J180:J184)-J185))</f>
        <v>-590001.30000000005</v>
      </c>
      <c r="K186" s="216">
        <f t="shared" ref="K186" si="134">IF(SUM(K180:K184)&lt;&gt;0,K179-K185-SUM(K180:K184),(K179-SUM(K180:K184)-K185))</f>
        <v>0</v>
      </c>
      <c r="L186" s="216">
        <f t="shared" ref="L186" si="135">IF(SUM(L180:L184)&lt;&gt;0,L179-L185-SUM(L180:L184),(L179-SUM(L180:L184)-L185))</f>
        <v>-53208.23</v>
      </c>
      <c r="M186" s="216">
        <f t="shared" ref="M186" si="136">IF(SUM(M180:M184)&lt;&gt;0,M179-M185-SUM(M180:M184),(M179-SUM(M180:M184)-M185))</f>
        <v>0</v>
      </c>
      <c r="N186" s="213">
        <f>SUM(B179:M179)-SUM(B180:M184)-SUM(B185:M185)</f>
        <v>0</v>
      </c>
    </row>
    <row r="187" spans="1:19" s="57" customFormat="1">
      <c r="J187" s="86"/>
      <c r="K187" s="86"/>
      <c r="L187" s="86"/>
      <c r="M187" s="86"/>
      <c r="N187" s="210"/>
    </row>
    <row r="188" spans="1:19" s="57" customFormat="1" ht="15.75" customHeight="1">
      <c r="A188" s="123">
        <v>68004</v>
      </c>
      <c r="B188" s="118" t="s">
        <v>382</v>
      </c>
      <c r="C188" s="115"/>
      <c r="D188" s="115"/>
      <c r="E188" s="115"/>
      <c r="F188" s="91" t="s">
        <v>116</v>
      </c>
      <c r="G188" s="92" t="s">
        <v>117</v>
      </c>
      <c r="H188" s="1062" t="s">
        <v>113</v>
      </c>
      <c r="I188" s="1062"/>
      <c r="J188" s="1062" t="s">
        <v>114</v>
      </c>
      <c r="K188" s="1062"/>
      <c r="L188" s="1062" t="s">
        <v>118</v>
      </c>
      <c r="M188" s="1062"/>
      <c r="N188" s="92" t="s">
        <v>115</v>
      </c>
    </row>
    <row r="189" spans="1:19" s="57" customFormat="1" ht="18.75" customHeight="1">
      <c r="A189" s="121"/>
      <c r="B189" s="121"/>
      <c r="C189" s="121"/>
      <c r="D189" s="121"/>
      <c r="E189" s="121"/>
      <c r="F189" s="97" t="str">
        <f>VALIDAÇÕES!C13</f>
        <v>43770/2020</v>
      </c>
      <c r="G189" s="97" t="str">
        <f>VALIDAÇÕES!D13</f>
        <v>37601/2021</v>
      </c>
      <c r="H189" s="1061">
        <f>VALIDAÇÕES!G13</f>
        <v>86882.66</v>
      </c>
      <c r="I189" s="1061"/>
      <c r="J189" s="1061">
        <f>VALIDAÇÕES!H13</f>
        <v>48871.51</v>
      </c>
      <c r="K189" s="1061"/>
      <c r="L189" s="1063">
        <f>VALIDAÇÕES!E13</f>
        <v>45444</v>
      </c>
      <c r="M189" s="1063"/>
      <c r="N189" s="202">
        <f>VALIDAÇÕES!F13</f>
        <v>45809</v>
      </c>
    </row>
    <row r="190" spans="1:19" s="57" customFormat="1" ht="15.75" customHeight="1">
      <c r="A190" s="1060" t="s">
        <v>7</v>
      </c>
      <c r="B190" s="89" t="s">
        <v>44</v>
      </c>
      <c r="C190" s="89" t="s">
        <v>43</v>
      </c>
      <c r="D190" s="89" t="s">
        <v>45</v>
      </c>
      <c r="E190" s="89" t="s">
        <v>46</v>
      </c>
      <c r="F190" s="89" t="s">
        <v>47</v>
      </c>
      <c r="G190" s="89" t="s">
        <v>48</v>
      </c>
      <c r="H190" s="89" t="s">
        <v>49</v>
      </c>
      <c r="I190" s="89" t="s">
        <v>50</v>
      </c>
      <c r="J190" s="89" t="s">
        <v>51</v>
      </c>
      <c r="K190" s="89" t="s">
        <v>52</v>
      </c>
      <c r="L190" s="89" t="s">
        <v>53</v>
      </c>
      <c r="M190" s="89" t="s">
        <v>54</v>
      </c>
      <c r="N190" s="1066" t="s">
        <v>112</v>
      </c>
    </row>
    <row r="191" spans="1:19" s="57" customFormat="1" ht="15" customHeight="1">
      <c r="A191" s="1060"/>
      <c r="B191" s="100">
        <v>5430.18</v>
      </c>
      <c r="C191" s="100">
        <v>5430.18</v>
      </c>
      <c r="D191" s="98">
        <v>27150.79</v>
      </c>
      <c r="E191" s="100">
        <v>21720.61</v>
      </c>
      <c r="F191" s="100">
        <v>10860.36</v>
      </c>
      <c r="G191" s="100"/>
      <c r="H191" s="100"/>
      <c r="I191" s="100"/>
      <c r="J191" s="100"/>
      <c r="K191" s="100"/>
      <c r="L191" s="100"/>
      <c r="M191" s="100"/>
      <c r="N191" s="1067"/>
    </row>
    <row r="192" spans="1:19" s="57" customFormat="1">
      <c r="A192" s="131" cm="1">
        <f t="array" ref="A192">IFERROR(INDEX(Tabela3[[CÓDIGO
 EMPRESA ]:[EMPENHO]],SMALL(IF(Tabela3[CÓDIGO
 EMPRESA ]='MEDIÇÃO '!$A$188,ROW(Tabela3[CÓDIGO
 EMPRESA ])-3),ROW(P1)),3),"")</f>
        <v>2927</v>
      </c>
      <c r="B192" s="132">
        <f>SUMIFS('LIQUIDAÇÃO 2025'!$K:$K,'LIQUIDAÇÃO 2025'!$B:$B,'MEDIÇÃO '!$A$188,'LIQUIDAÇÃO 2025'!$C:$C,'MEDIÇÃO '!$B$188,'LIQUIDAÇÃO 2025'!$H:$H,'MEDIÇÃO '!B$190,'LIQUIDAÇÃO 2025'!$F:$F,'MEDIÇÃO '!$A$192)</f>
        <v>0</v>
      </c>
      <c r="C192" s="132">
        <f>SUMIFS('LIQUIDAÇÃO 2025'!$K:$K,'LIQUIDAÇÃO 2025'!$B:$B,'MEDIÇÃO '!$A$188,'LIQUIDAÇÃO 2025'!$C:$C,'MEDIÇÃO '!$B$188,'LIQUIDAÇÃO 2025'!$H:$H,'MEDIÇÃO '!C$190,'LIQUIDAÇÃO 2025'!$F:$F,'MEDIÇÃO '!$A$192)</f>
        <v>5430.18</v>
      </c>
      <c r="D192" s="132">
        <f>SUMIFS('LIQUIDAÇÃO 2025'!$K:$K,'LIQUIDAÇÃO 2025'!$B:$B,'MEDIÇÃO '!$A$188,'LIQUIDAÇÃO 2025'!$C:$C,'MEDIÇÃO '!$B$188,'LIQUIDAÇÃO 2025'!$H:$H,'MEDIÇÃO '!D$190,'LIQUIDAÇÃO 2025'!$F:$F,'MEDIÇÃO '!$A$192)</f>
        <v>5430.18</v>
      </c>
      <c r="E192" s="132">
        <f>SUMIFS('LIQUIDAÇÃO 2025'!$K:$K,'LIQUIDAÇÃO 2025'!$B:$B,'MEDIÇÃO '!$A$188,'LIQUIDAÇÃO 2025'!$C:$C,'MEDIÇÃO '!$B$188,'LIQUIDAÇÃO 2025'!$H:$H,'MEDIÇÃO '!E$190,'LIQUIDAÇÃO 2025'!$F:$F,'MEDIÇÃO '!$A$192)</f>
        <v>5430.18</v>
      </c>
      <c r="F192" s="132">
        <f>SUMIFS('LIQUIDAÇÃO 2025'!$K:$K,'LIQUIDAÇÃO 2025'!$B:$B,'MEDIÇÃO '!$A$188,'LIQUIDAÇÃO 2025'!$C:$C,'MEDIÇÃO '!$B$188,'LIQUIDAÇÃO 2025'!$H:$H,'MEDIÇÃO '!F$190,'LIQUIDAÇÃO 2025'!$F:$F,'MEDIÇÃO '!$A$192)</f>
        <v>0</v>
      </c>
      <c r="G192" s="132">
        <f>SUMIFS('LIQUIDAÇÃO 2025'!$K:$K,'LIQUIDAÇÃO 2025'!$B:$B,'MEDIÇÃO '!$A$188,'LIQUIDAÇÃO 2025'!$C:$C,'MEDIÇÃO '!$B$188,'LIQUIDAÇÃO 2025'!$H:$H,'MEDIÇÃO '!G$190,'LIQUIDAÇÃO 2025'!$F:$F,'MEDIÇÃO '!$A$192)</f>
        <v>0</v>
      </c>
      <c r="H192" s="132">
        <f>SUMIFS('LIQUIDAÇÃO 2025'!$K:$K,'LIQUIDAÇÃO 2025'!$B:$B,'MEDIÇÃO '!$A$188,'LIQUIDAÇÃO 2025'!$C:$C,'MEDIÇÃO '!$B$188,'LIQUIDAÇÃO 2025'!$H:$H,'MEDIÇÃO '!H$190,'LIQUIDAÇÃO 2025'!$F:$F,'MEDIÇÃO '!$A$192)</f>
        <v>21720.61</v>
      </c>
      <c r="I192" s="132">
        <f>SUMIFS('LIQUIDAÇÃO 2025'!$K:$K,'LIQUIDAÇÃO 2025'!$B:$B,'MEDIÇÃO '!$A$188,'LIQUIDAÇÃO 2025'!$C:$C,'MEDIÇÃO '!$B$188,'LIQUIDAÇÃO 2025'!$H:$H,'MEDIÇÃO '!I$190,'LIQUIDAÇÃO 2025'!$F:$F,'MEDIÇÃO '!$A$192)</f>
        <v>0</v>
      </c>
      <c r="J192" s="132">
        <f>SUMIFS('LIQUIDAÇÃO 2025'!$K:$K,'LIQUIDAÇÃO 2025'!$B:$B,'MEDIÇÃO '!$A$188,'LIQUIDAÇÃO 2025'!$C:$C,'MEDIÇÃO '!$B$188,'LIQUIDAÇÃO 2025'!$H:$H,'MEDIÇÃO '!J$190,'LIQUIDAÇÃO 2025'!$F:$F,'MEDIÇÃO '!$A$192)</f>
        <v>0</v>
      </c>
      <c r="K192" s="132">
        <f>SUMIFS('LIQUIDAÇÃO 2025'!$K:$K,'LIQUIDAÇÃO 2025'!$B:$B,'MEDIÇÃO '!$A$188,'LIQUIDAÇÃO 2025'!$C:$C,'MEDIÇÃO '!$B$188,'LIQUIDAÇÃO 2025'!$H:$H,'MEDIÇÃO '!K$190,'LIQUIDAÇÃO 2025'!$F:$F,'MEDIÇÃO '!$A$192)</f>
        <v>0</v>
      </c>
      <c r="L192" s="132">
        <f>SUMIFS('LIQUIDAÇÃO 2025'!$K:$K,'LIQUIDAÇÃO 2025'!$B:$B,'MEDIÇÃO '!$A$188,'LIQUIDAÇÃO 2025'!$C:$C,'MEDIÇÃO '!$B$188,'LIQUIDAÇÃO 2025'!$H:$H,'MEDIÇÃO '!L$190,'LIQUIDAÇÃO 2025'!$F:$F,'MEDIÇÃO '!$A$192)</f>
        <v>0</v>
      </c>
      <c r="M192" s="132">
        <f>SUMIFS('LIQUIDAÇÃO 2025'!$K:$K,'LIQUIDAÇÃO 2025'!$B:$B,'MEDIÇÃO '!$A$188,'LIQUIDAÇÃO 2025'!$C:$C,'MEDIÇÃO '!$B$188,'LIQUIDAÇÃO 2025'!$H:$H,'MEDIÇÃO '!M$190,'LIQUIDAÇÃO 2025'!$F:$F,'MEDIÇÃO '!$A$192)</f>
        <v>0</v>
      </c>
      <c r="N192" s="1067"/>
    </row>
    <row r="193" spans="1:17" s="57" customFormat="1">
      <c r="A193" s="131" cm="1">
        <f t="array" ref="A193">IFERROR(INDEX(Tabela3[[CÓDIGO
 EMPRESA ]:[EMPENHO]],SMALL(IF(Tabela3[CÓDIGO
 EMPRESA ]='MEDIÇÃO '!$A$188,ROW(Tabela3[CÓDIGO
 EMPRESA ])-3),ROW(P2)),3),"")</f>
        <v>11321</v>
      </c>
      <c r="B193" s="132">
        <f>SUMIFS('LIQUIDAÇÃO 2025'!$K:$K,'LIQUIDAÇÃO 2025'!$B:$B,'MEDIÇÃO '!$A$188,'LIQUIDAÇÃO 2025'!$C:$C,'MEDIÇÃO '!$B$188,'LIQUIDAÇÃO 2025'!$H:$H,'MEDIÇÃO '!B$190,'LIQUIDAÇÃO 2025'!$F:$F,'MEDIÇÃO '!$A$193)</f>
        <v>0</v>
      </c>
      <c r="C193" s="132">
        <f>SUMIFS('LIQUIDAÇÃO 2025'!$K:$K,'LIQUIDAÇÃO 2025'!$B:$B,'MEDIÇÃO '!$A$188,'LIQUIDAÇÃO 2025'!$C:$C,'MEDIÇÃO '!$B$188,'LIQUIDAÇÃO 2025'!$H:$H,'MEDIÇÃO '!C$190,'LIQUIDAÇÃO 2025'!$F:$F,'MEDIÇÃO '!$A$193)</f>
        <v>0</v>
      </c>
      <c r="D193" s="132">
        <f>SUMIFS('LIQUIDAÇÃO 2025'!$K:$K,'LIQUIDAÇÃO 2025'!$B:$B,'MEDIÇÃO '!$A$188,'LIQUIDAÇÃO 2025'!$C:$C,'MEDIÇÃO '!$B$188,'LIQUIDAÇÃO 2025'!$H:$H,'MEDIÇÃO '!D$190,'LIQUIDAÇÃO 2025'!$F:$F,'MEDIÇÃO '!$A$193)</f>
        <v>0</v>
      </c>
      <c r="E193" s="132">
        <f>SUMIFS('LIQUIDAÇÃO 2025'!$K:$K,'LIQUIDAÇÃO 2025'!$B:$B,'MEDIÇÃO '!$A$188,'LIQUIDAÇÃO 2025'!$C:$C,'MEDIÇÃO '!$B$188,'LIQUIDAÇÃO 2025'!$H:$H,'MEDIÇÃO '!E$190,'LIQUIDAÇÃO 2025'!$F:$F,'MEDIÇÃO '!$A$193)</f>
        <v>0</v>
      </c>
      <c r="F193" s="132">
        <f>SUMIFS('LIQUIDAÇÃO 2025'!$K:$K,'LIQUIDAÇÃO 2025'!$B:$B,'MEDIÇÃO '!$A$188,'LIQUIDAÇÃO 2025'!$C:$C,'MEDIÇÃO '!$B$188,'LIQUIDAÇÃO 2025'!$H:$H,'MEDIÇÃO '!F$190,'LIQUIDAÇÃO 2025'!$F:$F,'MEDIÇÃO '!$A$193)</f>
        <v>0</v>
      </c>
      <c r="G193" s="132">
        <f>SUMIFS('LIQUIDAÇÃO 2025'!$K:$K,'LIQUIDAÇÃO 2025'!$B:$B,'MEDIÇÃO '!$A$188,'LIQUIDAÇÃO 2025'!$C:$C,'MEDIÇÃO '!$B$188,'LIQUIDAÇÃO 2025'!$H:$H,'MEDIÇÃO '!G$190,'LIQUIDAÇÃO 2025'!$F:$F,'MEDIÇÃO '!$A$193)</f>
        <v>0</v>
      </c>
      <c r="H193" s="132">
        <f>SUMIFS('LIQUIDAÇÃO 2025'!$K:$K,'LIQUIDAÇÃO 2025'!$B:$B,'MEDIÇÃO '!$A$188,'LIQUIDAÇÃO 2025'!$C:$C,'MEDIÇÃO '!$B$188,'LIQUIDAÇÃO 2025'!$H:$H,'MEDIÇÃO '!H$190,'LIQUIDAÇÃO 2025'!$F:$F,'MEDIÇÃO '!$A$193)</f>
        <v>0</v>
      </c>
      <c r="I193" s="132">
        <f>SUMIFS('LIQUIDAÇÃO 2025'!$K:$K,'LIQUIDAÇÃO 2025'!$B:$B,'MEDIÇÃO '!$A$188,'LIQUIDAÇÃO 2025'!$C:$C,'MEDIÇÃO '!$B$188,'LIQUIDAÇÃO 2025'!$H:$H,'MEDIÇÃO '!I$190,'LIQUIDAÇÃO 2025'!$F:$F,'MEDIÇÃO '!$A$193)</f>
        <v>5430.18</v>
      </c>
      <c r="J193" s="132">
        <f>SUMIFS('LIQUIDAÇÃO 2025'!$K:$K,'LIQUIDAÇÃO 2025'!$B:$B,'MEDIÇÃO '!$A$188,'LIQUIDAÇÃO 2025'!$C:$C,'MEDIÇÃO '!$B$188,'LIQUIDAÇÃO 2025'!$H:$H,'MEDIÇÃO '!J$190,'LIQUIDAÇÃO 2025'!$F:$F,'MEDIÇÃO '!$A$193)</f>
        <v>5430.18</v>
      </c>
      <c r="K193" s="132">
        <f>SUMIFS('LIQUIDAÇÃO 2025'!$K:$K,'LIQUIDAÇÃO 2025'!$B:$B,'MEDIÇÃO '!$A$188,'LIQUIDAÇÃO 2025'!$C:$C,'MEDIÇÃO '!$B$188,'LIQUIDAÇÃO 2025'!$H:$H,'MEDIÇÃO '!K$190,'LIQUIDAÇÃO 2025'!$F:$F,'MEDIÇÃO '!$A$193)</f>
        <v>0</v>
      </c>
      <c r="L193" s="132">
        <f>SUMIFS('LIQUIDAÇÃO 2025'!$K:$K,'LIQUIDAÇÃO 2025'!$B:$B,'MEDIÇÃO '!$A$188,'LIQUIDAÇÃO 2025'!$C:$C,'MEDIÇÃO '!$B$188,'LIQUIDAÇÃO 2025'!$H:$H,'MEDIÇÃO '!L$190,'LIQUIDAÇÃO 2025'!$F:$F,'MEDIÇÃO '!$A$193)</f>
        <v>0</v>
      </c>
      <c r="M193" s="132">
        <f>SUMIFS('LIQUIDAÇÃO 2025'!$K:$K,'LIQUIDAÇÃO 2025'!$B:$B,'MEDIÇÃO '!$A$188,'LIQUIDAÇÃO 2025'!$C:$C,'MEDIÇÃO '!$B$188,'LIQUIDAÇÃO 2025'!$H:$H,'MEDIÇÃO '!M$190,'LIQUIDAÇÃO 2025'!$F:$F,'MEDIÇÃO '!$A$193)</f>
        <v>0</v>
      </c>
      <c r="N193" s="1067"/>
    </row>
    <row r="194" spans="1:17" s="57" customFormat="1">
      <c r="A194" s="131" cm="1">
        <f t="array" ref="A194">IFERROR(INDEX(Tabela3[[CÓDIGO
 EMPRESA ]:[EMPENHO]],SMALL(IF(Tabela3[CÓDIGO
 EMPRESA ]='MEDIÇÃO '!$A$188,ROW(Tabela3[CÓDIGO
 EMPRESA ])-3),ROW(P3)),3),"")</f>
        <v>11422</v>
      </c>
      <c r="B194" s="132">
        <f>SUMIFS('LIQUIDAÇÃO 2025'!$K:$K,'LIQUIDAÇÃO 2025'!$B:$B,'MEDIÇÃO '!$A$188,'LIQUIDAÇÃO 2025'!$C:$C,'MEDIÇÃO '!$B$188,'LIQUIDAÇÃO 2025'!$H:$H,'MEDIÇÃO '!B$190,'LIQUIDAÇÃO 2025'!$F:$F,'MEDIÇÃO '!$A$194)</f>
        <v>0</v>
      </c>
      <c r="C194" s="132">
        <f>SUMIFS('LIQUIDAÇÃO 2025'!$K:$K,'LIQUIDAÇÃO 2025'!$B:$B,'MEDIÇÃO '!$A$188,'LIQUIDAÇÃO 2025'!$C:$C,'MEDIÇÃO '!$B$188,'LIQUIDAÇÃO 2025'!$H:$H,'MEDIÇÃO '!C$190,'LIQUIDAÇÃO 2025'!$F:$F,'MEDIÇÃO '!$A$194)</f>
        <v>0</v>
      </c>
      <c r="D194" s="132">
        <f>SUMIFS('LIQUIDAÇÃO 2025'!$K:$K,'LIQUIDAÇÃO 2025'!$B:$B,'MEDIÇÃO '!$A$188,'LIQUIDAÇÃO 2025'!$C:$C,'MEDIÇÃO '!$B$188,'LIQUIDAÇÃO 2025'!$H:$H,'MEDIÇÃO '!D$190,'LIQUIDAÇÃO 2025'!$F:$F,'MEDIÇÃO '!$A$194)</f>
        <v>0</v>
      </c>
      <c r="E194" s="132">
        <f>SUMIFS('LIQUIDAÇÃO 2025'!$K:$K,'LIQUIDAÇÃO 2025'!$B:$B,'MEDIÇÃO '!$A$188,'LIQUIDAÇÃO 2025'!$C:$C,'MEDIÇÃO '!$B$188,'LIQUIDAÇÃO 2025'!$H:$H,'MEDIÇÃO '!E$190,'LIQUIDAÇÃO 2025'!$F:$F,'MEDIÇÃO '!$A$194)</f>
        <v>0</v>
      </c>
      <c r="F194" s="132">
        <f>SUMIFS('LIQUIDAÇÃO 2025'!$K:$K,'LIQUIDAÇÃO 2025'!$B:$B,'MEDIÇÃO '!$A$188,'LIQUIDAÇÃO 2025'!$C:$C,'MEDIÇÃO '!$B$188,'LIQUIDAÇÃO 2025'!$H:$H,'MEDIÇÃO '!F$190,'LIQUIDAÇÃO 2025'!$F:$F,'MEDIÇÃO '!$A$194)</f>
        <v>5430.18</v>
      </c>
      <c r="G194" s="132">
        <f>SUMIFS('LIQUIDAÇÃO 2025'!$K:$K,'LIQUIDAÇÃO 2025'!$B:$B,'MEDIÇÃO '!$A$188,'LIQUIDAÇÃO 2025'!$C:$C,'MEDIÇÃO '!$B$188,'LIQUIDAÇÃO 2025'!$H:$H,'MEDIÇÃO '!G$190,'LIQUIDAÇÃO 2025'!$F:$F,'MEDIÇÃO '!$A$194)</f>
        <v>0</v>
      </c>
      <c r="H194" s="132">
        <f>SUMIFS('LIQUIDAÇÃO 2025'!$K:$K,'LIQUIDAÇÃO 2025'!$B:$B,'MEDIÇÃO '!$A$188,'LIQUIDAÇÃO 2025'!$C:$C,'MEDIÇÃO '!$B$188,'LIQUIDAÇÃO 2025'!$H:$H,'MEDIÇÃO '!H$190,'LIQUIDAÇÃO 2025'!$F:$F,'MEDIÇÃO '!$A$194)</f>
        <v>0</v>
      </c>
      <c r="I194" s="132">
        <f>SUMIFS('LIQUIDAÇÃO 2025'!$K:$K,'LIQUIDAÇÃO 2025'!$B:$B,'MEDIÇÃO '!$A$188,'LIQUIDAÇÃO 2025'!$C:$C,'MEDIÇÃO '!$B$188,'LIQUIDAÇÃO 2025'!$H:$H,'MEDIÇÃO '!I$190,'LIQUIDAÇÃO 2025'!$F:$F,'MEDIÇÃO '!$A$194)</f>
        <v>0</v>
      </c>
      <c r="J194" s="132">
        <f>SUMIFS('LIQUIDAÇÃO 2025'!$K:$K,'LIQUIDAÇÃO 2025'!$B:$B,'MEDIÇÃO '!$A$188,'LIQUIDAÇÃO 2025'!$C:$C,'MEDIÇÃO '!$B$188,'LIQUIDAÇÃO 2025'!$H:$H,'MEDIÇÃO '!J$190,'LIQUIDAÇÃO 2025'!$F:$F,'MEDIÇÃO '!$A$194)</f>
        <v>0</v>
      </c>
      <c r="K194" s="132">
        <f>SUMIFS('LIQUIDAÇÃO 2025'!$K:$K,'LIQUIDAÇÃO 2025'!$B:$B,'MEDIÇÃO '!$A$188,'LIQUIDAÇÃO 2025'!$C:$C,'MEDIÇÃO '!$B$188,'LIQUIDAÇÃO 2025'!$H:$H,'MEDIÇÃO '!K$190,'LIQUIDAÇÃO 2025'!$F:$F,'MEDIÇÃO '!$A$194)</f>
        <v>0</v>
      </c>
      <c r="L194" s="132">
        <f>SUMIFS('LIQUIDAÇÃO 2025'!$K:$K,'LIQUIDAÇÃO 2025'!$B:$B,'MEDIÇÃO '!$A$188,'LIQUIDAÇÃO 2025'!$C:$C,'MEDIÇÃO '!$B$188,'LIQUIDAÇÃO 2025'!$H:$H,'MEDIÇÃO '!L$190,'LIQUIDAÇÃO 2025'!$F:$F,'MEDIÇÃO '!$A$194)</f>
        <v>0</v>
      </c>
      <c r="M194" s="132">
        <f>SUMIFS('LIQUIDAÇÃO 2025'!$K:$K,'LIQUIDAÇÃO 2025'!$B:$B,'MEDIÇÃO '!$A$188,'LIQUIDAÇÃO 2025'!$C:$C,'MEDIÇÃO '!$B$188,'LIQUIDAÇÃO 2025'!$H:$H,'MEDIÇÃO '!M$190,'LIQUIDAÇÃO 2025'!$F:$F,'MEDIÇÃO '!$A$194)</f>
        <v>0</v>
      </c>
      <c r="N194" s="1067"/>
      <c r="Q194" s="659">
        <f>N198-Q197</f>
        <v>0</v>
      </c>
    </row>
    <row r="195" spans="1:17" s="57" customFormat="1">
      <c r="A195" s="131">
        <v>11423</v>
      </c>
      <c r="B195" s="132">
        <f>SUMIFS('LIQUIDAÇÃO 2025'!$K:$K,'LIQUIDAÇÃO 2025'!$B:$B,'MEDIÇÃO '!$A$188,'LIQUIDAÇÃO 2025'!$C:$C,'MEDIÇÃO '!$B$188,'LIQUIDAÇÃO 2025'!$H:$H,'MEDIÇÃO '!B$190,'LIQUIDAÇÃO 2025'!$F:$F,'MEDIÇÃO '!$A$195)</f>
        <v>0</v>
      </c>
      <c r="C195" s="132">
        <f>SUMIFS('LIQUIDAÇÃO 2025'!$K:$K,'LIQUIDAÇÃO 2025'!$B:$B,'MEDIÇÃO '!$A$188,'LIQUIDAÇÃO 2025'!$C:$C,'MEDIÇÃO '!$B$188,'LIQUIDAÇÃO 2025'!$H:$H,'MEDIÇÃO '!C$190,'LIQUIDAÇÃO 2025'!$F:$F,'MEDIÇÃO '!$A$195)</f>
        <v>0</v>
      </c>
      <c r="D195" s="132">
        <f>SUMIFS('LIQUIDAÇÃO 2025'!$K:$K,'LIQUIDAÇÃO 2025'!$B:$B,'MEDIÇÃO '!$A$188,'LIQUIDAÇÃO 2025'!$C:$C,'MEDIÇÃO '!$B$188,'LIQUIDAÇÃO 2025'!$H:$H,'MEDIÇÃO '!D$190,'LIQUIDAÇÃO 2025'!$F:$F,'MEDIÇÃO '!$A$195)</f>
        <v>0</v>
      </c>
      <c r="E195" s="132">
        <f>SUMIFS('LIQUIDAÇÃO 2025'!$K:$K,'LIQUIDAÇÃO 2025'!$B:$B,'MEDIÇÃO '!$A$188,'LIQUIDAÇÃO 2025'!$C:$C,'MEDIÇÃO '!$B$188,'LIQUIDAÇÃO 2025'!$H:$H,'MEDIÇÃO '!E$190,'LIQUIDAÇÃO 2025'!$F:$F,'MEDIÇÃO '!$A$195)</f>
        <v>0</v>
      </c>
      <c r="F195" s="132">
        <f>SUMIFS('LIQUIDAÇÃO 2025'!$K:$K,'LIQUIDAÇÃO 2025'!$B:$B,'MEDIÇÃO '!$A$188,'LIQUIDAÇÃO 2025'!$C:$C,'MEDIÇÃO '!$B$188,'LIQUIDAÇÃO 2025'!$H:$H,'MEDIÇÃO '!F$190,'LIQUIDAÇÃO 2025'!$F:$F,'MEDIÇÃO '!$A$195)</f>
        <v>5430.18</v>
      </c>
      <c r="G195" s="132">
        <f>SUMIFS('LIQUIDAÇÃO 2025'!$K:$K,'LIQUIDAÇÃO 2025'!$B:$B,'MEDIÇÃO '!$A$188,'LIQUIDAÇÃO 2025'!$C:$C,'MEDIÇÃO '!$B$188,'LIQUIDAÇÃO 2025'!$H:$H,'MEDIÇÃO '!G$190,'LIQUIDAÇÃO 2025'!$F:$F,'MEDIÇÃO '!$A$195)</f>
        <v>0</v>
      </c>
      <c r="H195" s="132">
        <f>SUMIFS('LIQUIDAÇÃO 2025'!$K:$K,'LIQUIDAÇÃO 2025'!$B:$B,'MEDIÇÃO '!$A$188,'LIQUIDAÇÃO 2025'!$C:$C,'MEDIÇÃO '!$B$188,'LIQUIDAÇÃO 2025'!$H:$H,'MEDIÇÃO '!H$190,'LIQUIDAÇÃO 2025'!$F:$F,'MEDIÇÃO '!$A$195)</f>
        <v>0</v>
      </c>
      <c r="I195" s="132">
        <f>SUMIFS('LIQUIDAÇÃO 2025'!$K:$K,'LIQUIDAÇÃO 2025'!$B:$B,'MEDIÇÃO '!$A$188,'LIQUIDAÇÃO 2025'!$C:$C,'MEDIÇÃO '!$B$188,'LIQUIDAÇÃO 2025'!$H:$H,'MEDIÇÃO '!I$190,'LIQUIDAÇÃO 2025'!$F:$F,'MEDIÇÃO '!$A$195)</f>
        <v>0</v>
      </c>
      <c r="J195" s="132">
        <f>SUMIFS('LIQUIDAÇÃO 2025'!$K:$K,'LIQUIDAÇÃO 2025'!$B:$B,'MEDIÇÃO '!$A$188,'LIQUIDAÇÃO 2025'!$C:$C,'MEDIÇÃO '!$B$188,'LIQUIDAÇÃO 2025'!$H:$H,'MEDIÇÃO '!J$190,'LIQUIDAÇÃO 2025'!$F:$F,'MEDIÇÃO '!$A$195)</f>
        <v>0</v>
      </c>
      <c r="K195" s="132">
        <f>SUMIFS('LIQUIDAÇÃO 2025'!$K:$K,'LIQUIDAÇÃO 2025'!$B:$B,'MEDIÇÃO '!$A$188,'LIQUIDAÇÃO 2025'!$C:$C,'MEDIÇÃO '!$B$188,'LIQUIDAÇÃO 2025'!$H:$H,'MEDIÇÃO '!K$190,'LIQUIDAÇÃO 2025'!$F:$F,'MEDIÇÃO '!$A$195)</f>
        <v>0</v>
      </c>
      <c r="L195" s="132">
        <f>SUMIFS('LIQUIDAÇÃO 2025'!$K:$K,'LIQUIDAÇÃO 2025'!$B:$B,'MEDIÇÃO '!$A$188,'LIQUIDAÇÃO 2025'!$C:$C,'MEDIÇÃO '!$B$188,'LIQUIDAÇÃO 2025'!$H:$H,'MEDIÇÃO '!L$190,'LIQUIDAÇÃO 2025'!$F:$F,'MEDIÇÃO '!$A$195)</f>
        <v>0</v>
      </c>
      <c r="M195" s="132">
        <f>SUMIFS('LIQUIDAÇÃO 2025'!$K:$K,'LIQUIDAÇÃO 2025'!$B:$B,'MEDIÇÃO '!$A$188,'LIQUIDAÇÃO 2025'!$C:$C,'MEDIÇÃO '!$B$188,'LIQUIDAÇÃO 2025'!$H:$H,'MEDIÇÃO '!M$190,'LIQUIDAÇÃO 2025'!$F:$F,'MEDIÇÃO '!$A$195)</f>
        <v>0</v>
      </c>
      <c r="N195" s="1067"/>
    </row>
    <row r="196" spans="1:17" s="57" customFormat="1" ht="15.75" thickBot="1">
      <c r="A196" s="131">
        <v>11426</v>
      </c>
      <c r="B196" s="132">
        <f>SUMIFS('LIQUIDAÇÃO 2025'!$K:$K,'LIQUIDAÇÃO 2025'!$B:$B,'MEDIÇÃO '!$A$188,'LIQUIDAÇÃO 2025'!$C:$C,'MEDIÇÃO '!$B$188,'LIQUIDAÇÃO 2025'!$H:$H,'MEDIÇÃO '!B$190,'LIQUIDAÇÃO 2025'!$F:$F,'MEDIÇÃO '!$A$196)</f>
        <v>0</v>
      </c>
      <c r="C196" s="132">
        <f>SUMIFS('LIQUIDAÇÃO 2025'!$K:$K,'LIQUIDAÇÃO 2025'!$B:$B,'MEDIÇÃO '!$A$188,'LIQUIDAÇÃO 2025'!$C:$C,'MEDIÇÃO '!$B$188,'LIQUIDAÇÃO 2025'!$H:$H,'MEDIÇÃO '!C$190,'LIQUIDAÇÃO 2025'!$F:$F,'MEDIÇÃO '!$A$196)</f>
        <v>0</v>
      </c>
      <c r="D196" s="132">
        <f>SUMIFS('LIQUIDAÇÃO 2025'!$K:$K,'LIQUIDAÇÃO 2025'!$B:$B,'MEDIÇÃO '!$A$188,'LIQUIDAÇÃO 2025'!$C:$C,'MEDIÇÃO '!$B$188,'LIQUIDAÇÃO 2025'!$H:$H,'MEDIÇÃO '!D$190,'LIQUIDAÇÃO 2025'!$F:$F,'MEDIÇÃO '!$A$196)</f>
        <v>0</v>
      </c>
      <c r="E196" s="132">
        <f>SUMIFS('LIQUIDAÇÃO 2025'!$K:$K,'LIQUIDAÇÃO 2025'!$B:$B,'MEDIÇÃO '!$A$188,'LIQUIDAÇÃO 2025'!$C:$C,'MEDIÇÃO '!$B$188,'LIQUIDAÇÃO 2025'!$H:$H,'MEDIÇÃO '!E$190,'LIQUIDAÇÃO 2025'!$F:$F,'MEDIÇÃO '!$A$196)</f>
        <v>0</v>
      </c>
      <c r="F196" s="132">
        <f>SUMIFS('LIQUIDAÇÃO 2025'!$K:$K,'LIQUIDAÇÃO 2025'!$B:$B,'MEDIÇÃO '!$A$188,'LIQUIDAÇÃO 2025'!$C:$C,'MEDIÇÃO '!$B$188,'LIQUIDAÇÃO 2025'!$H:$H,'MEDIÇÃO '!F$190,'LIQUIDAÇÃO 2025'!$F:$F,'MEDIÇÃO '!$A$196)</f>
        <v>10860.25</v>
      </c>
      <c r="G196" s="132">
        <f>SUMIFS('LIQUIDAÇÃO 2025'!$K:$K,'LIQUIDAÇÃO 2025'!$B:$B,'MEDIÇÃO '!$A$188,'LIQUIDAÇÃO 2025'!$C:$C,'MEDIÇÃO '!$B$188,'LIQUIDAÇÃO 2025'!$H:$H,'MEDIÇÃO '!G$190,'LIQUIDAÇÃO 2025'!$F:$F,'MEDIÇÃO '!$A$196)</f>
        <v>0</v>
      </c>
      <c r="H196" s="132">
        <f>SUMIFS('LIQUIDAÇÃO 2025'!$K:$K,'LIQUIDAÇÃO 2025'!$B:$B,'MEDIÇÃO '!$A$188,'LIQUIDAÇÃO 2025'!$C:$C,'MEDIÇÃO '!$B$188,'LIQUIDAÇÃO 2025'!$H:$H,'MEDIÇÃO '!H$190,'LIQUIDAÇÃO 2025'!$F:$F,'MEDIÇÃO '!$A$196)</f>
        <v>0</v>
      </c>
      <c r="I196" s="132">
        <f>SUMIFS('LIQUIDAÇÃO 2025'!$K:$K,'LIQUIDAÇÃO 2025'!$B:$B,'MEDIÇÃO '!$A$188,'LIQUIDAÇÃO 2025'!$C:$C,'MEDIÇÃO '!$B$188,'LIQUIDAÇÃO 2025'!$H:$H,'MEDIÇÃO '!I$190,'LIQUIDAÇÃO 2025'!$F:$F,'MEDIÇÃO '!$A$196)</f>
        <v>0</v>
      </c>
      <c r="J196" s="132">
        <f>SUMIFS('LIQUIDAÇÃO 2025'!$K:$K,'LIQUIDAÇÃO 2025'!$B:$B,'MEDIÇÃO '!$A$188,'LIQUIDAÇÃO 2025'!$C:$C,'MEDIÇÃO '!$B$188,'LIQUIDAÇÃO 2025'!$H:$H,'MEDIÇÃO '!J$190,'LIQUIDAÇÃO 2025'!$F:$F,'MEDIÇÃO '!$A$196)</f>
        <v>0</v>
      </c>
      <c r="K196" s="132">
        <f>SUMIFS('LIQUIDAÇÃO 2025'!$K:$K,'LIQUIDAÇÃO 2025'!$B:$B,'MEDIÇÃO '!$A$188,'LIQUIDAÇÃO 2025'!$C:$C,'MEDIÇÃO '!$B$188,'LIQUIDAÇÃO 2025'!$H:$H,'MEDIÇÃO '!K$190,'LIQUIDAÇÃO 2025'!$F:$F,'MEDIÇÃO '!$A$196)</f>
        <v>0</v>
      </c>
      <c r="L196" s="132">
        <f>SUMIFS('LIQUIDAÇÃO 2025'!$K:$K,'LIQUIDAÇÃO 2025'!$B:$B,'MEDIÇÃO '!$A$188,'LIQUIDAÇÃO 2025'!$C:$C,'MEDIÇÃO '!$B$188,'LIQUIDAÇÃO 2025'!$H:$H,'MEDIÇÃO '!L$190,'LIQUIDAÇÃO 2025'!$F:$F,'MEDIÇÃO '!$A$196)</f>
        <v>0</v>
      </c>
      <c r="M196" s="132">
        <f>SUMIFS('LIQUIDAÇÃO 2025'!$K:$K,'LIQUIDAÇÃO 2025'!$B:$B,'MEDIÇÃO '!$A$188,'LIQUIDAÇÃO 2025'!$C:$C,'MEDIÇÃO '!$B$188,'LIQUIDAÇÃO 2025'!$H:$H,'MEDIÇÃO '!M$190,'LIQUIDAÇÃO 2025'!$F:$F,'MEDIÇÃO '!$A$196)</f>
        <v>0</v>
      </c>
      <c r="N196" s="1067"/>
    </row>
    <row r="197" spans="1:17" ht="16.5" thickBot="1">
      <c r="A197" s="214" t="s">
        <v>38</v>
      </c>
      <c r="B197" s="215">
        <v>0</v>
      </c>
      <c r="C197" s="215">
        <v>0</v>
      </c>
      <c r="D197" s="215"/>
      <c r="E197" s="215">
        <v>0</v>
      </c>
      <c r="F197" s="215"/>
      <c r="G197" s="215">
        <v>0</v>
      </c>
      <c r="H197" s="215">
        <v>0</v>
      </c>
      <c r="I197" s="215">
        <v>0</v>
      </c>
      <c r="J197" s="215">
        <v>0</v>
      </c>
      <c r="K197" s="215">
        <v>0</v>
      </c>
      <c r="L197" s="215">
        <v>0</v>
      </c>
      <c r="M197" s="215">
        <v>0</v>
      </c>
      <c r="N197" s="1068"/>
    </row>
    <row r="198" spans="1:17" ht="15.75">
      <c r="A198" s="212" t="s">
        <v>127</v>
      </c>
      <c r="B198" s="216">
        <f>IF(SUM(B192:B196)&lt;&gt;0,B191-B197-SUM(B192:B196),(B191-SUM(B192:B196)-B197))</f>
        <v>5430.18</v>
      </c>
      <c r="C198" s="216">
        <f t="shared" ref="C198" si="137">IF(SUM(C192:C196)&lt;&gt;0,C191-C197-SUM(C192:C196),(C191-SUM(C192:C196)-C197))</f>
        <v>0</v>
      </c>
      <c r="D198" s="216">
        <f t="shared" ref="D198" si="138">IF(SUM(D192:D196)&lt;&gt;0,D191-D197-SUM(D192:D196),(D191-SUM(D192:D196)-D197))</f>
        <v>21720.61</v>
      </c>
      <c r="E198" s="216">
        <f t="shared" ref="E198" si="139">IF(SUM(E192:E196)&lt;&gt;0,E191-E197-SUM(E192:E196),(E191-SUM(E192:E196)-E197))</f>
        <v>16290.43</v>
      </c>
      <c r="F198" s="216">
        <f t="shared" ref="F198" si="140">IF(SUM(F192:F196)&lt;&gt;0,F191-F197-SUM(F192:F196),(F191-SUM(F192:F196)-F197))</f>
        <v>-10860.25</v>
      </c>
      <c r="G198" s="216">
        <f>IF(SUM(G192:G196)&lt;&gt;0,G191-G197-SUM(G192:G196),(G191-SUM(G192:G196)-G197))</f>
        <v>0</v>
      </c>
      <c r="H198" s="216">
        <f t="shared" ref="H198" si="141">IF(SUM(H192:H196)&lt;&gt;0,H191-H197-SUM(H192:H196),(H191-SUM(H192:H196)-H197))</f>
        <v>-21720.61</v>
      </c>
      <c r="I198" s="216">
        <f t="shared" ref="I198" si="142">IF(SUM(I192:I196)&lt;&gt;0,I191-I197-SUM(I192:I196),(I191-SUM(I192:I196)-I197))</f>
        <v>-5430.18</v>
      </c>
      <c r="J198" s="216">
        <f t="shared" ref="J198" si="143">IF(SUM(J192:J196)&lt;&gt;0,J191-J197-SUM(J192:J196),(J191-SUM(J192:J196)-J197))</f>
        <v>-5430.18</v>
      </c>
      <c r="K198" s="216">
        <f t="shared" ref="K198" si="144">IF(SUM(K192:K196)&lt;&gt;0,K191-K197-SUM(K192:K196),(K191-SUM(K192:K196)-K197))</f>
        <v>0</v>
      </c>
      <c r="L198" s="216">
        <f t="shared" ref="L198" si="145">IF(SUM(L192:L196)&lt;&gt;0,L191-L197-SUM(L192:L196),(L191-SUM(L192:L196)-L197))</f>
        <v>0</v>
      </c>
      <c r="M198" s="216">
        <f t="shared" ref="M198" si="146">IF(SUM(M192:M196)&lt;&gt;0,M191-M197-SUM(M192:M196),(M191-SUM(M192:M196)-M197))</f>
        <v>0</v>
      </c>
      <c r="N198" s="213">
        <f>SUM(B191:M191)-SUM(B192:M196)-SUM(B197:M197)</f>
        <v>0</v>
      </c>
      <c r="Q198" s="660"/>
    </row>
    <row r="200" spans="1:17" ht="15.75" hidden="1">
      <c r="A200" s="212"/>
      <c r="B200" s="216"/>
      <c r="C200" s="216"/>
      <c r="D200" s="216"/>
      <c r="E200" s="216"/>
      <c r="F200" s="216"/>
      <c r="G200" s="216"/>
      <c r="H200" s="216"/>
      <c r="I200" s="216"/>
      <c r="J200" s="216"/>
      <c r="K200" s="216"/>
      <c r="L200" s="216"/>
      <c r="M200" s="216"/>
      <c r="N200" s="213"/>
    </row>
    <row r="202" spans="1:17" ht="18.75">
      <c r="A202" s="123">
        <v>54615</v>
      </c>
      <c r="B202" s="118" t="s">
        <v>158</v>
      </c>
      <c r="C202" s="115"/>
      <c r="D202" s="115"/>
      <c r="E202" s="115"/>
      <c r="F202" s="91" t="s">
        <v>116</v>
      </c>
      <c r="G202" s="92" t="s">
        <v>117</v>
      </c>
      <c r="H202" s="1062" t="s">
        <v>113</v>
      </c>
      <c r="I202" s="1062"/>
      <c r="J202" s="1062" t="s">
        <v>114</v>
      </c>
      <c r="K202" s="1062"/>
      <c r="L202" s="1062" t="s">
        <v>118</v>
      </c>
      <c r="M202" s="1062"/>
      <c r="N202" s="92" t="s">
        <v>115</v>
      </c>
    </row>
    <row r="203" spans="1:17" ht="15.75" customHeight="1">
      <c r="A203" s="121"/>
      <c r="B203" s="121"/>
      <c r="C203" s="121"/>
      <c r="D203" s="121"/>
      <c r="E203" s="121"/>
      <c r="F203" s="97" t="str">
        <f>VALIDAÇÕES!C21</f>
        <v>11789/2022</v>
      </c>
      <c r="G203" s="97" t="str">
        <f>VALIDAÇÕES!D21</f>
        <v>23401/2022</v>
      </c>
      <c r="H203" s="1061">
        <f>VALIDAÇÕES!G21</f>
        <v>62748</v>
      </c>
      <c r="I203" s="1061"/>
      <c r="J203" s="1061">
        <f>VALIDAÇÕES!H21</f>
        <v>41832</v>
      </c>
      <c r="K203" s="1061"/>
      <c r="L203" s="1063">
        <f>VALIDAÇÕES!E21</f>
        <v>45135</v>
      </c>
      <c r="M203" s="1063"/>
      <c r="N203" s="202">
        <f>VALIDAÇÕES!F21</f>
        <v>45501</v>
      </c>
    </row>
    <row r="204" spans="1:17" ht="15" customHeight="1">
      <c r="A204" s="1060" t="s">
        <v>7</v>
      </c>
      <c r="B204" s="89" t="s">
        <v>44</v>
      </c>
      <c r="C204" s="89" t="s">
        <v>43</v>
      </c>
      <c r="D204" s="89" t="s">
        <v>45</v>
      </c>
      <c r="E204" s="89" t="s">
        <v>46</v>
      </c>
      <c r="F204" s="89" t="s">
        <v>47</v>
      </c>
      <c r="G204" s="89" t="s">
        <v>48</v>
      </c>
      <c r="H204" s="89" t="s">
        <v>49</v>
      </c>
      <c r="I204" s="89" t="s">
        <v>50</v>
      </c>
      <c r="J204" s="89" t="s">
        <v>51</v>
      </c>
      <c r="K204" s="89" t="s">
        <v>52</v>
      </c>
      <c r="L204" s="89" t="s">
        <v>53</v>
      </c>
      <c r="M204" s="89" t="s">
        <v>54</v>
      </c>
      <c r="N204" s="1066" t="s">
        <v>112</v>
      </c>
    </row>
    <row r="205" spans="1:17" ht="15" customHeight="1">
      <c r="A205" s="1060"/>
      <c r="B205" s="98">
        <v>5976</v>
      </c>
      <c r="C205" s="98">
        <v>5976</v>
      </c>
      <c r="D205" s="98">
        <v>10209</v>
      </c>
      <c r="E205" s="98">
        <v>17928</v>
      </c>
      <c r="F205" s="98">
        <v>5976</v>
      </c>
      <c r="G205" s="98">
        <v>5976</v>
      </c>
      <c r="H205" s="98">
        <v>5976</v>
      </c>
      <c r="I205" s="98"/>
      <c r="J205" s="100"/>
      <c r="K205" s="100"/>
      <c r="L205" s="100"/>
      <c r="M205" s="100"/>
      <c r="N205" s="1067"/>
      <c r="P205" s="10"/>
    </row>
    <row r="206" spans="1:17" ht="15" customHeight="1">
      <c r="A206" s="131" cm="1">
        <f t="array" ref="A206">IFERROR(INDEX(Tabela3[[CÓDIGO
 EMPRESA ]:[EMPENHO]],SMALL(IF(Tabela3[CÓDIGO
 EMPRESA ]='MEDIÇÃO '!$A$202,ROW(Tabela3[CÓDIGO
 EMPRESA ])-3),ROW(P1)),3),"")</f>
        <v>2854</v>
      </c>
      <c r="B206" s="132">
        <f>SUMIFS('LIQUIDAÇÃO 2025'!$K:$K,'LIQUIDAÇÃO 2025'!$B:$B,'MEDIÇÃO '!$A$202,'LIQUIDAÇÃO 2025'!$C:$C,'MEDIÇÃO '!$B$202,'LIQUIDAÇÃO 2025'!$H:$H,'MEDIÇÃO '!B$204,'LIQUIDAÇÃO 2025'!$F:$F,'MEDIÇÃO '!$A$206)</f>
        <v>0</v>
      </c>
      <c r="C206" s="132">
        <f>SUMIFS('LIQUIDAÇÃO 2025'!$K:$K,'LIQUIDAÇÃO 2025'!$B:$B,'MEDIÇÃO '!$A$202,'LIQUIDAÇÃO 2025'!$C:$C,'MEDIÇÃO '!$B$202,'LIQUIDAÇÃO 2025'!$H:$H,'MEDIÇÃO '!C$204,'LIQUIDAÇÃO 2025'!$F:$F,'MEDIÇÃO '!$A$206)</f>
        <v>0</v>
      </c>
      <c r="D206" s="132">
        <f>SUMIFS('LIQUIDAÇÃO 2025'!$K:$K,'LIQUIDAÇÃO 2025'!$B:$B,'MEDIÇÃO '!$A$202,'LIQUIDAÇÃO 2025'!$C:$C,'MEDIÇÃO '!$B$202,'LIQUIDAÇÃO 2025'!$H:$H,'MEDIÇÃO '!D$204,'LIQUIDAÇÃO 2025'!$F:$F,'MEDIÇÃO '!$A$206)</f>
        <v>8466</v>
      </c>
      <c r="E206" s="132">
        <f>SUMIFS('LIQUIDAÇÃO 2025'!$K:$K,'LIQUIDAÇÃO 2025'!$B:$B,'MEDIÇÃO '!$A$202,'LIQUIDAÇÃO 2025'!$C:$C,'MEDIÇÃO '!$B$202,'LIQUIDAÇÃO 2025'!$H:$H,'MEDIÇÃO '!E$204,'LIQUIDAÇÃO 2025'!$F:$F,'MEDIÇÃO '!$A$206)</f>
        <v>4233</v>
      </c>
      <c r="F206" s="132">
        <f>SUMIFS('LIQUIDAÇÃO 2025'!$K:$K,'LIQUIDAÇÃO 2025'!$B:$B,'MEDIÇÃO '!$A$202,'LIQUIDAÇÃO 2025'!$C:$C,'MEDIÇÃO '!$B$202,'LIQUIDAÇÃO 2025'!$H:$H,'MEDIÇÃO '!F$204,'LIQUIDAÇÃO 2025'!$F:$F,'MEDIÇÃO '!$A$206)</f>
        <v>0</v>
      </c>
      <c r="G206" s="132">
        <f>SUMIFS('LIQUIDAÇÃO 2025'!$K:$K,'LIQUIDAÇÃO 2025'!$B:$B,'MEDIÇÃO '!$A$202,'LIQUIDAÇÃO 2025'!$C:$C,'MEDIÇÃO '!$B$202,'LIQUIDAÇÃO 2025'!$H:$H,'MEDIÇÃO '!G$204,'LIQUIDAÇÃO 2025'!$F:$F,'MEDIÇÃO '!$A$206)</f>
        <v>0</v>
      </c>
      <c r="H206" s="132">
        <f>SUMIFS('LIQUIDAÇÃO 2025'!$K:$K,'LIQUIDAÇÃO 2025'!$B:$B,'MEDIÇÃO '!$A$202,'LIQUIDAÇÃO 2025'!$C:$C,'MEDIÇÃO '!$B$202,'LIQUIDAÇÃO 2025'!$H:$H,'MEDIÇÃO '!H$204,'LIQUIDAÇÃO 2025'!$F:$F,'MEDIÇÃO '!$A$206)</f>
        <v>2988</v>
      </c>
      <c r="I206" s="132">
        <f>SUMIFS('LIQUIDAÇÃO 2025'!$K:$K,'LIQUIDAÇÃO 2025'!$B:$B,'MEDIÇÃO '!$A$202,'LIQUIDAÇÃO 2025'!$C:$C,'MEDIÇÃO '!$B$202,'LIQUIDAÇÃO 2025'!$H:$H,'MEDIÇÃO '!I$204,'LIQUIDAÇÃO 2025'!$F:$F,'MEDIÇÃO '!$A$206)</f>
        <v>0</v>
      </c>
      <c r="J206" s="132">
        <f>SUMIFS('LIQUIDAÇÃO 2025'!$K:$K,'LIQUIDAÇÃO 2025'!$B:$B,'MEDIÇÃO '!$A$202,'LIQUIDAÇÃO 2025'!$C:$C,'MEDIÇÃO '!$B$202,'LIQUIDAÇÃO 2025'!$H:$H,'MEDIÇÃO '!J$204,'LIQUIDAÇÃO 2025'!$F:$F,'MEDIÇÃO '!$A$206)</f>
        <v>0</v>
      </c>
      <c r="K206" s="132">
        <f>SUMIFS('LIQUIDAÇÃO 2025'!$K:$K,'LIQUIDAÇÃO 2025'!$B:$B,'MEDIÇÃO '!$A$202,'LIQUIDAÇÃO 2025'!$C:$C,'MEDIÇÃO '!$B$202,'LIQUIDAÇÃO 2025'!$H:$H,'MEDIÇÃO '!K$204,'LIQUIDAÇÃO 2025'!$F:$F,'MEDIÇÃO '!$A$206)</f>
        <v>0</v>
      </c>
      <c r="L206" s="132">
        <f>SUMIFS('LIQUIDAÇÃO 2025'!$K:$K,'LIQUIDAÇÃO 2025'!$B:$B,'MEDIÇÃO '!$A$202,'LIQUIDAÇÃO 2025'!$C:$C,'MEDIÇÃO '!$B$202,'LIQUIDAÇÃO 2025'!$H:$H,'MEDIÇÃO '!L$204,'LIQUIDAÇÃO 2025'!$F:$F,'MEDIÇÃO '!$A$206)</f>
        <v>0</v>
      </c>
      <c r="M206" s="132">
        <f>SUMIFS('LIQUIDAÇÃO 2025'!$K:$K,'LIQUIDAÇÃO 2025'!$B:$B,'MEDIÇÃO '!$A$202,'LIQUIDAÇÃO 2025'!$C:$C,'MEDIÇÃO '!$B$202,'LIQUIDAÇÃO 2025'!$H:$H,'MEDIÇÃO '!M$204,'LIQUIDAÇÃO 2025'!$F:$F,'MEDIÇÃO '!$A$206)</f>
        <v>0</v>
      </c>
      <c r="N206" s="1067"/>
      <c r="P206" s="10"/>
    </row>
    <row r="207" spans="1:17" ht="15" customHeight="1">
      <c r="A207" s="131" cm="1">
        <f t="array" ref="A207">IFERROR(INDEX(Tabela3[[CÓDIGO
 EMPRESA ]:[EMPENHO]],SMALL(IF(Tabela3[CÓDIGO
 EMPRESA ]='MEDIÇÃO '!$A$202,ROW(Tabela3[CÓDIGO
 EMPRESA ])-3),ROW(P2)),3),"")</f>
        <v>5793</v>
      </c>
      <c r="B207" s="132">
        <f>SUMIFS('LIQUIDAÇÃO 2025'!$K:$K,'LIQUIDAÇÃO 2025'!$B:$B,'MEDIÇÃO '!$A$202,'LIQUIDAÇÃO 2025'!$C:$C,'MEDIÇÃO '!$B$202,'LIQUIDAÇÃO 2025'!$H:$H,'MEDIÇÃO '!B$204,'LIQUIDAÇÃO 2025'!$F:$F,'MEDIÇÃO '!$A$207)</f>
        <v>0</v>
      </c>
      <c r="C207" s="132">
        <f>SUMIFS('LIQUIDAÇÃO 2025'!$K:$K,'LIQUIDAÇÃO 2025'!$B:$B,'MEDIÇÃO '!$A$202,'LIQUIDAÇÃO 2025'!$C:$C,'MEDIÇÃO '!$B$202,'LIQUIDAÇÃO 2025'!$H:$H,'MEDIÇÃO '!C$204,'LIQUIDAÇÃO 2025'!$F:$F,'MEDIÇÃO '!$A$206)</f>
        <v>0</v>
      </c>
      <c r="D207" s="132">
        <f>SUMIFS('LIQUIDAÇÃO 2025'!$K:$K,'LIQUIDAÇÃO 2025'!$B:$B,'MEDIÇÃO '!$A$202,'LIQUIDAÇÃO 2025'!$C:$C,'MEDIÇÃO '!$B$202,'LIQUIDAÇÃO 2025'!$H:$H,'MEDIÇÃO '!D$204,'LIQUIDAÇÃO 2025'!$F:$F,'MEDIÇÃO '!$A$207)</f>
        <v>4233</v>
      </c>
      <c r="E207" s="132">
        <f>SUMIFS('LIQUIDAÇÃO 2025'!$K:$K,'LIQUIDAÇÃO 2025'!$B:$B,'MEDIÇÃO '!$A$202,'LIQUIDAÇÃO 2025'!$C:$C,'MEDIÇÃO '!$B$202,'LIQUIDAÇÃO 2025'!$H:$H,'MEDIÇÃO '!E$204,'LIQUIDAÇÃO 2025'!$F:$F,'MEDIÇÃO '!$A$207)</f>
        <v>0</v>
      </c>
      <c r="F207" s="132">
        <f>SUMIFS('LIQUIDAÇÃO 2025'!$K:$K,'LIQUIDAÇÃO 2025'!$B:$B,'MEDIÇÃO '!$A$202,'LIQUIDAÇÃO 2025'!$C:$C,'MEDIÇÃO '!$B$202,'LIQUIDAÇÃO 2025'!$H:$H,'MEDIÇÃO '!F$204,'LIQUIDAÇÃO 2025'!$F:$F,'MEDIÇÃO '!$A$207)</f>
        <v>0</v>
      </c>
      <c r="G207" s="132">
        <f>SUMIFS('LIQUIDAÇÃO 2025'!$K:$K,'LIQUIDAÇÃO 2025'!$B:$B,'MEDIÇÃO '!$A$202,'LIQUIDAÇÃO 2025'!$C:$C,'MEDIÇÃO '!$B$202,'LIQUIDAÇÃO 2025'!$H:$H,'MEDIÇÃO '!G$204,'LIQUIDAÇÃO 2025'!$F:$F,'MEDIÇÃO '!$A$207)</f>
        <v>0</v>
      </c>
      <c r="H207" s="132">
        <f>SUMIFS('LIQUIDAÇÃO 2025'!$K:$K,'LIQUIDAÇÃO 2025'!$B:$B,'MEDIÇÃO '!$A$202,'LIQUIDAÇÃO 2025'!$C:$C,'MEDIÇÃO '!$B$202,'LIQUIDAÇÃO 2025'!$H:$H,'MEDIÇÃO '!H$204,'LIQUIDAÇÃO 2025'!$F:$F,'MEDIÇÃO '!$A$207)</f>
        <v>0</v>
      </c>
      <c r="I207" s="132">
        <f>SUMIFS('LIQUIDAÇÃO 2025'!$K:$K,'LIQUIDAÇÃO 2025'!$B:$B,'MEDIÇÃO '!$A$202,'LIQUIDAÇÃO 2025'!$C:$C,'MEDIÇÃO '!$B$202,'LIQUIDAÇÃO 2025'!$H:$H,'MEDIÇÃO '!I$204,'LIQUIDAÇÃO 2025'!$F:$F,'MEDIÇÃO '!$A$207)</f>
        <v>0</v>
      </c>
      <c r="J207" s="132">
        <f>SUMIFS('LIQUIDAÇÃO 2025'!$K:$K,'LIQUIDAÇÃO 2025'!$B:$B,'MEDIÇÃO '!$A$202,'LIQUIDAÇÃO 2025'!$C:$C,'MEDIÇÃO '!$B$202,'LIQUIDAÇÃO 2025'!$H:$H,'MEDIÇÃO '!J$204,'LIQUIDAÇÃO 2025'!$F:$F,'MEDIÇÃO '!$A$207)</f>
        <v>0</v>
      </c>
      <c r="K207" s="132">
        <f>SUMIFS('LIQUIDAÇÃO 2025'!$K:$K,'LIQUIDAÇÃO 2025'!$B:$B,'MEDIÇÃO '!$A$202,'LIQUIDAÇÃO 2025'!$C:$C,'MEDIÇÃO '!$B$202,'LIQUIDAÇÃO 2025'!$H:$H,'MEDIÇÃO '!K$204,'LIQUIDAÇÃO 2025'!$F:$F,'MEDIÇÃO '!$A$207)</f>
        <v>0</v>
      </c>
      <c r="L207" s="132">
        <f>SUMIFS('LIQUIDAÇÃO 2025'!$K:$K,'LIQUIDAÇÃO 2025'!$B:$B,'MEDIÇÃO '!$A$202,'LIQUIDAÇÃO 2025'!$C:$C,'MEDIÇÃO '!$B$202,'LIQUIDAÇÃO 2025'!$H:$H,'MEDIÇÃO '!L$204,'LIQUIDAÇÃO 2025'!$F:$F,'MEDIÇÃO '!$A$207)</f>
        <v>0</v>
      </c>
      <c r="M207" s="132">
        <f>SUMIFS('LIQUIDAÇÃO 2025'!$K:$K,'LIQUIDAÇÃO 2025'!$B:$B,'MEDIÇÃO '!$A$202,'LIQUIDAÇÃO 2025'!$C:$C,'MEDIÇÃO '!$B$202,'LIQUIDAÇÃO 2025'!$H:$H,'MEDIÇÃO '!M$204,'LIQUIDAÇÃO 2025'!$F:$F,'MEDIÇÃO '!$A$207)</f>
        <v>0</v>
      </c>
      <c r="N207" s="1067"/>
      <c r="P207" s="10"/>
    </row>
    <row r="208" spans="1:17" ht="15" customHeight="1">
      <c r="A208" s="131" cm="1">
        <f t="array" ref="A208">IFERROR(INDEX(Tabela3[[CÓDIGO
 EMPRESA ]:[EMPENHO]],SMALL(IF(Tabela3[CÓDIGO
 EMPRESA ]='MEDIÇÃO '!$A$202,ROW(Tabela3[CÓDIGO
 EMPRESA ])-3),ROW(P3)),3),"")</f>
        <v>7400</v>
      </c>
      <c r="B208" s="132">
        <f>SUMIFS('LIQUIDAÇÃO 2025'!$K:$K,'LIQUIDAÇÃO 2025'!$B:$B,'MEDIÇÃO '!$A$202,'LIQUIDAÇÃO 2025'!$C:$C,'MEDIÇÃO '!$B$202,'LIQUIDAÇÃO 2025'!$H:$H,'MEDIÇÃO '!B$204,'LIQUIDAÇÃO 2025'!$F:$F,'MEDIÇÃO '!$A$208)</f>
        <v>0</v>
      </c>
      <c r="C208" s="132">
        <f>SUMIFS('LIQUIDAÇÃO 2025'!$K:$K,'LIQUIDAÇÃO 2025'!$B:$B,'MEDIÇÃO '!$A$202,'LIQUIDAÇÃO 2025'!$C:$C,'MEDIÇÃO '!$B$202,'LIQUIDAÇÃO 2025'!$H:$H,'MEDIÇÃO '!C$204,'LIQUIDAÇÃO 2025'!$F:$F,'MEDIÇÃO '!$A$206)</f>
        <v>0</v>
      </c>
      <c r="D208" s="132">
        <f>SUMIFS('LIQUIDAÇÃO 2025'!$K:$K,'LIQUIDAÇÃO 2025'!$B:$B,'MEDIÇÃO '!$A$202,'LIQUIDAÇÃO 2025'!$C:$C,'MEDIÇÃO '!$B$202,'LIQUIDAÇÃO 2025'!$H:$H,'MEDIÇÃO '!D$204,'LIQUIDAÇÃO 2025'!$F:$F,'MEDIÇÃO '!$A$208)</f>
        <v>0</v>
      </c>
      <c r="E208" s="132">
        <f>SUMIFS('LIQUIDAÇÃO 2025'!$K:$K,'LIQUIDAÇÃO 2025'!$B:$B,'MEDIÇÃO '!$A$202,'LIQUIDAÇÃO 2025'!$C:$C,'MEDIÇÃO '!$B$202,'LIQUIDAÇÃO 2025'!$H:$H,'MEDIÇÃO '!E$204,'LIQUIDAÇÃO 2025'!$F:$F,'MEDIÇÃO '!$A$207)</f>
        <v>0</v>
      </c>
      <c r="F208" s="132">
        <f>SUMIFS('LIQUIDAÇÃO 2025'!$K:$K,'LIQUIDAÇÃO 2025'!$B:$B,'MEDIÇÃO '!$A$202,'LIQUIDAÇÃO 2025'!$C:$C,'MEDIÇÃO '!$B$202,'LIQUIDAÇÃO 2025'!$H:$H,'MEDIÇÃO '!F$204,'LIQUIDAÇÃO 2025'!$F:$F,'MEDIÇÃO '!$A$207)</f>
        <v>0</v>
      </c>
      <c r="G208" s="132">
        <f>SUMIFS('LIQUIDAÇÃO 2025'!$K:$K,'LIQUIDAÇÃO 2025'!$B:$B,'MEDIÇÃO '!$A$202,'LIQUIDAÇÃO 2025'!$C:$C,'MEDIÇÃO '!$B$202,'LIQUIDAÇÃO 2025'!$H:$H,'MEDIÇÃO '!G$204,'LIQUIDAÇÃO 2025'!$F:$F,'MEDIÇÃO '!$A$207)</f>
        <v>0</v>
      </c>
      <c r="H208" s="132">
        <f>SUMIFS('LIQUIDAÇÃO 2025'!$K:$K,'LIQUIDAÇÃO 2025'!$B:$B,'MEDIÇÃO '!$A$202,'LIQUIDAÇÃO 2025'!$C:$C,'MEDIÇÃO '!$B$202,'LIQUIDAÇÃO 2025'!$H:$H,'MEDIÇÃO '!H$204,'LIQUIDAÇÃO 2025'!$F:$F,'MEDIÇÃO '!$A$207)</f>
        <v>0</v>
      </c>
      <c r="I208" s="132">
        <f>SUMIFS('LIQUIDAÇÃO 2025'!$K:$K,'LIQUIDAÇÃO 2025'!$B:$B,'MEDIÇÃO '!$A$202,'LIQUIDAÇÃO 2025'!$C:$C,'MEDIÇÃO '!$B$202,'LIQUIDAÇÃO 2025'!$H:$H,'MEDIÇÃO '!I$204,'LIQUIDAÇÃO 2025'!$F:$F,'MEDIÇÃO '!$A$207)</f>
        <v>0</v>
      </c>
      <c r="J208" s="132">
        <f>SUMIFS('LIQUIDAÇÃO 2025'!$K:$K,'LIQUIDAÇÃO 2025'!$B:$B,'MEDIÇÃO '!$A$202,'LIQUIDAÇÃO 2025'!$C:$C,'MEDIÇÃO '!$B$202,'LIQUIDAÇÃO 2025'!$H:$H,'MEDIÇÃO '!J$204,'LIQUIDAÇÃO 2025'!$F:$F,'MEDIÇÃO '!$A$207)</f>
        <v>0</v>
      </c>
      <c r="K208" s="132">
        <f>SUMIFS('LIQUIDAÇÃO 2025'!$K:$K,'LIQUIDAÇÃO 2025'!$B:$B,'MEDIÇÃO '!$A$202,'LIQUIDAÇÃO 2025'!$C:$C,'MEDIÇÃO '!$B$202,'LIQUIDAÇÃO 2025'!$H:$H,'MEDIÇÃO '!K$204,'LIQUIDAÇÃO 2025'!$F:$F,'MEDIÇÃO '!$A$207)</f>
        <v>0</v>
      </c>
      <c r="L208" s="132">
        <f>SUMIFS('LIQUIDAÇÃO 2025'!$K:$K,'LIQUIDAÇÃO 2025'!$B:$B,'MEDIÇÃO '!$A$202,'LIQUIDAÇÃO 2025'!$C:$C,'MEDIÇÃO '!$B$202,'LIQUIDAÇÃO 2025'!$H:$H,'MEDIÇÃO '!L$204,'LIQUIDAÇÃO 2025'!$F:$F,'MEDIÇÃO '!$A$207)</f>
        <v>0</v>
      </c>
      <c r="M208" s="132">
        <f>SUMIFS('LIQUIDAÇÃO 2025'!$K:$K,'LIQUIDAÇÃO 2025'!$B:$B,'MEDIÇÃO '!$A$202,'LIQUIDAÇÃO 2025'!$C:$C,'MEDIÇÃO '!$B$202,'LIQUIDAÇÃO 2025'!$H:$H,'MEDIÇÃO '!M$204,'LIQUIDAÇÃO 2025'!$F:$F,'MEDIÇÃO '!$A$207)</f>
        <v>0</v>
      </c>
      <c r="N208" s="1067"/>
      <c r="P208" s="10"/>
    </row>
    <row r="209" spans="1:16" ht="15.75" customHeight="1">
      <c r="A209" s="131" cm="1">
        <f t="array" ref="A209">IFERROR(INDEX(Tabela3[[CÓDIGO
 EMPRESA ]:[EMPENHO]],SMALL(IF(Tabela3[CÓDIGO
 EMPRESA ]='MEDIÇÃO '!$A$202,ROW(Tabela3[CÓDIGO
 EMPRESA ])-3),ROW(P4)),3),"")</f>
        <v>9360</v>
      </c>
      <c r="B209" s="132">
        <f>SUMIFS('LIQUIDAÇÃO 2025'!$K:$K,'LIQUIDAÇÃO 2025'!$B:$B,'MEDIÇÃO '!$A$202,'LIQUIDAÇÃO 2025'!$C:$C,'MEDIÇÃO '!$B$202,'LIQUIDAÇÃO 2025'!$H:$H,'MEDIÇÃO '!B$204,'LIQUIDAÇÃO 2025'!$F:$F,'MEDIÇÃO '!$A$206)</f>
        <v>0</v>
      </c>
      <c r="C209" s="132">
        <f>SUMIFS('LIQUIDAÇÃO 2025'!$K:$K,'LIQUIDAÇÃO 2025'!$B:$B,'MEDIÇÃO '!$A$202,'LIQUIDAÇÃO 2025'!$C:$C,'MEDIÇÃO '!$B$202,'LIQUIDAÇÃO 2025'!$H:$H,'MEDIÇÃO '!C$204,'LIQUIDAÇÃO 2025'!$F:$F,'MEDIÇÃO '!$A$206)</f>
        <v>0</v>
      </c>
      <c r="D209" s="132">
        <f>SUMIFS('LIQUIDAÇÃO 2025'!$K:$K,'LIQUIDAÇÃO 2025'!$B:$B,'MEDIÇÃO '!$A$202,'LIQUIDAÇÃO 2025'!$C:$C,'MEDIÇÃO '!$B$202,'LIQUIDAÇÃO 2025'!$H:$H,'MEDIÇÃO '!D$204,'LIQUIDAÇÃO 2025'!$F:$F,'MEDIÇÃO '!$A$209)</f>
        <v>0</v>
      </c>
      <c r="E209" s="132">
        <f>SUMIFS('LIQUIDAÇÃO 2025'!$K:$K,'LIQUIDAÇÃO 2025'!$B:$B,'MEDIÇÃO '!$A$202,'LIQUIDAÇÃO 2025'!$C:$C,'MEDIÇÃO '!$B$202,'LIQUIDAÇÃO 2025'!$H:$H,'MEDIÇÃO '!E$204,'LIQUIDAÇÃO 2025'!$F:$F,'MEDIÇÃO '!$A$207)</f>
        <v>0</v>
      </c>
      <c r="F209" s="132">
        <f>SUMIFS('LIQUIDAÇÃO 2025'!$K:$K,'LIQUIDAÇÃO 2025'!$B:$B,'MEDIÇÃO '!$A$202,'LIQUIDAÇÃO 2025'!$C:$C,'MEDIÇÃO '!$B$202,'LIQUIDAÇÃO 2025'!$H:$H,'MEDIÇÃO '!F$204,'LIQUIDAÇÃO 2025'!$F:$F,'MEDIÇÃO '!$A$207)</f>
        <v>0</v>
      </c>
      <c r="G209" s="132">
        <f>SUMIFS('LIQUIDAÇÃO 2025'!$K:$K,'LIQUIDAÇÃO 2025'!$B:$B,'MEDIÇÃO '!$A$202,'LIQUIDAÇÃO 2025'!$C:$C,'MEDIÇÃO '!$B$202,'LIQUIDAÇÃO 2025'!$H:$H,'MEDIÇÃO '!G$204,'LIQUIDAÇÃO 2025'!$F:$F,'MEDIÇÃO '!$A$207)</f>
        <v>0</v>
      </c>
      <c r="H209" s="132">
        <f>SUMIFS('LIQUIDAÇÃO 2025'!$K:$K,'LIQUIDAÇÃO 2025'!$B:$B,'MEDIÇÃO '!$A$202,'LIQUIDAÇÃO 2025'!$C:$C,'MEDIÇÃO '!$B$202,'LIQUIDAÇÃO 2025'!$H:$H,'MEDIÇÃO '!H$204,'LIQUIDAÇÃO 2025'!$F:$F,'MEDIÇÃO '!$A$207)</f>
        <v>0</v>
      </c>
      <c r="I209" s="132">
        <f>SUMIFS('LIQUIDAÇÃO 2025'!$K:$K,'LIQUIDAÇÃO 2025'!$B:$B,'MEDIÇÃO '!$A$202,'LIQUIDAÇÃO 2025'!$C:$C,'MEDIÇÃO '!$B$202,'LIQUIDAÇÃO 2025'!$H:$H,'MEDIÇÃO '!I$204,'LIQUIDAÇÃO 2025'!$F:$F,'MEDIÇÃO '!$A$207)</f>
        <v>0</v>
      </c>
      <c r="J209" s="132">
        <f>SUMIFS('LIQUIDAÇÃO 2025'!$K:$K,'LIQUIDAÇÃO 2025'!$B:$B,'MEDIÇÃO '!$A$202,'LIQUIDAÇÃO 2025'!$C:$C,'MEDIÇÃO '!$B$202,'LIQUIDAÇÃO 2025'!$H:$H,'MEDIÇÃO '!J$204,'LIQUIDAÇÃO 2025'!$F:$F,'MEDIÇÃO '!$A$207)</f>
        <v>0</v>
      </c>
      <c r="K209" s="132">
        <f>SUMIFS('LIQUIDAÇÃO 2025'!$K:$K,'LIQUIDAÇÃO 2025'!$B:$B,'MEDIÇÃO '!$A$202,'LIQUIDAÇÃO 2025'!$C:$C,'MEDIÇÃO '!$B$202,'LIQUIDAÇÃO 2025'!$H:$H,'MEDIÇÃO '!K$204,'LIQUIDAÇÃO 2025'!$F:$F,'MEDIÇÃO '!$A$207)</f>
        <v>0</v>
      </c>
      <c r="L209" s="132">
        <f>SUMIFS('LIQUIDAÇÃO 2025'!$K:$K,'LIQUIDAÇÃO 2025'!$B:$B,'MEDIÇÃO '!$A$202,'LIQUIDAÇÃO 2025'!$C:$C,'MEDIÇÃO '!$B$202,'LIQUIDAÇÃO 2025'!$H:$H,'MEDIÇÃO '!L$204,'LIQUIDAÇÃO 2025'!$F:$F,'MEDIÇÃO '!$A$207)</f>
        <v>0</v>
      </c>
      <c r="M209" s="132">
        <f>SUMIFS('LIQUIDAÇÃO 2025'!$K:$K,'LIQUIDAÇÃO 2025'!$B:$B,'MEDIÇÃO '!$A$202,'LIQUIDAÇÃO 2025'!$C:$C,'MEDIÇÃO '!$B$202,'LIQUIDAÇÃO 2025'!$H:$H,'MEDIÇÃO '!M$204,'LIQUIDAÇÃO 2025'!$F:$F,'MEDIÇÃO '!$A$207)</f>
        <v>0</v>
      </c>
      <c r="N209" s="1067"/>
      <c r="P209" s="10"/>
    </row>
    <row r="210" spans="1:16">
      <c r="A210" s="131" cm="1">
        <f t="array" ref="A210">IFERROR(INDEX(Tabela3[[CÓDIGO
 EMPRESA ]:[EMPENHO]],SMALL(IF(Tabela3[CÓDIGO
 EMPRESA ]='MEDIÇÃO '!$A$202,ROW(Tabela3[CÓDIGO
 EMPRESA ])-3),ROW(P5)),3),"")</f>
        <v>13826</v>
      </c>
      <c r="B210" s="132">
        <f>SUMIFS('LIQUIDAÇÃO 2025'!$K:$K,'LIQUIDAÇÃO 2025'!$B:$B,'MEDIÇÃO '!$A$202,'LIQUIDAÇÃO 2025'!$C:$C,'MEDIÇÃO '!$B$202,'LIQUIDAÇÃO 2025'!$H:$H,'MEDIÇÃO '!B$204,'LIQUIDAÇÃO 2025'!$F:$F,'MEDIÇÃO '!$A$206)</f>
        <v>0</v>
      </c>
      <c r="C210" s="132">
        <f>SUMIFS('LIQUIDAÇÃO 2025'!$K:$K,'LIQUIDAÇÃO 2025'!$B:$B,'MEDIÇÃO '!$A$202,'LIQUIDAÇÃO 2025'!$C:$C,'MEDIÇÃO '!$B$202,'LIQUIDAÇÃO 2025'!$H:$H,'MEDIÇÃO '!C$204,'LIQUIDAÇÃO 2025'!$F:$F,'MEDIÇÃO '!$A$206)</f>
        <v>0</v>
      </c>
      <c r="D210" s="132">
        <f>SUMIFS('LIQUIDAÇÃO 2025'!$K:$K,'LIQUIDAÇÃO 2025'!$B:$B,'MEDIÇÃO '!$A$202,'LIQUIDAÇÃO 2025'!$C:$C,'MEDIÇÃO '!$B$202,'LIQUIDAÇÃO 2025'!$H:$H,'MEDIÇÃO '!D$204,'LIQUIDAÇÃO 2025'!$F:$F,'MEDIÇÃO '!$A$210)</f>
        <v>0</v>
      </c>
      <c r="E210" s="132">
        <f>SUMIFS('LIQUIDAÇÃO 2025'!$K:$K,'LIQUIDAÇÃO 2025'!$B:$B,'MEDIÇÃO '!$A$202,'LIQUIDAÇÃO 2025'!$C:$C,'MEDIÇÃO '!$B$202,'LIQUIDAÇÃO 2025'!$H:$H,'MEDIÇÃO '!E$204,'LIQUIDAÇÃO 2025'!$F:$F,'MEDIÇÃO '!$A$207)</f>
        <v>0</v>
      </c>
      <c r="F210" s="132">
        <f>SUMIFS('LIQUIDAÇÃO 2025'!$K:$K,'LIQUIDAÇÃO 2025'!$B:$B,'MEDIÇÃO '!$A$202,'LIQUIDAÇÃO 2025'!$C:$C,'MEDIÇÃO '!$B$202,'LIQUIDAÇÃO 2025'!$H:$H,'MEDIÇÃO '!F$204,'LIQUIDAÇÃO 2025'!$F:$F,'MEDIÇÃO '!$A$207)</f>
        <v>0</v>
      </c>
      <c r="G210" s="132">
        <f>SUMIFS('LIQUIDAÇÃO 2025'!$K:$K,'LIQUIDAÇÃO 2025'!$B:$B,'MEDIÇÃO '!$A$202,'LIQUIDAÇÃO 2025'!$C:$C,'MEDIÇÃO '!$B$202,'LIQUIDAÇÃO 2025'!$H:$H,'MEDIÇÃO '!G$204,'LIQUIDAÇÃO 2025'!$F:$F,'MEDIÇÃO '!$A$207)</f>
        <v>0</v>
      </c>
      <c r="H210" s="132">
        <f>SUMIFS('LIQUIDAÇÃO 2025'!$K:$K,'LIQUIDAÇÃO 2025'!$B:$B,'MEDIÇÃO '!$A$202,'LIQUIDAÇÃO 2025'!$C:$C,'MEDIÇÃO '!$B$202,'LIQUIDAÇÃO 2025'!$H:$H,'MEDIÇÃO '!H$204,'LIQUIDAÇÃO 2025'!$F:$F,'MEDIÇÃO '!$A$207)</f>
        <v>0</v>
      </c>
      <c r="I210" s="132">
        <f>SUMIFS('LIQUIDAÇÃO 2025'!$K:$K,'LIQUIDAÇÃO 2025'!$B:$B,'MEDIÇÃO '!$A$202,'LIQUIDAÇÃO 2025'!$C:$C,'MEDIÇÃO '!$B$202,'LIQUIDAÇÃO 2025'!$H:$H,'MEDIÇÃO '!I$204,'LIQUIDAÇÃO 2025'!$F:$F,'MEDIÇÃO '!$A$207)</f>
        <v>0</v>
      </c>
      <c r="J210" s="132">
        <f>SUMIFS('LIQUIDAÇÃO 2025'!$K:$K,'LIQUIDAÇÃO 2025'!$B:$B,'MEDIÇÃO '!$A$202,'LIQUIDAÇÃO 2025'!$C:$C,'MEDIÇÃO '!$B$202,'LIQUIDAÇÃO 2025'!$H:$H,'MEDIÇÃO '!J$204,'LIQUIDAÇÃO 2025'!$F:$F,'MEDIÇÃO '!$A$207)</f>
        <v>0</v>
      </c>
      <c r="K210" s="132">
        <f>SUMIFS('LIQUIDAÇÃO 2025'!$K:$K,'LIQUIDAÇÃO 2025'!$B:$B,'MEDIÇÃO '!$A$202,'LIQUIDAÇÃO 2025'!$C:$C,'MEDIÇÃO '!$B$202,'LIQUIDAÇÃO 2025'!$H:$H,'MEDIÇÃO '!K$204,'LIQUIDAÇÃO 2025'!$F:$F,'MEDIÇÃO '!$A$207)</f>
        <v>0</v>
      </c>
      <c r="L210" s="132">
        <f>SUMIFS('LIQUIDAÇÃO 2025'!$K:$K,'LIQUIDAÇÃO 2025'!$B:$B,'MEDIÇÃO '!$A$202,'LIQUIDAÇÃO 2025'!$C:$C,'MEDIÇÃO '!$B$202,'LIQUIDAÇÃO 2025'!$H:$H,'MEDIÇÃO '!L$204,'LIQUIDAÇÃO 2025'!$F:$F,'MEDIÇÃO '!$A$207)</f>
        <v>0</v>
      </c>
      <c r="M210" s="132">
        <f>SUMIFS('LIQUIDAÇÃO 2025'!$K:$K,'LIQUIDAÇÃO 2025'!$B:$B,'MEDIÇÃO '!$A$202,'LIQUIDAÇÃO 2025'!$C:$C,'MEDIÇÃO '!$B$202,'LIQUIDAÇÃO 2025'!$H:$H,'MEDIÇÃO '!M$204,'LIQUIDAÇÃO 2025'!$F:$F,'MEDIÇÃO '!$A$207)</f>
        <v>0</v>
      </c>
      <c r="N210" s="1067"/>
      <c r="P210" s="10"/>
    </row>
    <row r="211" spans="1:16">
      <c r="A211" s="831"/>
      <c r="B211" s="832"/>
      <c r="C211" s="832"/>
      <c r="D211" s="832"/>
      <c r="E211" s="832"/>
      <c r="F211" s="832"/>
      <c r="G211" s="832"/>
      <c r="H211" s="832"/>
      <c r="I211" s="832"/>
      <c r="J211" s="832"/>
      <c r="K211" s="832"/>
      <c r="L211" s="832"/>
      <c r="M211" s="832"/>
      <c r="N211" s="1067"/>
      <c r="P211" s="10"/>
    </row>
    <row r="212" spans="1:16" ht="15.75" thickBot="1">
      <c r="A212" s="831"/>
      <c r="B212" s="832"/>
      <c r="C212" s="832"/>
      <c r="D212" s="832"/>
      <c r="E212" s="832"/>
      <c r="F212" s="832"/>
      <c r="G212" s="832"/>
      <c r="H212" s="832"/>
      <c r="I212" s="832"/>
      <c r="J212" s="832"/>
      <c r="K212" s="832"/>
      <c r="L212" s="832"/>
      <c r="M212" s="832"/>
      <c r="N212" s="1067"/>
      <c r="P212" s="10"/>
    </row>
    <row r="213" spans="1:16" ht="16.5" thickBot="1">
      <c r="A213" s="214" t="s">
        <v>38</v>
      </c>
      <c r="B213" s="215"/>
      <c r="C213" s="215"/>
      <c r="D213" s="215"/>
      <c r="E213" s="215"/>
      <c r="F213" s="215"/>
      <c r="G213" s="215"/>
      <c r="H213" s="215"/>
      <c r="I213" s="215"/>
      <c r="J213" s="215"/>
      <c r="K213" s="215"/>
      <c r="L213" s="215"/>
      <c r="M213" s="215"/>
      <c r="N213" s="1068"/>
    </row>
    <row r="214" spans="1:16" ht="15.75">
      <c r="A214" s="212" t="s">
        <v>127</v>
      </c>
      <c r="B214" s="216">
        <f>IF(SUM(B206:B210)&lt;&gt;0,B205-B213-SUM(B206:B210),(B205-SUM(B206:B210)-B213))</f>
        <v>5976</v>
      </c>
      <c r="C214" s="216">
        <f t="shared" ref="C214" si="147">IF(SUM(C206:C210)&lt;&gt;0,C205-C213-SUM(C206:C210),(C205-SUM(C206:C210)-C213))</f>
        <v>5976</v>
      </c>
      <c r="D214" s="216">
        <f t="shared" ref="D214" si="148">IF(SUM(D206:D210)&lt;&gt;0,D205-D213-SUM(D206:D210),(D205-SUM(D206:D210)-D213))</f>
        <v>-2490</v>
      </c>
      <c r="E214" s="216">
        <f t="shared" ref="E214" si="149">IF(SUM(E206:E210)&lt;&gt;0,E205-E213-SUM(E206:E210),(E205-SUM(E206:E210)-E213))</f>
        <v>13695</v>
      </c>
      <c r="F214" s="216">
        <f t="shared" ref="F214" si="150">IF(SUM(F206:F210)&lt;&gt;0,F205-F213-SUM(F206:F210),(F205-SUM(F206:F210)-F213))</f>
        <v>5976</v>
      </c>
      <c r="G214" s="216">
        <f>IF(SUM(G206:G210)&lt;&gt;0,G205-G213-SUM(G206:G210),(G205-SUM(G206:G210)-G213))</f>
        <v>5976</v>
      </c>
      <c r="H214" s="216">
        <f t="shared" ref="H214" si="151">IF(SUM(H206:H210)&lt;&gt;0,H205-H213-SUM(H206:H210),(H205-SUM(H206:H210)-H213))</f>
        <v>2988</v>
      </c>
      <c r="I214" s="216">
        <f t="shared" ref="I214" si="152">IF(SUM(I206:I210)&lt;&gt;0,I205-I213-SUM(I206:I210),(I205-SUM(I206:I210)-I213))</f>
        <v>0</v>
      </c>
      <c r="J214" s="216">
        <f t="shared" ref="J214" si="153">IF(SUM(J206:J210)&lt;&gt;0,J205-J213-SUM(J206:J210),(J205-SUM(J206:J210)-J213))</f>
        <v>0</v>
      </c>
      <c r="K214" s="216">
        <f t="shared" ref="K214" si="154">IF(SUM(K206:K210)&lt;&gt;0,K205-K213-SUM(K206:K210),(K205-SUM(K206:K210)-K213))</f>
        <v>0</v>
      </c>
      <c r="L214" s="216">
        <f t="shared" ref="L214" si="155">IF(SUM(L206:L210)&lt;&gt;0,L205-L213-SUM(L206:L210),(L205-SUM(L206:L210)-L213))</f>
        <v>0</v>
      </c>
      <c r="M214" s="216">
        <f t="shared" ref="M214" si="156">IF(SUM(M206:M210)&lt;&gt;0,M205-M213-SUM(M206:M210),(M205-SUM(M206:M210)-M213))</f>
        <v>0</v>
      </c>
      <c r="N214" s="213">
        <f>SUM(B205:M205)-SUM(B206:M210)-SUM(B213:M213)</f>
        <v>38097</v>
      </c>
    </row>
    <row r="216" spans="1:16" ht="18.75">
      <c r="A216" s="123">
        <v>117936</v>
      </c>
      <c r="B216" s="118" t="s">
        <v>154</v>
      </c>
      <c r="C216" s="115"/>
      <c r="D216" s="115"/>
      <c r="E216" s="115"/>
      <c r="F216" s="91" t="s">
        <v>116</v>
      </c>
      <c r="G216" s="92" t="s">
        <v>117</v>
      </c>
      <c r="H216" s="1062" t="s">
        <v>113</v>
      </c>
      <c r="I216" s="1062"/>
      <c r="J216" s="1062" t="s">
        <v>114</v>
      </c>
      <c r="K216" s="1062"/>
      <c r="L216" s="1062" t="s">
        <v>118</v>
      </c>
      <c r="M216" s="1062"/>
      <c r="N216" s="92" t="s">
        <v>115</v>
      </c>
    </row>
    <row r="217" spans="1:16" ht="18.75">
      <c r="A217" s="121"/>
      <c r="B217" s="121"/>
      <c r="C217" s="121"/>
      <c r="D217" s="121"/>
      <c r="E217" s="121"/>
      <c r="F217" s="97" t="str">
        <f>VALIDAÇÕES!C22</f>
        <v>39077/2023</v>
      </c>
      <c r="G217" s="97" t="str">
        <f>VALIDAÇÕES!D22</f>
        <v>18801/2024</v>
      </c>
      <c r="H217" s="1061">
        <f>VALIDAÇÕES!G22</f>
        <v>472500</v>
      </c>
      <c r="I217" s="1061"/>
      <c r="J217" s="1061">
        <f>VALIDAÇÕES!H22</f>
        <v>231500</v>
      </c>
      <c r="K217" s="1061"/>
      <c r="L217" s="1063">
        <f>VALIDAÇÕES!E22</f>
        <v>45426</v>
      </c>
      <c r="M217" s="1063"/>
      <c r="N217" s="202">
        <f>VALIDAÇÕES!F22</f>
        <v>45426</v>
      </c>
    </row>
    <row r="218" spans="1:16" ht="15.75">
      <c r="A218" s="1060" t="s">
        <v>7</v>
      </c>
      <c r="B218" s="89" t="s">
        <v>44</v>
      </c>
      <c r="C218" s="89" t="s">
        <v>43</v>
      </c>
      <c r="D218" s="89" t="s">
        <v>45</v>
      </c>
      <c r="E218" s="89" t="s">
        <v>46</v>
      </c>
      <c r="F218" s="89" t="s">
        <v>47</v>
      </c>
      <c r="G218" s="89" t="s">
        <v>48</v>
      </c>
      <c r="H218" s="89" t="s">
        <v>49</v>
      </c>
      <c r="I218" s="89" t="s">
        <v>50</v>
      </c>
      <c r="J218" s="89" t="s">
        <v>51</v>
      </c>
      <c r="K218" s="89" t="s">
        <v>52</v>
      </c>
      <c r="L218" s="89" t="s">
        <v>53</v>
      </c>
      <c r="M218" s="89" t="s">
        <v>54</v>
      </c>
      <c r="N218" s="1066" t="s">
        <v>112</v>
      </c>
    </row>
    <row r="219" spans="1:16">
      <c r="A219" s="1060"/>
      <c r="B219" s="98">
        <v>115000</v>
      </c>
      <c r="C219" s="98">
        <v>76000</v>
      </c>
      <c r="D219" s="98">
        <v>18500</v>
      </c>
      <c r="E219" s="98">
        <v>31500</v>
      </c>
      <c r="F219" s="98">
        <v>18500</v>
      </c>
      <c r="G219" s="98"/>
      <c r="H219" s="98"/>
      <c r="I219" s="100"/>
      <c r="J219" s="100"/>
      <c r="K219" s="100"/>
      <c r="L219" s="100"/>
      <c r="M219" s="100"/>
      <c r="N219" s="1067"/>
    </row>
    <row r="220" spans="1:16">
      <c r="A220" s="131" cm="1">
        <f t="array" ref="A220">IFERROR(INDEX(Tabela3[[CÓDIGO
 EMPRESA ]:[EMPENHO]],SMALL(IF(Tabela3[CÓDIGO
 EMPRESA ]='MEDIÇÃO '!$A$216,ROW(Tabela3[CÓDIGO
 EMPRESA ])-3),ROW(P1)),3),"")</f>
        <v>2929</v>
      </c>
      <c r="B220" s="132">
        <f>SUMIFS('LIQUIDAÇÃO 2025'!$K:$K,'LIQUIDAÇÃO 2025'!$B:$B,'MEDIÇÃO '!$A$216,'LIQUIDAÇÃO 2025'!$C:$C,'MEDIÇÃO '!$B$216,'LIQUIDAÇÃO 2025'!$H:$H,'MEDIÇÃO '!B$218,'LIQUIDAÇÃO 2025'!$F:$F,'MEDIÇÃO '!$A$220)</f>
        <v>0</v>
      </c>
      <c r="C220" s="132">
        <f>SUMIFS('LIQUIDAÇÃO 2025'!$K:$K,'LIQUIDAÇÃO 2025'!$B:$B,'MEDIÇÃO '!$A$216,'LIQUIDAÇÃO 2025'!$C:$C,'MEDIÇÃO '!$B$216,'LIQUIDAÇÃO 2025'!$H:$H,'MEDIÇÃO '!C$218,'LIQUIDAÇÃO 2025'!$F:$F,'MEDIÇÃO '!$A$220)</f>
        <v>0</v>
      </c>
      <c r="D220" s="132">
        <f>SUMIFS('LIQUIDAÇÃO 2025'!$K:$K,'LIQUIDAÇÃO 2025'!$B:$B,'MEDIÇÃO '!$A$216,'LIQUIDAÇÃO 2025'!$C:$C,'MEDIÇÃO '!$B$216,'LIQUIDAÇÃO 2025'!$H:$H,'MEDIÇÃO '!D$218,'LIQUIDAÇÃO 2025'!$F:$F,'MEDIÇÃO '!$A$220)</f>
        <v>89000</v>
      </c>
      <c r="E220" s="132">
        <f>SUMIFS('LIQUIDAÇÃO 2025'!$K:$K,'LIQUIDAÇÃO 2025'!$B:$B,'MEDIÇÃO '!$A$216,'LIQUIDAÇÃO 2025'!$C:$C,'MEDIÇÃO '!$B$216,'LIQUIDAÇÃO 2025'!$H:$H,'MEDIÇÃO '!E$218,'LIQUIDAÇÃO 2025'!$F:$F,'MEDIÇÃO '!$A$220)</f>
        <v>18500</v>
      </c>
      <c r="F220" s="132">
        <f>SUMIFS('LIQUIDAÇÃO 2025'!$K:$K,'LIQUIDAÇÃO 2025'!$B:$B,'MEDIÇÃO '!$A$216,'LIQUIDAÇÃO 2025'!$C:$C,'MEDIÇÃO '!$B$216,'LIQUIDAÇÃO 2025'!$H:$H,'MEDIÇÃO '!F$218,'LIQUIDAÇÃO 2025'!$F:$F,'MEDIÇÃO '!$A$220)</f>
        <v>18500</v>
      </c>
      <c r="G220" s="132">
        <f>SUMIFS('LIQUIDAÇÃO 2025'!$K:$K,'LIQUIDAÇÃO 2025'!$B:$B,'MEDIÇÃO '!$A$216,'LIQUIDAÇÃO 2025'!$C:$C,'MEDIÇÃO '!$B$216,'LIQUIDAÇÃO 2025'!$H:$H,'MEDIÇÃO '!G$218,'LIQUIDAÇÃO 2025'!$F:$F,'MEDIÇÃO '!$A$220)</f>
        <v>115000</v>
      </c>
      <c r="H220" s="132">
        <f>SUMIFS('LIQUIDAÇÃO 2025'!$K:$K,'LIQUIDAÇÃO 2025'!$B:$B,'MEDIÇÃO '!$A$216,'LIQUIDAÇÃO 2025'!$C:$C,'MEDIÇÃO '!$B$216,'LIQUIDAÇÃO 2025'!$H:$H,'MEDIÇÃO '!H$218,'LIQUIDAÇÃO 2025'!$F:$F,'MEDIÇÃO '!$A$220)</f>
        <v>0</v>
      </c>
      <c r="I220" s="132">
        <f>SUMIFS('LIQUIDAÇÃO 2025'!$K:$K,'LIQUIDAÇÃO 2025'!$B:$B,'MEDIÇÃO '!$A$216,'LIQUIDAÇÃO 2025'!$C:$C,'MEDIÇÃO '!$B$216,'LIQUIDAÇÃO 2025'!$H:$H,'MEDIÇÃO '!I$218,'LIQUIDAÇÃO 2025'!$F:$F,'MEDIÇÃO '!$A$220)</f>
        <v>0</v>
      </c>
      <c r="J220" s="132">
        <f>SUMIFS('LIQUIDAÇÃO 2025'!$K:$K,'LIQUIDAÇÃO 2025'!$B:$B,'MEDIÇÃO '!$A$216,'LIQUIDAÇÃO 2025'!$C:$C,'MEDIÇÃO '!$B$216,'LIQUIDAÇÃO 2025'!$H:$H,'MEDIÇÃO '!J$218,'LIQUIDAÇÃO 2025'!$F:$F,'MEDIÇÃO '!$A$220)</f>
        <v>0</v>
      </c>
      <c r="K220" s="132">
        <f>SUMIFS('LIQUIDAÇÃO 2025'!$K:$K,'LIQUIDAÇÃO 2025'!$B:$B,'MEDIÇÃO '!$A$216,'LIQUIDAÇÃO 2025'!$C:$C,'MEDIÇÃO '!$B$216,'LIQUIDAÇÃO 2025'!$H:$H,'MEDIÇÃO '!K$218,'LIQUIDAÇÃO 2025'!$F:$F,'MEDIÇÃO '!$A$220)</f>
        <v>0</v>
      </c>
      <c r="L220" s="132">
        <f>SUMIFS('LIQUIDAÇÃO 2025'!$K:$K,'LIQUIDAÇÃO 2025'!$B:$B,'MEDIÇÃO '!$A$216,'LIQUIDAÇÃO 2025'!$C:$C,'MEDIÇÃO '!$B$216,'LIQUIDAÇÃO 2025'!$H:$H,'MEDIÇÃO '!L$218,'LIQUIDAÇÃO 2025'!$F:$F,'MEDIÇÃO '!$A$220)</f>
        <v>0</v>
      </c>
      <c r="M220" s="132">
        <f>SUMIFS('LIQUIDAÇÃO 2025'!$K:$K,'LIQUIDAÇÃO 2025'!$B:$B,'MEDIÇÃO '!$A$216,'LIQUIDAÇÃO 2025'!$C:$C,'MEDIÇÃO '!$B$216,'LIQUIDAÇÃO 2025'!$H:$H,'MEDIÇÃO '!M$218,'LIQUIDAÇÃO 2025'!$F:$F,'MEDIÇÃO '!$A$220)</f>
        <v>0</v>
      </c>
      <c r="N220" s="1067"/>
      <c r="P220" s="10"/>
    </row>
    <row r="221" spans="1:16">
      <c r="A221" s="131" cm="1">
        <f t="array" ref="A221">IFERROR(INDEX(Tabela3[[CÓDIGO
 EMPRESA ]:[EMPENHO]],SMALL(IF(Tabela3[CÓDIGO
 EMPRESA ]='MEDIÇÃO '!$A$216,ROW(Tabela3[CÓDIGO
 EMPRESA ])-3),ROW(P2)),3),"")</f>
        <v>8371</v>
      </c>
      <c r="B221" s="132">
        <f>SUMIFS('LIQUIDAÇÃO 2025'!$K:$K,'LIQUIDAÇÃO 2025'!$B:$B,'MEDIÇÃO '!$A$216,'LIQUIDAÇÃO 2025'!$C:$C,'MEDIÇÃO '!$B$216,'LIQUIDAÇÃO 2025'!$H:$H,'MEDIÇÃO '!B$218,'LIQUIDAÇÃO 2025'!$F:$F,'MEDIÇÃO '!$A$220)</f>
        <v>0</v>
      </c>
      <c r="C221" s="132">
        <f>SUMIFS('LIQUIDAÇÃO 2025'!$K:$K,'LIQUIDAÇÃO 2025'!$B:$B,'MEDIÇÃO '!$A$216,'LIQUIDAÇÃO 2025'!$C:$C,'MEDIÇÃO '!$B$216,'LIQUIDAÇÃO 2025'!$H:$H,'MEDIÇÃO '!C$218,'LIQUIDAÇÃO 2025'!$F:$F,'MEDIÇÃO '!$A$220)</f>
        <v>0</v>
      </c>
      <c r="D221" s="132">
        <f>SUMIFS('LIQUIDAÇÃO 2025'!$K:$K,'LIQUIDAÇÃO 2025'!$B:$B,'MEDIÇÃO '!$A$216,'LIQUIDAÇÃO 2025'!$C:$C,'MEDIÇÃO '!$B$216,'LIQUIDAÇÃO 2025'!$H:$H,'MEDIÇÃO '!D$218,'LIQUIDAÇÃO 2025'!$F:$F,'MEDIÇÃO '!$A$221)</f>
        <v>0</v>
      </c>
      <c r="E221" s="132">
        <f>SUMIFS('LIQUIDAÇÃO 2025'!$K:$K,'LIQUIDAÇÃO 2025'!$B:$B,'MEDIÇÃO '!$A$216,'LIQUIDAÇÃO 2025'!$C:$C,'MEDIÇÃO '!$B$216,'LIQUIDAÇÃO 2025'!$H:$H,'MEDIÇÃO '!E$218,'LIQUIDAÇÃO 2025'!$F:$F,'MEDIÇÃO '!$A$221)</f>
        <v>0</v>
      </c>
      <c r="F221" s="132">
        <f>SUMIFS('LIQUIDAÇÃO 2025'!$K:$K,'LIQUIDAÇÃO 2025'!$B:$B,'MEDIÇÃO '!$A$216,'LIQUIDAÇÃO 2025'!$C:$C,'MEDIÇÃO '!$B$216,'LIQUIDAÇÃO 2025'!$H:$H,'MEDIÇÃO '!F$218,'LIQUIDAÇÃO 2025'!$F:$F,'MEDIÇÃO '!$A$221)</f>
        <v>0</v>
      </c>
      <c r="G221" s="132">
        <f>SUMIFS('LIQUIDAÇÃO 2025'!$K:$K,'LIQUIDAÇÃO 2025'!$B:$B,'MEDIÇÃO '!$A$216,'LIQUIDAÇÃO 2025'!$C:$C,'MEDIÇÃO '!$B$216,'LIQUIDAÇÃO 2025'!$H:$H,'MEDIÇÃO '!G$218,'LIQUIDAÇÃO 2025'!$F:$F,'MEDIÇÃO '!$A$221)</f>
        <v>0</v>
      </c>
      <c r="H221" s="132">
        <f>SUMIFS('LIQUIDAÇÃO 2025'!$K:$K,'LIQUIDAÇÃO 2025'!$B:$B,'MEDIÇÃO '!$A$216,'LIQUIDAÇÃO 2025'!$C:$C,'MEDIÇÃO '!$B$216,'LIQUIDAÇÃO 2025'!$H:$H,'MEDIÇÃO '!H$218,'LIQUIDAÇÃO 2025'!$F:$F,'MEDIÇÃO '!$A$221)</f>
        <v>0</v>
      </c>
      <c r="I221" s="132">
        <f>SUMIFS('LIQUIDAÇÃO 2025'!$K:$K,'LIQUIDAÇÃO 2025'!$B:$B,'MEDIÇÃO '!$A$216,'LIQUIDAÇÃO 2025'!$C:$C,'MEDIÇÃO '!$B$216,'LIQUIDAÇÃO 2025'!$H:$H,'MEDIÇÃO '!I$218,'LIQUIDAÇÃO 2025'!$F:$F,'MEDIÇÃO '!$A$221)</f>
        <v>18500</v>
      </c>
      <c r="J221" s="132">
        <f>SUMIFS('LIQUIDAÇÃO 2025'!$K:$K,'LIQUIDAÇÃO 2025'!$B:$B,'MEDIÇÃO '!$A$216,'LIQUIDAÇÃO 2025'!$C:$C,'MEDIÇÃO '!$B$216,'LIQUIDAÇÃO 2025'!$H:$H,'MEDIÇÃO '!J$218,'LIQUIDAÇÃO 2025'!$F:$F,'MEDIÇÃO '!$A$221)</f>
        <v>0</v>
      </c>
      <c r="K221" s="132">
        <f>SUMIFS('LIQUIDAÇÃO 2025'!$K:$K,'LIQUIDAÇÃO 2025'!$B:$B,'MEDIÇÃO '!$A$216,'LIQUIDAÇÃO 2025'!$C:$C,'MEDIÇÃO '!$B$216,'LIQUIDAÇÃO 2025'!$H:$H,'MEDIÇÃO '!K$218,'LIQUIDAÇÃO 2025'!$F:$F,'MEDIÇÃO '!$A$221)</f>
        <v>0</v>
      </c>
      <c r="L221" s="132">
        <f>SUMIFS('LIQUIDAÇÃO 2025'!$K:$K,'LIQUIDAÇÃO 2025'!$B:$B,'MEDIÇÃO '!$A$216,'LIQUIDAÇÃO 2025'!$C:$C,'MEDIÇÃO '!$B$216,'LIQUIDAÇÃO 2025'!$H:$H,'MEDIÇÃO '!L$218,'LIQUIDAÇÃO 2025'!$F:$F,'MEDIÇÃO '!$A$221)</f>
        <v>0</v>
      </c>
      <c r="M221" s="132">
        <f>SUMIFS('LIQUIDAÇÃO 2025'!$K:$K,'LIQUIDAÇÃO 2025'!$B:$B,'MEDIÇÃO '!$A$216,'LIQUIDAÇÃO 2025'!$C:$C,'MEDIÇÃO '!$B$216,'LIQUIDAÇÃO 2025'!$H:$H,'MEDIÇÃO '!M$218,'LIQUIDAÇÃO 2025'!$F:$F,'MEDIÇÃO '!$A$221)</f>
        <v>0</v>
      </c>
      <c r="N221" s="1067"/>
      <c r="P221" s="10"/>
    </row>
    <row r="222" spans="1:16">
      <c r="A222" s="131" cm="1">
        <f t="array" ref="A222">IFERROR(INDEX(Tabela3[[CÓDIGO
 EMPRESA ]:[EMPENHO]],SMALL(IF(Tabela3[CÓDIGO
 EMPRESA ]='MEDIÇÃO '!$A$216,ROW(Tabela3[CÓDIGO
 EMPRESA ])-3),ROW(P3)),3),"")</f>
        <v>11420</v>
      </c>
      <c r="B222" s="132">
        <f>SUMIFS('LIQUIDAÇÃO 2025'!$K:$K,'LIQUIDAÇÃO 2025'!$B:$B,'MEDIÇÃO '!$A$216,'LIQUIDAÇÃO 2025'!$C:$C,'MEDIÇÃO '!$B$216,'LIQUIDAÇÃO 2025'!$H:$H,'MEDIÇÃO '!B$218,'LIQUIDAÇÃO 2025'!$F:$F,'MEDIÇÃO '!$A$220)</f>
        <v>0</v>
      </c>
      <c r="C222" s="132">
        <f>SUMIFS('LIQUIDAÇÃO 2025'!$K:$K,'LIQUIDAÇÃO 2025'!$B:$B,'MEDIÇÃO '!$A$216,'LIQUIDAÇÃO 2025'!$C:$C,'MEDIÇÃO '!$B$216,'LIQUIDAÇÃO 2025'!$H:$H,'MEDIÇÃO '!C$218,'LIQUIDAÇÃO 2025'!$F:$F,'MEDIÇÃO '!$A$220)</f>
        <v>0</v>
      </c>
      <c r="D222" s="132">
        <f>SUMIFS('LIQUIDAÇÃO 2025'!$K:$K,'LIQUIDAÇÃO 2025'!$B:$B,'MEDIÇÃO '!$A$216,'LIQUIDAÇÃO 2025'!$C:$C,'MEDIÇÃO '!$B$216,'LIQUIDAÇÃO 2025'!$H:$H,'MEDIÇÃO '!D$218,'LIQUIDAÇÃO 2025'!$F:$F,'MEDIÇÃO '!$A$222)</f>
        <v>0</v>
      </c>
      <c r="E222" s="132">
        <f>SUMIFS('LIQUIDAÇÃO 2025'!$K:$K,'LIQUIDAÇÃO 2025'!$B:$B,'MEDIÇÃO '!$A$216,'LIQUIDAÇÃO 2025'!$C:$C,'MEDIÇÃO '!$B$216,'LIQUIDAÇÃO 2025'!$H:$H,'MEDIÇÃO '!E$218,'LIQUIDAÇÃO 2025'!$F:$F,'MEDIÇÃO '!$A$222)</f>
        <v>0</v>
      </c>
      <c r="F222" s="132">
        <f>SUMIFS('LIQUIDAÇÃO 2025'!$K:$K,'LIQUIDAÇÃO 2025'!$B:$B,'MEDIÇÃO '!$A$216,'LIQUIDAÇÃO 2025'!$C:$C,'MEDIÇÃO '!$B$216,'LIQUIDAÇÃO 2025'!$H:$H,'MEDIÇÃO '!F$218,'LIQUIDAÇÃO 2025'!$F:$F,'MEDIÇÃO '!$A$222)</f>
        <v>18500</v>
      </c>
      <c r="G222" s="132">
        <f>SUMIFS('LIQUIDAÇÃO 2025'!$K:$K,'LIQUIDAÇÃO 2025'!$B:$B,'MEDIÇÃO '!$A$216,'LIQUIDAÇÃO 2025'!$C:$C,'MEDIÇÃO '!$B$216,'LIQUIDAÇÃO 2025'!$H:$H,'MEDIÇÃO '!G$218,'LIQUIDAÇÃO 2025'!$F:$F,'MEDIÇÃO '!$A$222)</f>
        <v>0</v>
      </c>
      <c r="H222" s="132">
        <f>SUMIFS('LIQUIDAÇÃO 2025'!$K:$K,'LIQUIDAÇÃO 2025'!$B:$B,'MEDIÇÃO '!$A$216,'LIQUIDAÇÃO 2025'!$C:$C,'MEDIÇÃO '!$B$216,'LIQUIDAÇÃO 2025'!$H:$H,'MEDIÇÃO '!H$218,'LIQUIDAÇÃO 2025'!$F:$F,'MEDIÇÃO '!$A$222)</f>
        <v>0</v>
      </c>
      <c r="I222" s="132">
        <f>SUMIFS('LIQUIDAÇÃO 2025'!$K:$K,'LIQUIDAÇÃO 2025'!$B:$B,'MEDIÇÃO '!$A$216,'LIQUIDAÇÃO 2025'!$C:$C,'MEDIÇÃO '!$B$216,'LIQUIDAÇÃO 2025'!$H:$H,'MEDIÇÃO '!I$218,'LIQUIDAÇÃO 2025'!$F:$F,'MEDIÇÃO '!$A$222)</f>
        <v>0</v>
      </c>
      <c r="J222" s="132">
        <f>SUMIFS('LIQUIDAÇÃO 2025'!$K:$K,'LIQUIDAÇÃO 2025'!$B:$B,'MEDIÇÃO '!$A$216,'LIQUIDAÇÃO 2025'!$C:$C,'MEDIÇÃO '!$B$216,'LIQUIDAÇÃO 2025'!$H:$H,'MEDIÇÃO '!J$218,'LIQUIDAÇÃO 2025'!$F:$F,'MEDIÇÃO '!$A$222)</f>
        <v>0</v>
      </c>
      <c r="K222" s="132">
        <f>SUMIFS('LIQUIDAÇÃO 2025'!$K:$K,'LIQUIDAÇÃO 2025'!$B:$B,'MEDIÇÃO '!$A$216,'LIQUIDAÇÃO 2025'!$C:$C,'MEDIÇÃO '!$B$216,'LIQUIDAÇÃO 2025'!$H:$H,'MEDIÇÃO '!K$218,'LIQUIDAÇÃO 2025'!$F:$F,'MEDIÇÃO '!$A$222)</f>
        <v>0</v>
      </c>
      <c r="L222" s="132">
        <f>SUMIFS('LIQUIDAÇÃO 2025'!$K:$K,'LIQUIDAÇÃO 2025'!$B:$B,'MEDIÇÃO '!$A$216,'LIQUIDAÇÃO 2025'!$C:$C,'MEDIÇÃO '!$B$216,'LIQUIDAÇÃO 2025'!$H:$H,'MEDIÇÃO '!L$218,'LIQUIDAÇÃO 2025'!$F:$F,'MEDIÇÃO '!$A$222)</f>
        <v>0</v>
      </c>
      <c r="M222" s="132">
        <f>SUMIFS('LIQUIDAÇÃO 2025'!$K:$K,'LIQUIDAÇÃO 2025'!$B:$B,'MEDIÇÃO '!$A$216,'LIQUIDAÇÃO 2025'!$C:$C,'MEDIÇÃO '!$B$216,'LIQUIDAÇÃO 2025'!$H:$H,'MEDIÇÃO '!M$218,'LIQUIDAÇÃO 2025'!$F:$F,'MEDIÇÃO '!$A$222)</f>
        <v>0</v>
      </c>
      <c r="N222" s="1067"/>
      <c r="P222" s="10"/>
    </row>
    <row r="223" spans="1:16">
      <c r="A223" s="131" cm="1">
        <f t="array" ref="A223">IFERROR(INDEX(Tabela3[[CÓDIGO
 EMPRESA ]:[EMPENHO]],SMALL(IF(Tabela3[CÓDIGO
 EMPRESA ]='MEDIÇÃO '!$A$216,ROW(Tabela3[CÓDIGO
 EMPRESA ])-3),ROW(P4)),3),"")</f>
        <v>16586</v>
      </c>
      <c r="B223" s="132">
        <f>SUMIFS('LIQUIDAÇÃO 2025'!$K:$K,'LIQUIDAÇÃO 2025'!$B:$B,'MEDIÇÃO '!$A$216,'LIQUIDAÇÃO 2025'!$C:$C,'MEDIÇÃO '!$B$216,'LIQUIDAÇÃO 2025'!$H:$H,'MEDIÇÃO '!B$218,'LIQUIDAÇÃO 2025'!$F:$F,'MEDIÇÃO '!$A$220)</f>
        <v>0</v>
      </c>
      <c r="C223" s="132">
        <f>SUMIFS('LIQUIDAÇÃO 2025'!$K:$K,'LIQUIDAÇÃO 2025'!$B:$B,'MEDIÇÃO '!$A$216,'LIQUIDAÇÃO 2025'!$C:$C,'MEDIÇÃO '!$B$216,'LIQUIDAÇÃO 2025'!$H:$H,'MEDIÇÃO '!C$218,'LIQUIDAÇÃO 2025'!$F:$F,'MEDIÇÃO '!$A$220)</f>
        <v>0</v>
      </c>
      <c r="D223" s="132">
        <f>SUMIFS('LIQUIDAÇÃO 2025'!$K:$K,'LIQUIDAÇÃO 2025'!$B:$B,'MEDIÇÃO '!$A$216,'LIQUIDAÇÃO 2025'!$C:$C,'MEDIÇÃO '!$B$216,'LIQUIDAÇÃO 2025'!$H:$H,'MEDIÇÃO '!D$218,'LIQUIDAÇÃO 2025'!$F:$F,'MEDIÇÃO '!$A$223)</f>
        <v>0</v>
      </c>
      <c r="E223" s="132">
        <f>SUMIFS('LIQUIDAÇÃO 2025'!$K:$K,'LIQUIDAÇÃO 2025'!$B:$B,'MEDIÇÃO '!$A$216,'LIQUIDAÇÃO 2025'!$C:$C,'MEDIÇÃO '!$B$216,'LIQUIDAÇÃO 2025'!$H:$H,'MEDIÇÃO '!E$218,'LIQUIDAÇÃO 2025'!$F:$F,'MEDIÇÃO '!$A$223)</f>
        <v>0</v>
      </c>
      <c r="F223" s="132">
        <f>SUMIFS('LIQUIDAÇÃO 2025'!$K:$K,'LIQUIDAÇÃO 2025'!$B:$B,'MEDIÇÃO '!$A$216,'LIQUIDAÇÃO 2025'!$C:$C,'MEDIÇÃO '!$B$216,'LIQUIDAÇÃO 2025'!$H:$H,'MEDIÇÃO '!F$218,'LIQUIDAÇÃO 2025'!$F:$F,'MEDIÇÃO '!$A$223)</f>
        <v>0</v>
      </c>
      <c r="G223" s="132">
        <f>SUMIFS('LIQUIDAÇÃO 2025'!$K:$K,'LIQUIDAÇÃO 2025'!$B:$B,'MEDIÇÃO '!$A$216,'LIQUIDAÇÃO 2025'!$C:$C,'MEDIÇÃO '!$B$216,'LIQUIDAÇÃO 2025'!$H:$H,'MEDIÇÃO '!G$218,'LIQUIDAÇÃO 2025'!$F:$F,'MEDIÇÃO '!$A$223)</f>
        <v>0</v>
      </c>
      <c r="H223" s="132">
        <f>SUMIFS('LIQUIDAÇÃO 2025'!$K:$K,'LIQUIDAÇÃO 2025'!$B:$B,'MEDIÇÃO '!$A$216,'LIQUIDAÇÃO 2025'!$C:$C,'MEDIÇÃO '!$B$216,'LIQUIDAÇÃO 2025'!$H:$H,'MEDIÇÃO '!H$218,'LIQUIDAÇÃO 2025'!$F:$F,'MEDIÇÃO '!$A$223)</f>
        <v>0</v>
      </c>
      <c r="I223" s="132">
        <f>SUMIFS('LIQUIDAÇÃO 2025'!$K:$K,'LIQUIDAÇÃO 2025'!$B:$B,'MEDIÇÃO '!$A$216,'LIQUIDAÇÃO 2025'!$C:$C,'MEDIÇÃO '!$B$216,'LIQUIDAÇÃO 2025'!$H:$H,'MEDIÇÃO '!I$218,'LIQUIDAÇÃO 2025'!$F:$F,'MEDIÇÃO '!$A$223)</f>
        <v>0</v>
      </c>
      <c r="J223" s="132">
        <f>SUMIFS('LIQUIDAÇÃO 2025'!$K:$K,'LIQUIDAÇÃO 2025'!$B:$B,'MEDIÇÃO '!$A$216,'LIQUIDAÇÃO 2025'!$C:$C,'MEDIÇÃO '!$B$216,'LIQUIDAÇÃO 2025'!$H:$H,'MEDIÇÃO '!J$218,'LIQUIDAÇÃO 2025'!$F:$F,'MEDIÇÃO '!$A$223)</f>
        <v>18500</v>
      </c>
      <c r="K223" s="132">
        <f>SUMIFS('LIQUIDAÇÃO 2025'!$K:$K,'LIQUIDAÇÃO 2025'!$B:$B,'MEDIÇÃO '!$A$216,'LIQUIDAÇÃO 2025'!$C:$C,'MEDIÇÃO '!$B$216,'LIQUIDAÇÃO 2025'!$H:$H,'MEDIÇÃO '!K$218,'LIQUIDAÇÃO 2025'!$F:$F,'MEDIÇÃO '!$A$223)</f>
        <v>0</v>
      </c>
      <c r="L223" s="132">
        <f>SUMIFS('LIQUIDAÇÃO 2025'!$K:$K,'LIQUIDAÇÃO 2025'!$B:$B,'MEDIÇÃO '!$A$216,'LIQUIDAÇÃO 2025'!$C:$C,'MEDIÇÃO '!$B$216,'LIQUIDAÇÃO 2025'!$H:$H,'MEDIÇÃO '!L$218,'LIQUIDAÇÃO 2025'!$F:$F,'MEDIÇÃO '!$A$223)</f>
        <v>18500</v>
      </c>
      <c r="M223" s="132">
        <f>SUMIFS('LIQUIDAÇÃO 2025'!$K:$K,'LIQUIDAÇÃO 2025'!$B:$B,'MEDIÇÃO '!$A$216,'LIQUIDAÇÃO 2025'!$C:$C,'MEDIÇÃO '!$B$216,'LIQUIDAÇÃO 2025'!$H:$H,'MEDIÇÃO '!M$218,'LIQUIDAÇÃO 2025'!$F:$F,'MEDIÇÃO '!$A$223)</f>
        <v>0</v>
      </c>
      <c r="N223" s="1067"/>
    </row>
    <row r="224" spans="1:16">
      <c r="A224" s="131" cm="1">
        <f t="array" ref="A224">IFERROR(INDEX(Tabela3[[CÓDIGO
 EMPRESA ]:[EMPENHO]],SMALL(IF(Tabela3[CÓDIGO
 EMPRESA ]='MEDIÇÃO '!$A$216,ROW(Tabela3[CÓDIGO
 EMPRESA ])-3),ROW(P5)),3),"")</f>
        <v>19149</v>
      </c>
      <c r="B224" s="132">
        <f>SUMIFS('LIQUIDAÇÃO 2025'!$K:$K,'LIQUIDAÇÃO 2025'!$B:$B,'MEDIÇÃO '!$A$216,'LIQUIDAÇÃO 2025'!$C:$C,'MEDIÇÃO '!$B$216,'LIQUIDAÇÃO 2025'!$H:$H,'MEDIÇÃO '!B$218,'LIQUIDAÇÃO 2025'!$F:$F,'MEDIÇÃO '!$A$220)</f>
        <v>0</v>
      </c>
      <c r="C224" s="132">
        <f>SUMIFS('LIQUIDAÇÃO 2025'!$K:$K,'LIQUIDAÇÃO 2025'!$B:$B,'MEDIÇÃO '!$A$216,'LIQUIDAÇÃO 2025'!$C:$C,'MEDIÇÃO '!$B$216,'LIQUIDAÇÃO 2025'!$H:$H,'MEDIÇÃO '!C$218,'LIQUIDAÇÃO 2025'!$F:$F,'MEDIÇÃO '!$A$220)</f>
        <v>0</v>
      </c>
      <c r="D224" s="132"/>
      <c r="E224" s="132"/>
      <c r="F224" s="132"/>
      <c r="G224" s="132"/>
      <c r="H224" s="132"/>
      <c r="I224" s="132"/>
      <c r="J224" s="132"/>
      <c r="K224" s="132"/>
      <c r="L224" s="132"/>
      <c r="M224" s="132"/>
      <c r="N224" s="1067"/>
    </row>
    <row r="225" spans="1:14">
      <c r="A225" s="131" cm="1">
        <f t="array" ref="A225">IFERROR(INDEX(Tabela3[[CÓDIGO
 EMPRESA ]:[EMPENHO]],SMALL(IF(Tabela3[CÓDIGO
 EMPRESA ]='MEDIÇÃO '!$A$216,ROW(Tabela3[CÓDIGO
 EMPRESA ])-3),ROW(P6)),3),"")</f>
        <v>23500</v>
      </c>
      <c r="B225" s="132">
        <f>SUMIFS('LIQUIDAÇÃO 2025'!$K:$K,'LIQUIDAÇÃO 2025'!$B:$B,'MEDIÇÃO '!$A$216,'LIQUIDAÇÃO 2025'!$C:$C,'MEDIÇÃO '!$B$216,'LIQUIDAÇÃO 2025'!$H:$H,'MEDIÇÃO '!B$218,'LIQUIDAÇÃO 2025'!$F:$F,'MEDIÇÃO '!$A$220)</f>
        <v>0</v>
      </c>
      <c r="C225" s="132">
        <f>SUMIFS('LIQUIDAÇÃO 2025'!$K:$K,'LIQUIDAÇÃO 2025'!$B:$B,'MEDIÇÃO '!$A$216,'LIQUIDAÇÃO 2025'!$C:$C,'MEDIÇÃO '!$B$216,'LIQUIDAÇÃO 2025'!$H:$H,'MEDIÇÃO '!C$218,'LIQUIDAÇÃO 2025'!$F:$F,'MEDIÇÃO '!$A$220)</f>
        <v>0</v>
      </c>
      <c r="D225" s="132"/>
      <c r="E225" s="132"/>
      <c r="F225" s="132"/>
      <c r="G225" s="132"/>
      <c r="H225" s="132"/>
      <c r="I225" s="132"/>
      <c r="J225" s="132"/>
      <c r="K225" s="132"/>
      <c r="L225" s="132"/>
      <c r="M225" s="132"/>
      <c r="N225" s="1067"/>
    </row>
    <row r="226" spans="1:14">
      <c r="A226" s="131" cm="1">
        <f t="array" ref="A226">IFERROR(INDEX(Tabela3[[CÓDIGO
 EMPRESA ]:[EMPENHO]],SMALL(IF(Tabela3[CÓDIGO
 EMPRESA ]='MEDIÇÃO '!$A$216,ROW(Tabela3[CÓDIGO
 EMPRESA ])-3),ROW(P7)),3),"")</f>
        <v>26317</v>
      </c>
      <c r="B226" s="132">
        <f>SUMIFS('LIQUIDAÇÃO 2025'!$K:$K,'LIQUIDAÇÃO 2025'!$B:$B,'MEDIÇÃO '!$A$216,'LIQUIDAÇÃO 2025'!$C:$C,'MEDIÇÃO '!$B$216,'LIQUIDAÇÃO 2025'!$H:$H,'MEDIÇÃO '!B$218,'LIQUIDAÇÃO 2025'!$F:$F,'MEDIÇÃO '!$A$220)</f>
        <v>0</v>
      </c>
      <c r="C226" s="132">
        <f>SUMIFS('LIQUIDAÇÃO 2025'!$K:$K,'LIQUIDAÇÃO 2025'!$B:$B,'MEDIÇÃO '!$A$216,'LIQUIDAÇÃO 2025'!$C:$C,'MEDIÇÃO '!$B$216,'LIQUIDAÇÃO 2025'!$H:$H,'MEDIÇÃO '!C$218,'LIQUIDAÇÃO 2025'!$F:$F,'MEDIÇÃO '!$A$220)</f>
        <v>0</v>
      </c>
      <c r="D226" s="132"/>
      <c r="E226" s="132"/>
      <c r="F226" s="132"/>
      <c r="G226" s="132"/>
      <c r="H226" s="132"/>
      <c r="I226" s="132"/>
      <c r="J226" s="132"/>
      <c r="K226" s="132"/>
      <c r="L226" s="132"/>
      <c r="M226" s="132"/>
      <c r="N226" s="1067"/>
    </row>
    <row r="227" spans="1:14" ht="15.75" thickBot="1">
      <c r="A227" s="131" t="str" cm="1">
        <f t="array" ref="A227">IFERROR(INDEX(Tabela3[[CÓDIGO
 EMPRESA ]:[EMPENHO]],SMALL(IF(Tabela3[CÓDIGO
 EMPRESA ]='MEDIÇÃO '!$A$216,ROW(Tabela3[CÓDIGO
 EMPRESA ])-3),ROW(P8)),3),"")</f>
        <v/>
      </c>
      <c r="B227" s="132">
        <f>SUMIFS('LIQUIDAÇÃO 2025'!$K:$K,'LIQUIDAÇÃO 2025'!$B:$B,'MEDIÇÃO '!$A$216,'LIQUIDAÇÃO 2025'!$C:$C,'MEDIÇÃO '!$B$216,'LIQUIDAÇÃO 2025'!$H:$H,'MEDIÇÃO '!B$218,'LIQUIDAÇÃO 2025'!$F:$F,'MEDIÇÃO '!$A$220)</f>
        <v>0</v>
      </c>
      <c r="C227" s="132">
        <f>SUMIFS('LIQUIDAÇÃO 2025'!$K:$K,'LIQUIDAÇÃO 2025'!$B:$B,'MEDIÇÃO '!$A$216,'LIQUIDAÇÃO 2025'!$C:$C,'MEDIÇÃO '!$B$216,'LIQUIDAÇÃO 2025'!$H:$H,'MEDIÇÃO '!C$218,'LIQUIDAÇÃO 2025'!$F:$F,'MEDIÇÃO '!$A$220)</f>
        <v>0</v>
      </c>
      <c r="D227" s="132">
        <f>SUMIFS('LIQUIDAÇÃO 2025'!$K:$K,'LIQUIDAÇÃO 2025'!$B:$B,'MEDIÇÃO '!$A$216,'LIQUIDAÇÃO 2025'!$C:$C,'MEDIÇÃO '!$B$216,'LIQUIDAÇÃO 2025'!$H:$H,'MEDIÇÃO '!D$218,'LIQUIDAÇÃO 2025'!$F:$F,'MEDIÇÃO '!$A$227)</f>
        <v>0</v>
      </c>
      <c r="E227" s="132">
        <f>SUMIFS('LIQUIDAÇÃO 2025'!$K:$K,'LIQUIDAÇÃO 2025'!$B:$B,'MEDIÇÃO '!$A$216,'LIQUIDAÇÃO 2025'!$C:$C,'MEDIÇÃO '!$B$216,'LIQUIDAÇÃO 2025'!$H:$H,'MEDIÇÃO '!E$218,'LIQUIDAÇÃO 2025'!$F:$F,'MEDIÇÃO '!$A$227)</f>
        <v>0</v>
      </c>
      <c r="F227" s="132">
        <f>SUMIFS('LIQUIDAÇÃO 2025'!$K:$K,'LIQUIDAÇÃO 2025'!$B:$B,'MEDIÇÃO '!$A$216,'LIQUIDAÇÃO 2025'!$C:$C,'MEDIÇÃO '!$B$216,'LIQUIDAÇÃO 2025'!$H:$H,'MEDIÇÃO '!F$218,'LIQUIDAÇÃO 2025'!$F:$F,'MEDIÇÃO '!$A$227)</f>
        <v>0</v>
      </c>
      <c r="G227" s="132">
        <f>SUMIFS('LIQUIDAÇÃO 2025'!$K:$K,'LIQUIDAÇÃO 2025'!$B:$B,'MEDIÇÃO '!$A$216,'LIQUIDAÇÃO 2025'!$C:$C,'MEDIÇÃO '!$B$216,'LIQUIDAÇÃO 2025'!$H:$H,'MEDIÇÃO '!G$218,'LIQUIDAÇÃO 2025'!$F:$F,'MEDIÇÃO '!$A$227)</f>
        <v>0</v>
      </c>
      <c r="H227" s="132">
        <f>SUMIFS('LIQUIDAÇÃO 2025'!$K:$K,'LIQUIDAÇÃO 2025'!$B:$B,'MEDIÇÃO '!$A$216,'LIQUIDAÇÃO 2025'!$C:$C,'MEDIÇÃO '!$B$216,'LIQUIDAÇÃO 2025'!$H:$H,'MEDIÇÃO '!H$218,'LIQUIDAÇÃO 2025'!$F:$F,'MEDIÇÃO '!$A$227)</f>
        <v>0</v>
      </c>
      <c r="I227" s="132">
        <f>SUMIFS('LIQUIDAÇÃO 2025'!$K:$K,'LIQUIDAÇÃO 2025'!$B:$B,'MEDIÇÃO '!$A$216,'LIQUIDAÇÃO 2025'!$C:$C,'MEDIÇÃO '!$B$216,'LIQUIDAÇÃO 2025'!$H:$H,'MEDIÇÃO '!I$218,'LIQUIDAÇÃO 2025'!$F:$F,'MEDIÇÃO '!$A$227)</f>
        <v>0</v>
      </c>
      <c r="J227" s="132">
        <f>SUMIFS('LIQUIDAÇÃO 2025'!$K:$K,'LIQUIDAÇÃO 2025'!$B:$B,'MEDIÇÃO '!$A$216,'LIQUIDAÇÃO 2025'!$C:$C,'MEDIÇÃO '!$B$216,'LIQUIDAÇÃO 2025'!$H:$H,'MEDIÇÃO '!J$218,'LIQUIDAÇÃO 2025'!$F:$F,'MEDIÇÃO '!$A$227)</f>
        <v>0</v>
      </c>
      <c r="K227" s="132">
        <f>SUMIFS('LIQUIDAÇÃO 2025'!$K:$K,'LIQUIDAÇÃO 2025'!$B:$B,'MEDIÇÃO '!$A$216,'LIQUIDAÇÃO 2025'!$C:$C,'MEDIÇÃO '!$B$216,'LIQUIDAÇÃO 2025'!$H:$H,'MEDIÇÃO '!K$218,'LIQUIDAÇÃO 2025'!$F:$F,'MEDIÇÃO '!$A$227)</f>
        <v>0</v>
      </c>
      <c r="L227" s="132">
        <f>SUMIFS('LIQUIDAÇÃO 2025'!$K:$K,'LIQUIDAÇÃO 2025'!$B:$B,'MEDIÇÃO '!$A$216,'LIQUIDAÇÃO 2025'!$C:$C,'MEDIÇÃO '!$B$216,'LIQUIDAÇÃO 2025'!$H:$H,'MEDIÇÃO '!L$218,'LIQUIDAÇÃO 2025'!$F:$F,'MEDIÇÃO '!$A$227)</f>
        <v>0</v>
      </c>
      <c r="M227" s="132">
        <f>SUMIFS('LIQUIDAÇÃO 2025'!$K:$K,'LIQUIDAÇÃO 2025'!$B:$B,'MEDIÇÃO '!$A$216,'LIQUIDAÇÃO 2025'!$C:$C,'MEDIÇÃO '!$B$216,'LIQUIDAÇÃO 2025'!$H:$H,'MEDIÇÃO '!M$218,'LIQUIDAÇÃO 2025'!$F:$F,'MEDIÇÃO '!$A$227)</f>
        <v>0</v>
      </c>
      <c r="N227" s="1067"/>
    </row>
    <row r="228" spans="1:14" ht="15.75" thickBot="1">
      <c r="A228" s="131" t="str" cm="1">
        <f t="array" ref="A228">IFERROR(INDEX(Tabela3[[CÓDIGO
 EMPRESA ]:[EMPENHO]],SMALL(IF(Tabela3[CÓDIGO
 EMPRESA ]='MEDIÇÃO '!$A$216,ROW(Tabela3[CÓDIGO
 EMPRESA ])-3),ROW(P9)),3),"")</f>
        <v/>
      </c>
      <c r="B228" s="215">
        <v>0</v>
      </c>
      <c r="C228" s="215">
        <v>0</v>
      </c>
      <c r="D228" s="215">
        <v>0</v>
      </c>
      <c r="E228" s="215">
        <v>0</v>
      </c>
      <c r="F228" s="215">
        <v>0</v>
      </c>
      <c r="G228" s="215">
        <v>0</v>
      </c>
      <c r="H228" s="215">
        <v>0</v>
      </c>
      <c r="I228" s="215">
        <v>0</v>
      </c>
      <c r="J228" s="215">
        <v>0</v>
      </c>
      <c r="K228" s="215">
        <v>0</v>
      </c>
      <c r="L228" s="215">
        <v>0</v>
      </c>
      <c r="M228" s="215">
        <v>0</v>
      </c>
      <c r="N228" s="1068"/>
    </row>
    <row r="229" spans="1:14">
      <c r="A229" s="131" t="str" cm="1">
        <f t="array" ref="A229">IFERROR(INDEX(Tabela3[[CÓDIGO
 EMPRESA ]:[EMPENHO]],SMALL(IF(Tabela3[CÓDIGO
 EMPRESA ]='MEDIÇÃO '!$A$216,ROW(Tabela3[CÓDIGO
 EMPRESA ])-3),ROW(P10)),3),"")</f>
        <v/>
      </c>
      <c r="B229" s="216">
        <f t="shared" ref="B229:M229" si="157">IF(SUM(B220:B227)&lt;&gt;0,B219-B228-SUM(B220:B227),(B219-SUM(B220:B227)-B228))</f>
        <v>115000</v>
      </c>
      <c r="C229" s="216">
        <f t="shared" si="157"/>
        <v>76000</v>
      </c>
      <c r="D229" s="216">
        <f t="shared" si="157"/>
        <v>-70500</v>
      </c>
      <c r="E229" s="216">
        <f t="shared" si="157"/>
        <v>13000</v>
      </c>
      <c r="F229" s="216">
        <f t="shared" si="157"/>
        <v>-18500</v>
      </c>
      <c r="G229" s="216">
        <f t="shared" si="157"/>
        <v>-115000</v>
      </c>
      <c r="H229" s="216">
        <f t="shared" si="157"/>
        <v>0</v>
      </c>
      <c r="I229" s="216">
        <f t="shared" si="157"/>
        <v>-18500</v>
      </c>
      <c r="J229" s="216">
        <f t="shared" si="157"/>
        <v>-18500</v>
      </c>
      <c r="K229" s="216">
        <f t="shared" si="157"/>
        <v>0</v>
      </c>
      <c r="L229" s="216">
        <f t="shared" si="157"/>
        <v>-18500</v>
      </c>
      <c r="M229" s="216">
        <f t="shared" si="157"/>
        <v>0</v>
      </c>
      <c r="N229" s="213">
        <f>SUM(B219:M219)-SUM(B220:M227)-SUM(B228:M228)</f>
        <v>-55500</v>
      </c>
    </row>
  </sheetData>
  <sheetProtection selectLockedCells="1" selectUnlockedCells="1"/>
  <mergeCells count="140">
    <mergeCell ref="H216:I216"/>
    <mergeCell ref="J216:K216"/>
    <mergeCell ref="L216:M216"/>
    <mergeCell ref="H217:I217"/>
    <mergeCell ref="J217:K217"/>
    <mergeCell ref="L217:M217"/>
    <mergeCell ref="A218:A219"/>
    <mergeCell ref="N218:N228"/>
    <mergeCell ref="H202:I202"/>
    <mergeCell ref="J202:K202"/>
    <mergeCell ref="L202:M202"/>
    <mergeCell ref="H203:I203"/>
    <mergeCell ref="J203:K203"/>
    <mergeCell ref="L203:M203"/>
    <mergeCell ref="A204:A205"/>
    <mergeCell ref="N204:N213"/>
    <mergeCell ref="L104:M104"/>
    <mergeCell ref="H105:I105"/>
    <mergeCell ref="J105:K105"/>
    <mergeCell ref="L105:M105"/>
    <mergeCell ref="L90:M90"/>
    <mergeCell ref="J78:K78"/>
    <mergeCell ref="H78:I78"/>
    <mergeCell ref="A49:A50"/>
    <mergeCell ref="A17:A18"/>
    <mergeCell ref="H47:I47"/>
    <mergeCell ref="J47:K47"/>
    <mergeCell ref="N17:N25"/>
    <mergeCell ref="N30:N43"/>
    <mergeCell ref="N49:N56"/>
    <mergeCell ref="N61:N75"/>
    <mergeCell ref="N80:N87"/>
    <mergeCell ref="N92:N99"/>
    <mergeCell ref="A30:A31"/>
    <mergeCell ref="H28:I28"/>
    <mergeCell ref="J28:K28"/>
    <mergeCell ref="L28:M28"/>
    <mergeCell ref="H29:I29"/>
    <mergeCell ref="J177:K177"/>
    <mergeCell ref="L177:M177"/>
    <mergeCell ref="H188:I188"/>
    <mergeCell ref="J188:K188"/>
    <mergeCell ref="L188:M188"/>
    <mergeCell ref="H165:I165"/>
    <mergeCell ref="M1:N1"/>
    <mergeCell ref="D1:K1"/>
    <mergeCell ref="N178:N185"/>
    <mergeCell ref="J165:K165"/>
    <mergeCell ref="H177:I177"/>
    <mergeCell ref="H152:I152"/>
    <mergeCell ref="H153:I153"/>
    <mergeCell ref="J153:K153"/>
    <mergeCell ref="H129:I129"/>
    <mergeCell ref="J129:K129"/>
    <mergeCell ref="H140:I140"/>
    <mergeCell ref="J152:K152"/>
    <mergeCell ref="H164:I164"/>
    <mergeCell ref="J164:K164"/>
    <mergeCell ref="J117:K117"/>
    <mergeCell ref="J141:K141"/>
    <mergeCell ref="A105:E105"/>
    <mergeCell ref="N5:N12"/>
    <mergeCell ref="N190:N197"/>
    <mergeCell ref="N106:N113"/>
    <mergeCell ref="N118:N125"/>
    <mergeCell ref="N130:N137"/>
    <mergeCell ref="N142:N149"/>
    <mergeCell ref="N154:N161"/>
    <mergeCell ref="N166:N173"/>
    <mergeCell ref="L153:M153"/>
    <mergeCell ref="L141:M141"/>
    <mergeCell ref="L152:M152"/>
    <mergeCell ref="L189:M189"/>
    <mergeCell ref="L116:M116"/>
    <mergeCell ref="L164:M164"/>
    <mergeCell ref="L165:M165"/>
    <mergeCell ref="L129:M129"/>
    <mergeCell ref="H189:I189"/>
    <mergeCell ref="J189:K189"/>
    <mergeCell ref="A61:A62"/>
    <mergeCell ref="H176:I176"/>
    <mergeCell ref="J176:K176"/>
    <mergeCell ref="L176:M176"/>
    <mergeCell ref="H91:I91"/>
    <mergeCell ref="J91:K91"/>
    <mergeCell ref="L91:M91"/>
    <mergeCell ref="L78:M78"/>
    <mergeCell ref="H90:I90"/>
    <mergeCell ref="J90:K90"/>
    <mergeCell ref="H79:I79"/>
    <mergeCell ref="J79:K79"/>
    <mergeCell ref="L79:M79"/>
    <mergeCell ref="A92:A93"/>
    <mergeCell ref="A142:A143"/>
    <mergeCell ref="A130:A131"/>
    <mergeCell ref="A118:A119"/>
    <mergeCell ref="A106:A107"/>
    <mergeCell ref="H117:I117"/>
    <mergeCell ref="L140:M140"/>
    <mergeCell ref="H116:I116"/>
    <mergeCell ref="J116:K116"/>
    <mergeCell ref="H15:I15"/>
    <mergeCell ref="J59:K59"/>
    <mergeCell ref="H16:I16"/>
    <mergeCell ref="L47:M47"/>
    <mergeCell ref="H48:I48"/>
    <mergeCell ref="J48:K48"/>
    <mergeCell ref="L48:M48"/>
    <mergeCell ref="H59:I59"/>
    <mergeCell ref="L59:M59"/>
    <mergeCell ref="L29:M29"/>
    <mergeCell ref="J15:K15"/>
    <mergeCell ref="L15:M15"/>
    <mergeCell ref="J16:K16"/>
    <mergeCell ref="L16:M16"/>
    <mergeCell ref="J29:K29"/>
    <mergeCell ref="G2:H2"/>
    <mergeCell ref="A5:A6"/>
    <mergeCell ref="A190:A191"/>
    <mergeCell ref="A166:A167"/>
    <mergeCell ref="A178:A179"/>
    <mergeCell ref="H60:I60"/>
    <mergeCell ref="J60:K60"/>
    <mergeCell ref="J140:K140"/>
    <mergeCell ref="L117:M117"/>
    <mergeCell ref="H104:I104"/>
    <mergeCell ref="J104:K104"/>
    <mergeCell ref="H4:I4"/>
    <mergeCell ref="J3:K3"/>
    <mergeCell ref="J4:K4"/>
    <mergeCell ref="A154:A155"/>
    <mergeCell ref="A80:A81"/>
    <mergeCell ref="L3:M3"/>
    <mergeCell ref="L4:M4"/>
    <mergeCell ref="H128:I128"/>
    <mergeCell ref="J128:K128"/>
    <mergeCell ref="L128:M128"/>
    <mergeCell ref="H141:I141"/>
    <mergeCell ref="H3:I3"/>
    <mergeCell ref="L60:M60"/>
  </mergeCells>
  <phoneticPr fontId="9" type="noConversion"/>
  <conditionalFormatting sqref="B12:M14">
    <cfRule type="cellIs" dxfId="284" priority="401" operator="lessThan">
      <formula>0</formula>
    </cfRule>
    <cfRule type="cellIs" dxfId="283" priority="402" operator="greaterThan">
      <formula>0</formula>
    </cfRule>
  </conditionalFormatting>
  <conditionalFormatting sqref="B58:M58">
    <cfRule type="cellIs" dxfId="282" priority="395" operator="lessThan">
      <formula>0</formula>
    </cfRule>
    <cfRule type="cellIs" dxfId="281" priority="396" operator="greaterThan">
      <formula>0</formula>
    </cfRule>
  </conditionalFormatting>
  <conditionalFormatting sqref="B175:M175">
    <cfRule type="cellIs" dxfId="280" priority="371" operator="lessThan">
      <formula>0</formula>
    </cfRule>
    <cfRule type="cellIs" dxfId="279" priority="372" operator="greaterThan">
      <formula>0</formula>
    </cfRule>
  </conditionalFormatting>
  <conditionalFormatting sqref="B45:M45">
    <cfRule type="cellIs" dxfId="278" priority="327" operator="lessThan">
      <formula>0</formula>
    </cfRule>
    <cfRule type="cellIs" dxfId="277" priority="328" operator="greaterThan">
      <formula>0</formula>
    </cfRule>
  </conditionalFormatting>
  <conditionalFormatting sqref="B77:M77">
    <cfRule type="cellIs" dxfId="276" priority="323" operator="lessThan">
      <formula>0</formula>
    </cfRule>
    <cfRule type="cellIs" dxfId="275" priority="324" operator="greaterThan">
      <formula>0</formula>
    </cfRule>
  </conditionalFormatting>
  <conditionalFormatting sqref="N13">
    <cfRule type="cellIs" dxfId="274" priority="305" operator="lessThan">
      <formula>0</formula>
    </cfRule>
    <cfRule type="cellIs" dxfId="273" priority="306" operator="greaterThan">
      <formula>0</formula>
    </cfRule>
  </conditionalFormatting>
  <conditionalFormatting sqref="B25:M26">
    <cfRule type="cellIs" dxfId="272" priority="303" operator="lessThan">
      <formula>0</formula>
    </cfRule>
    <cfRule type="cellIs" dxfId="271" priority="304" operator="greaterThan">
      <formula>0</formula>
    </cfRule>
  </conditionalFormatting>
  <conditionalFormatting sqref="N26">
    <cfRule type="cellIs" dxfId="270" priority="301" operator="lessThan">
      <formula>0</formula>
    </cfRule>
    <cfRule type="cellIs" dxfId="269" priority="302" operator="greaterThan">
      <formula>0</formula>
    </cfRule>
  </conditionalFormatting>
  <conditionalFormatting sqref="B43:M44">
    <cfRule type="cellIs" dxfId="268" priority="299" operator="lessThan">
      <formula>0</formula>
    </cfRule>
    <cfRule type="cellIs" dxfId="267" priority="300" operator="greaterThan">
      <formula>0</formula>
    </cfRule>
  </conditionalFormatting>
  <conditionalFormatting sqref="N44">
    <cfRule type="cellIs" dxfId="266" priority="297" operator="lessThan">
      <formula>0</formula>
    </cfRule>
    <cfRule type="cellIs" dxfId="265" priority="298" operator="greaterThan">
      <formula>0</formula>
    </cfRule>
  </conditionalFormatting>
  <conditionalFormatting sqref="B56:M57">
    <cfRule type="cellIs" dxfId="264" priority="295" operator="lessThan">
      <formula>0</formula>
    </cfRule>
    <cfRule type="cellIs" dxfId="263" priority="296" operator="greaterThan">
      <formula>0</formula>
    </cfRule>
  </conditionalFormatting>
  <conditionalFormatting sqref="N57">
    <cfRule type="cellIs" dxfId="262" priority="293" operator="lessThan">
      <formula>0</formula>
    </cfRule>
    <cfRule type="cellIs" dxfId="261" priority="294" operator="greaterThan">
      <formula>0</formula>
    </cfRule>
  </conditionalFormatting>
  <conditionalFormatting sqref="B75:M76">
    <cfRule type="cellIs" dxfId="260" priority="291" operator="lessThan">
      <formula>0</formula>
    </cfRule>
    <cfRule type="cellIs" dxfId="259" priority="292" operator="greaterThan">
      <formula>0</formula>
    </cfRule>
  </conditionalFormatting>
  <conditionalFormatting sqref="N76">
    <cfRule type="cellIs" dxfId="258" priority="289" operator="lessThan">
      <formula>0</formula>
    </cfRule>
    <cfRule type="cellIs" dxfId="257" priority="290" operator="greaterThan">
      <formula>0</formula>
    </cfRule>
  </conditionalFormatting>
  <conditionalFormatting sqref="B87:M88">
    <cfRule type="cellIs" dxfId="256" priority="287" operator="lessThan">
      <formula>0</formula>
    </cfRule>
    <cfRule type="cellIs" dxfId="255" priority="288" operator="greaterThan">
      <formula>0</formula>
    </cfRule>
  </conditionalFormatting>
  <conditionalFormatting sqref="N88">
    <cfRule type="cellIs" dxfId="254" priority="285" operator="lessThan">
      <formula>0</formula>
    </cfRule>
    <cfRule type="cellIs" dxfId="253" priority="286" operator="greaterThan">
      <formula>0</formula>
    </cfRule>
  </conditionalFormatting>
  <conditionalFormatting sqref="B99:M100">
    <cfRule type="cellIs" dxfId="252" priority="283" operator="lessThan">
      <formula>0</formula>
    </cfRule>
    <cfRule type="cellIs" dxfId="251" priority="284" operator="greaterThan">
      <formula>0</formula>
    </cfRule>
  </conditionalFormatting>
  <conditionalFormatting sqref="O92:Q93">
    <cfRule type="cellIs" dxfId="250" priority="281" operator="lessThan">
      <formula>0</formula>
    </cfRule>
    <cfRule type="cellIs" dxfId="249" priority="282" operator="greaterThan">
      <formula>0</formula>
    </cfRule>
  </conditionalFormatting>
  <conditionalFormatting sqref="N100">
    <cfRule type="cellIs" dxfId="248" priority="279" operator="lessThan">
      <formula>0</formula>
    </cfRule>
    <cfRule type="cellIs" dxfId="247" priority="280" operator="greaterThan">
      <formula>0</formula>
    </cfRule>
  </conditionalFormatting>
  <conditionalFormatting sqref="B113:M114">
    <cfRule type="cellIs" dxfId="246" priority="275" operator="lessThan">
      <formula>0</formula>
    </cfRule>
    <cfRule type="cellIs" dxfId="245" priority="276" operator="greaterThan">
      <formula>0</formula>
    </cfRule>
  </conditionalFormatting>
  <conditionalFormatting sqref="N114">
    <cfRule type="cellIs" dxfId="244" priority="271" operator="lessThan">
      <formula>0</formula>
    </cfRule>
    <cfRule type="cellIs" dxfId="243" priority="272" operator="greaterThan">
      <formula>0</formula>
    </cfRule>
  </conditionalFormatting>
  <conditionalFormatting sqref="B125:M126">
    <cfRule type="cellIs" dxfId="242" priority="269" operator="lessThan">
      <formula>0</formula>
    </cfRule>
    <cfRule type="cellIs" dxfId="241" priority="270" operator="greaterThan">
      <formula>0</formula>
    </cfRule>
  </conditionalFormatting>
  <conditionalFormatting sqref="N126">
    <cfRule type="cellIs" dxfId="240" priority="267" operator="lessThan">
      <formula>0</formula>
    </cfRule>
    <cfRule type="cellIs" dxfId="239" priority="268" operator="greaterThan">
      <formula>0</formula>
    </cfRule>
  </conditionalFormatting>
  <conditionalFormatting sqref="N138">
    <cfRule type="cellIs" dxfId="238" priority="265" operator="lessThan">
      <formula>0</formula>
    </cfRule>
    <cfRule type="cellIs" dxfId="237" priority="266" operator="greaterThan">
      <formula>0</formula>
    </cfRule>
  </conditionalFormatting>
  <conditionalFormatting sqref="N150">
    <cfRule type="cellIs" dxfId="236" priority="263" operator="lessThan">
      <formula>0</formula>
    </cfRule>
    <cfRule type="cellIs" dxfId="235" priority="264" operator="greaterThan">
      <formula>0</formula>
    </cfRule>
  </conditionalFormatting>
  <conditionalFormatting sqref="B137:M138">
    <cfRule type="cellIs" dxfId="234" priority="261" operator="lessThan">
      <formula>0</formula>
    </cfRule>
    <cfRule type="cellIs" dxfId="233" priority="262" operator="greaterThan">
      <formula>0</formula>
    </cfRule>
  </conditionalFormatting>
  <conditionalFormatting sqref="B149:M150">
    <cfRule type="cellIs" dxfId="232" priority="259" operator="lessThan">
      <formula>0</formula>
    </cfRule>
    <cfRule type="cellIs" dxfId="231" priority="260" operator="greaterThan">
      <formula>0</formula>
    </cfRule>
  </conditionalFormatting>
  <conditionalFormatting sqref="N162">
    <cfRule type="cellIs" dxfId="230" priority="257" operator="lessThan">
      <formula>0</formula>
    </cfRule>
    <cfRule type="cellIs" dxfId="229" priority="258" operator="greaterThan">
      <formula>0</formula>
    </cfRule>
  </conditionalFormatting>
  <conditionalFormatting sqref="B161:M162">
    <cfRule type="cellIs" dxfId="228" priority="255" operator="lessThan">
      <formula>0</formula>
    </cfRule>
    <cfRule type="cellIs" dxfId="227" priority="256" operator="greaterThan">
      <formula>0</formula>
    </cfRule>
  </conditionalFormatting>
  <conditionalFormatting sqref="N163">
    <cfRule type="cellIs" dxfId="226" priority="253" operator="lessThan">
      <formula>0</formula>
    </cfRule>
    <cfRule type="cellIs" dxfId="225" priority="254" operator="greaterThan">
      <formula>0</formula>
    </cfRule>
  </conditionalFormatting>
  <conditionalFormatting sqref="N174">
    <cfRule type="cellIs" dxfId="224" priority="251" operator="lessThan">
      <formula>0</formula>
    </cfRule>
    <cfRule type="cellIs" dxfId="223" priority="252" operator="greaterThan">
      <formula>0</formula>
    </cfRule>
  </conditionalFormatting>
  <conditionalFormatting sqref="C164:E164 B163:M163">
    <cfRule type="cellIs" dxfId="222" priority="249" operator="lessThan">
      <formula>0</formula>
    </cfRule>
    <cfRule type="cellIs" dxfId="221" priority="250" operator="greaterThan">
      <formula>0</formula>
    </cfRule>
  </conditionalFormatting>
  <conditionalFormatting sqref="B173:M174">
    <cfRule type="cellIs" dxfId="220" priority="247" operator="lessThan">
      <formula>0</formula>
    </cfRule>
    <cfRule type="cellIs" dxfId="219" priority="248" operator="greaterThan">
      <formula>0</formula>
    </cfRule>
  </conditionalFormatting>
  <conditionalFormatting sqref="B185:M186">
    <cfRule type="cellIs" dxfId="218" priority="245" operator="lessThan">
      <formula>0</formula>
    </cfRule>
    <cfRule type="cellIs" dxfId="217" priority="246" operator="greaterThan">
      <formula>0</formula>
    </cfRule>
  </conditionalFormatting>
  <conditionalFormatting sqref="B197:M197">
    <cfRule type="cellIs" dxfId="216" priority="243" operator="lessThan">
      <formula>0</formula>
    </cfRule>
    <cfRule type="cellIs" dxfId="215" priority="244" operator="greaterThan">
      <formula>0</formula>
    </cfRule>
  </conditionalFormatting>
  <conditionalFormatting sqref="N186">
    <cfRule type="cellIs" dxfId="214" priority="241" operator="lessThan">
      <formula>0</formula>
    </cfRule>
    <cfRule type="cellIs" dxfId="213" priority="242" operator="greaterThan">
      <formula>0</formula>
    </cfRule>
  </conditionalFormatting>
  <conditionalFormatting sqref="N198">
    <cfRule type="cellIs" dxfId="212" priority="239" operator="lessThan">
      <formula>0</formula>
    </cfRule>
    <cfRule type="cellIs" dxfId="211" priority="240" operator="greaterThan">
      <formula>0</formula>
    </cfRule>
  </conditionalFormatting>
  <conditionalFormatting sqref="N155 A155:B155 N81 A81:B81 A3:N5 A6 N6 H191:N191 E165:N165 A191:B191 A203:N204 A205 J205:N205 A202 C202:N202 A156:N164 A192:N198 A28 C28:N28 A206:N214 A82:N154 A166:N190 A7:N27 A220:N220 B221:N227 A221:A229 A29:N80">
    <cfRule type="expression" priority="236">
      <formula>FIND(pesquisa,A$3,B$3)</formula>
    </cfRule>
  </conditionalFormatting>
  <conditionalFormatting sqref="C191 G191 B6:M6 C155:M155 C81:M81">
    <cfRule type="expression" priority="404">
      <formula>FIND(pesquisa,A$3,B$3)</formula>
    </cfRule>
  </conditionalFormatting>
  <conditionalFormatting sqref="N174">
    <cfRule type="cellIs" dxfId="210" priority="231" operator="lessThan">
      <formula>0</formula>
    </cfRule>
    <cfRule type="cellIs" dxfId="209" priority="232" operator="greaterThan">
      <formula>0</formula>
    </cfRule>
  </conditionalFormatting>
  <conditionalFormatting sqref="A200">
    <cfRule type="expression" priority="225">
      <formula>FIND(pesquisa,A$3,B$3)</formula>
    </cfRule>
  </conditionalFormatting>
  <conditionalFormatting sqref="D191:F191">
    <cfRule type="expression" priority="408">
      <formula>FIND(pesquisa,B$3,C$3)</formula>
    </cfRule>
  </conditionalFormatting>
  <conditionalFormatting sqref="B213:M214">
    <cfRule type="cellIs" dxfId="208" priority="223" operator="lessThan">
      <formula>0</formula>
    </cfRule>
    <cfRule type="cellIs" dxfId="207" priority="224" operator="greaterThan">
      <formula>0</formula>
    </cfRule>
  </conditionalFormatting>
  <conditionalFormatting sqref="N214">
    <cfRule type="cellIs" dxfId="206" priority="221" operator="lessThan">
      <formula>0</formula>
    </cfRule>
    <cfRule type="cellIs" dxfId="205" priority="222" operator="greaterThan">
      <formula>0</formula>
    </cfRule>
  </conditionalFormatting>
  <conditionalFormatting sqref="B205:I205">
    <cfRule type="expression" priority="410">
      <formula>FIND(pesquisa,C$3,D$3)</formula>
    </cfRule>
  </conditionalFormatting>
  <conditionalFormatting sqref="A217:N218 A219 I219:N219 B228:N228 B216:N216">
    <cfRule type="expression" priority="218">
      <formula>FIND(pesquisa,A$3,B$3)</formula>
    </cfRule>
  </conditionalFormatting>
  <conditionalFormatting sqref="B228:M228">
    <cfRule type="cellIs" dxfId="204" priority="216" operator="lessThan">
      <formula>0</formula>
    </cfRule>
    <cfRule type="cellIs" dxfId="203" priority="217" operator="greaterThan">
      <formula>0</formula>
    </cfRule>
  </conditionalFormatting>
  <conditionalFormatting sqref="B219:H219">
    <cfRule type="expression" priority="219">
      <formula>FIND(pesquisa,C$3,D$3)</formula>
    </cfRule>
  </conditionalFormatting>
  <conditionalFormatting sqref="B202">
    <cfRule type="expression" priority="210">
      <formula>FIND(pesquisa,B$3,C$3)</formula>
    </cfRule>
  </conditionalFormatting>
  <conditionalFormatting sqref="B26:M26">
    <cfRule type="cellIs" dxfId="202" priority="208" operator="lessThan">
      <formula>0</formula>
    </cfRule>
    <cfRule type="cellIs" dxfId="201" priority="209" operator="greaterThan">
      <formula>0</formula>
    </cfRule>
  </conditionalFormatting>
  <conditionalFormatting sqref="B44:M44">
    <cfRule type="cellIs" dxfId="200" priority="206" operator="lessThan">
      <formula>0</formula>
    </cfRule>
    <cfRule type="cellIs" dxfId="199" priority="207" operator="greaterThan">
      <formula>0</formula>
    </cfRule>
  </conditionalFormatting>
  <conditionalFormatting sqref="B44:M44">
    <cfRule type="cellIs" dxfId="198" priority="204" operator="lessThan">
      <formula>0</formula>
    </cfRule>
    <cfRule type="cellIs" dxfId="197" priority="205" operator="greaterThan">
      <formula>0</formula>
    </cfRule>
  </conditionalFormatting>
  <conditionalFormatting sqref="B57:M57">
    <cfRule type="cellIs" dxfId="196" priority="202" operator="lessThan">
      <formula>0</formula>
    </cfRule>
    <cfRule type="cellIs" dxfId="195" priority="203" operator="greaterThan">
      <formula>0</formula>
    </cfRule>
  </conditionalFormatting>
  <conditionalFormatting sqref="B57:M57">
    <cfRule type="cellIs" dxfId="194" priority="200" operator="lessThan">
      <formula>0</formula>
    </cfRule>
    <cfRule type="cellIs" dxfId="193" priority="201" operator="greaterThan">
      <formula>0</formula>
    </cfRule>
  </conditionalFormatting>
  <conditionalFormatting sqref="B76:M76">
    <cfRule type="cellIs" dxfId="192" priority="198" operator="lessThan">
      <formula>0</formula>
    </cfRule>
    <cfRule type="cellIs" dxfId="191" priority="199" operator="greaterThan">
      <formula>0</formula>
    </cfRule>
  </conditionalFormatting>
  <conditionalFormatting sqref="B76:M76">
    <cfRule type="cellIs" dxfId="190" priority="196" operator="lessThan">
      <formula>0</formula>
    </cfRule>
    <cfRule type="cellIs" dxfId="189" priority="197" operator="greaterThan">
      <formula>0</formula>
    </cfRule>
  </conditionalFormatting>
  <conditionalFormatting sqref="B76:M76">
    <cfRule type="cellIs" dxfId="188" priority="194" operator="lessThan">
      <formula>0</formula>
    </cfRule>
    <cfRule type="cellIs" dxfId="187" priority="195" operator="greaterThan">
      <formula>0</formula>
    </cfRule>
  </conditionalFormatting>
  <conditionalFormatting sqref="B76:M76">
    <cfRule type="cellIs" dxfId="186" priority="192" operator="lessThan">
      <formula>0</formula>
    </cfRule>
    <cfRule type="cellIs" dxfId="185" priority="193" operator="greaterThan">
      <formula>0</formula>
    </cfRule>
  </conditionalFormatting>
  <conditionalFormatting sqref="B88:M88">
    <cfRule type="cellIs" dxfId="184" priority="190" operator="lessThan">
      <formula>0</formula>
    </cfRule>
    <cfRule type="cellIs" dxfId="183" priority="191" operator="greaterThan">
      <formula>0</formula>
    </cfRule>
  </conditionalFormatting>
  <conditionalFormatting sqref="B88:M88">
    <cfRule type="cellIs" dxfId="182" priority="188" operator="lessThan">
      <formula>0</formula>
    </cfRule>
    <cfRule type="cellIs" dxfId="181" priority="189" operator="greaterThan">
      <formula>0</formula>
    </cfRule>
  </conditionalFormatting>
  <conditionalFormatting sqref="B100:M100">
    <cfRule type="cellIs" dxfId="180" priority="186" operator="lessThan">
      <formula>0</formula>
    </cfRule>
    <cfRule type="cellIs" dxfId="179" priority="187" operator="greaterThan">
      <formula>0</formula>
    </cfRule>
  </conditionalFormatting>
  <conditionalFormatting sqref="B100:M100">
    <cfRule type="cellIs" dxfId="178" priority="184" operator="lessThan">
      <formula>0</formula>
    </cfRule>
    <cfRule type="cellIs" dxfId="177" priority="185" operator="greaterThan">
      <formula>0</formula>
    </cfRule>
  </conditionalFormatting>
  <conditionalFormatting sqref="B114:M114">
    <cfRule type="cellIs" dxfId="176" priority="178" operator="lessThan">
      <formula>0</formula>
    </cfRule>
    <cfRule type="cellIs" dxfId="175" priority="179" operator="greaterThan">
      <formula>0</formula>
    </cfRule>
  </conditionalFormatting>
  <conditionalFormatting sqref="B114:M114">
    <cfRule type="cellIs" dxfId="174" priority="176" operator="lessThan">
      <formula>0</formula>
    </cfRule>
    <cfRule type="cellIs" dxfId="173" priority="177" operator="greaterThan">
      <formula>0</formula>
    </cfRule>
  </conditionalFormatting>
  <conditionalFormatting sqref="B126:M126">
    <cfRule type="cellIs" dxfId="172" priority="174" operator="lessThan">
      <formula>0</formula>
    </cfRule>
    <cfRule type="cellIs" dxfId="171" priority="175" operator="greaterThan">
      <formula>0</formula>
    </cfRule>
  </conditionalFormatting>
  <conditionalFormatting sqref="B126:M126">
    <cfRule type="cellIs" dxfId="170" priority="172" operator="lessThan">
      <formula>0</formula>
    </cfRule>
    <cfRule type="cellIs" dxfId="169" priority="173" operator="greaterThan">
      <formula>0</formula>
    </cfRule>
  </conditionalFormatting>
  <conditionalFormatting sqref="B138:M138">
    <cfRule type="cellIs" dxfId="168" priority="170" operator="lessThan">
      <formula>0</formula>
    </cfRule>
    <cfRule type="cellIs" dxfId="167" priority="171" operator="greaterThan">
      <formula>0</formula>
    </cfRule>
  </conditionalFormatting>
  <conditionalFormatting sqref="B138:M138">
    <cfRule type="cellIs" dxfId="166" priority="168" operator="lessThan">
      <formula>0</formula>
    </cfRule>
    <cfRule type="cellIs" dxfId="165" priority="169" operator="greaterThan">
      <formula>0</formula>
    </cfRule>
  </conditionalFormatting>
  <conditionalFormatting sqref="B150:M150">
    <cfRule type="cellIs" dxfId="164" priority="166" operator="lessThan">
      <formula>0</formula>
    </cfRule>
    <cfRule type="cellIs" dxfId="163" priority="167" operator="greaterThan">
      <formula>0</formula>
    </cfRule>
  </conditionalFormatting>
  <conditionalFormatting sqref="B150:M150">
    <cfRule type="cellIs" dxfId="162" priority="164" operator="lessThan">
      <formula>0</formula>
    </cfRule>
    <cfRule type="cellIs" dxfId="161" priority="165" operator="greaterThan">
      <formula>0</formula>
    </cfRule>
  </conditionalFormatting>
  <conditionalFormatting sqref="B162:M162">
    <cfRule type="cellIs" dxfId="160" priority="162" operator="lessThan">
      <formula>0</formula>
    </cfRule>
    <cfRule type="cellIs" dxfId="159" priority="163" operator="greaterThan">
      <formula>0</formula>
    </cfRule>
  </conditionalFormatting>
  <conditionalFormatting sqref="B162:M162">
    <cfRule type="cellIs" dxfId="158" priority="160" operator="lessThan">
      <formula>0</formula>
    </cfRule>
    <cfRule type="cellIs" dxfId="157" priority="161" operator="greaterThan">
      <formula>0</formula>
    </cfRule>
  </conditionalFormatting>
  <conditionalFormatting sqref="B174:M174">
    <cfRule type="cellIs" dxfId="156" priority="158" operator="lessThan">
      <formula>0</formula>
    </cfRule>
    <cfRule type="cellIs" dxfId="155" priority="159" operator="greaterThan">
      <formula>0</formula>
    </cfRule>
  </conditionalFormatting>
  <conditionalFormatting sqref="B174:M174">
    <cfRule type="cellIs" dxfId="154" priority="156" operator="lessThan">
      <formula>0</formula>
    </cfRule>
    <cfRule type="cellIs" dxfId="153" priority="157" operator="greaterThan">
      <formula>0</formula>
    </cfRule>
  </conditionalFormatting>
  <conditionalFormatting sqref="B174:M174">
    <cfRule type="cellIs" dxfId="152" priority="154" operator="lessThan">
      <formula>0</formula>
    </cfRule>
    <cfRule type="cellIs" dxfId="151" priority="155" operator="greaterThan">
      <formula>0</formula>
    </cfRule>
  </conditionalFormatting>
  <conditionalFormatting sqref="B174:M174">
    <cfRule type="cellIs" dxfId="150" priority="152" operator="lessThan">
      <formula>0</formula>
    </cfRule>
    <cfRule type="cellIs" dxfId="149" priority="153" operator="greaterThan">
      <formula>0</formula>
    </cfRule>
  </conditionalFormatting>
  <conditionalFormatting sqref="B174:M174">
    <cfRule type="cellIs" dxfId="148" priority="150" operator="lessThan">
      <formula>0</formula>
    </cfRule>
    <cfRule type="cellIs" dxfId="147" priority="151" operator="greaterThan">
      <formula>0</formula>
    </cfRule>
  </conditionalFormatting>
  <conditionalFormatting sqref="B174:M174">
    <cfRule type="cellIs" dxfId="146" priority="148" operator="lessThan">
      <formula>0</formula>
    </cfRule>
    <cfRule type="cellIs" dxfId="145" priority="149" operator="greaterThan">
      <formula>0</formula>
    </cfRule>
  </conditionalFormatting>
  <conditionalFormatting sqref="B174:M174">
    <cfRule type="cellIs" dxfId="144" priority="146" operator="lessThan">
      <formula>0</formula>
    </cfRule>
    <cfRule type="cellIs" dxfId="143" priority="147" operator="greaterThan">
      <formula>0</formula>
    </cfRule>
  </conditionalFormatting>
  <conditionalFormatting sqref="B174:M174">
    <cfRule type="cellIs" dxfId="142" priority="144" operator="lessThan">
      <formula>0</formula>
    </cfRule>
    <cfRule type="cellIs" dxfId="141" priority="145" operator="greaterThan">
      <formula>0</formula>
    </cfRule>
  </conditionalFormatting>
  <conditionalFormatting sqref="B186:M186">
    <cfRule type="cellIs" dxfId="140" priority="142" operator="lessThan">
      <formula>0</formula>
    </cfRule>
    <cfRule type="cellIs" dxfId="139" priority="143" operator="greaterThan">
      <formula>0</formula>
    </cfRule>
  </conditionalFormatting>
  <conditionalFormatting sqref="B186:M186">
    <cfRule type="cellIs" dxfId="138" priority="140" operator="lessThan">
      <formula>0</formula>
    </cfRule>
    <cfRule type="cellIs" dxfId="137" priority="141" operator="greaterThan">
      <formula>0</formula>
    </cfRule>
  </conditionalFormatting>
  <conditionalFormatting sqref="B186:M186">
    <cfRule type="cellIs" dxfId="136" priority="138" operator="lessThan">
      <formula>0</formula>
    </cfRule>
    <cfRule type="cellIs" dxfId="135" priority="139" operator="greaterThan">
      <formula>0</formula>
    </cfRule>
  </conditionalFormatting>
  <conditionalFormatting sqref="B186:M186">
    <cfRule type="cellIs" dxfId="134" priority="136" operator="lessThan">
      <formula>0</formula>
    </cfRule>
    <cfRule type="cellIs" dxfId="133" priority="137" operator="greaterThan">
      <formula>0</formula>
    </cfRule>
  </conditionalFormatting>
  <conditionalFormatting sqref="B186:M186">
    <cfRule type="cellIs" dxfId="132" priority="134" operator="lessThan">
      <formula>0</formula>
    </cfRule>
    <cfRule type="cellIs" dxfId="131" priority="135" operator="greaterThan">
      <formula>0</formula>
    </cfRule>
  </conditionalFormatting>
  <conditionalFormatting sqref="B186:M186">
    <cfRule type="cellIs" dxfId="130" priority="132" operator="lessThan">
      <formula>0</formula>
    </cfRule>
    <cfRule type="cellIs" dxfId="129" priority="133" operator="greaterThan">
      <formula>0</formula>
    </cfRule>
  </conditionalFormatting>
  <conditionalFormatting sqref="B186:M186">
    <cfRule type="cellIs" dxfId="128" priority="130" operator="lessThan">
      <formula>0</formula>
    </cfRule>
    <cfRule type="cellIs" dxfId="127" priority="131" operator="greaterThan">
      <formula>0</formula>
    </cfRule>
  </conditionalFormatting>
  <conditionalFormatting sqref="B186:M186">
    <cfRule type="cellIs" dxfId="126" priority="128" operator="lessThan">
      <formula>0</formula>
    </cfRule>
    <cfRule type="cellIs" dxfId="125" priority="129" operator="greaterThan">
      <formula>0</formula>
    </cfRule>
  </conditionalFormatting>
  <conditionalFormatting sqref="B186:M186">
    <cfRule type="cellIs" dxfId="124" priority="126" operator="lessThan">
      <formula>0</formula>
    </cfRule>
    <cfRule type="cellIs" dxfId="123" priority="127" operator="greaterThan">
      <formula>0</formula>
    </cfRule>
  </conditionalFormatting>
  <conditionalFormatting sqref="B198:M198">
    <cfRule type="cellIs" dxfId="122" priority="124" operator="lessThan">
      <formula>0</formula>
    </cfRule>
    <cfRule type="cellIs" dxfId="121" priority="125" operator="greaterThan">
      <formula>0</formula>
    </cfRule>
  </conditionalFormatting>
  <conditionalFormatting sqref="B198:M198">
    <cfRule type="cellIs" dxfId="120" priority="122" operator="lessThan">
      <formula>0</formula>
    </cfRule>
    <cfRule type="cellIs" dxfId="119" priority="123" operator="greaterThan">
      <formula>0</formula>
    </cfRule>
  </conditionalFormatting>
  <conditionalFormatting sqref="B198:M198">
    <cfRule type="cellIs" dxfId="118" priority="120" operator="lessThan">
      <formula>0</formula>
    </cfRule>
    <cfRule type="cellIs" dxfId="117" priority="121" operator="greaterThan">
      <formula>0</formula>
    </cfRule>
  </conditionalFormatting>
  <conditionalFormatting sqref="B198:M198">
    <cfRule type="cellIs" dxfId="116" priority="118" operator="lessThan">
      <formula>0</formula>
    </cfRule>
    <cfRule type="cellIs" dxfId="115" priority="119" operator="greaterThan">
      <formula>0</formula>
    </cfRule>
  </conditionalFormatting>
  <conditionalFormatting sqref="B198:M198">
    <cfRule type="cellIs" dxfId="114" priority="116" operator="lessThan">
      <formula>0</formula>
    </cfRule>
    <cfRule type="cellIs" dxfId="113" priority="117" operator="greaterThan">
      <formula>0</formula>
    </cfRule>
  </conditionalFormatting>
  <conditionalFormatting sqref="B198:M198">
    <cfRule type="cellIs" dxfId="112" priority="114" operator="lessThan">
      <formula>0</formula>
    </cfRule>
    <cfRule type="cellIs" dxfId="111" priority="115" operator="greaterThan">
      <formula>0</formula>
    </cfRule>
  </conditionalFormatting>
  <conditionalFormatting sqref="B198:M198">
    <cfRule type="cellIs" dxfId="110" priority="112" operator="lessThan">
      <formula>0</formula>
    </cfRule>
    <cfRule type="cellIs" dxfId="109" priority="113" operator="greaterThan">
      <formula>0</formula>
    </cfRule>
  </conditionalFormatting>
  <conditionalFormatting sqref="B198:M198">
    <cfRule type="cellIs" dxfId="108" priority="110" operator="lessThan">
      <formula>0</formula>
    </cfRule>
    <cfRule type="cellIs" dxfId="107" priority="111" operator="greaterThan">
      <formula>0</formula>
    </cfRule>
  </conditionalFormatting>
  <conditionalFormatting sqref="B198:M198">
    <cfRule type="cellIs" dxfId="106" priority="108" operator="lessThan">
      <formula>0</formula>
    </cfRule>
    <cfRule type="cellIs" dxfId="105" priority="109" operator="greaterThan">
      <formula>0</formula>
    </cfRule>
  </conditionalFormatting>
  <conditionalFormatting sqref="B200:M200">
    <cfRule type="cellIs" dxfId="104" priority="106" operator="lessThan">
      <formula>0</formula>
    </cfRule>
    <cfRule type="cellIs" dxfId="103" priority="107" operator="greaterThan">
      <formula>0</formula>
    </cfRule>
  </conditionalFormatting>
  <conditionalFormatting sqref="B200:M200">
    <cfRule type="expression" priority="105">
      <formula>FIND(pesquisa,B$3,C$3)</formula>
    </cfRule>
  </conditionalFormatting>
  <conditionalFormatting sqref="B200:M200">
    <cfRule type="cellIs" dxfId="102" priority="103" operator="lessThan">
      <formula>0</formula>
    </cfRule>
    <cfRule type="cellIs" dxfId="101" priority="104" operator="greaterThan">
      <formula>0</formula>
    </cfRule>
  </conditionalFormatting>
  <conditionalFormatting sqref="B200:M200">
    <cfRule type="cellIs" dxfId="100" priority="101" operator="lessThan">
      <formula>0</formula>
    </cfRule>
    <cfRule type="cellIs" dxfId="99" priority="102" operator="greaterThan">
      <formula>0</formula>
    </cfRule>
  </conditionalFormatting>
  <conditionalFormatting sqref="B200:M200">
    <cfRule type="cellIs" dxfId="98" priority="99" operator="lessThan">
      <formula>0</formula>
    </cfRule>
    <cfRule type="cellIs" dxfId="97" priority="100" operator="greaterThan">
      <formula>0</formula>
    </cfRule>
  </conditionalFormatting>
  <conditionalFormatting sqref="B200:M200">
    <cfRule type="cellIs" dxfId="96" priority="97" operator="lessThan">
      <formula>0</formula>
    </cfRule>
    <cfRule type="cellIs" dxfId="95" priority="98" operator="greaterThan">
      <formula>0</formula>
    </cfRule>
  </conditionalFormatting>
  <conditionalFormatting sqref="B200:M200">
    <cfRule type="cellIs" dxfId="94" priority="95" operator="lessThan">
      <formula>0</formula>
    </cfRule>
    <cfRule type="cellIs" dxfId="93" priority="96" operator="greaterThan">
      <formula>0</formula>
    </cfRule>
  </conditionalFormatting>
  <conditionalFormatting sqref="B200:M200">
    <cfRule type="cellIs" dxfId="92" priority="93" operator="lessThan">
      <formula>0</formula>
    </cfRule>
    <cfRule type="cellIs" dxfId="91" priority="94" operator="greaterThan">
      <formula>0</formula>
    </cfRule>
  </conditionalFormatting>
  <conditionalFormatting sqref="B200:M200">
    <cfRule type="cellIs" dxfId="90" priority="91" operator="lessThan">
      <formula>0</formula>
    </cfRule>
    <cfRule type="cellIs" dxfId="89" priority="92" operator="greaterThan">
      <formula>0</formula>
    </cfRule>
  </conditionalFormatting>
  <conditionalFormatting sqref="B200:M200">
    <cfRule type="cellIs" dxfId="88" priority="89" operator="lessThan">
      <formula>0</formula>
    </cfRule>
    <cfRule type="cellIs" dxfId="87" priority="90" operator="greaterThan">
      <formula>0</formula>
    </cfRule>
  </conditionalFormatting>
  <conditionalFormatting sqref="B214:M214">
    <cfRule type="cellIs" dxfId="86" priority="87" operator="lessThan">
      <formula>0</formula>
    </cfRule>
    <cfRule type="cellIs" dxfId="85" priority="88" operator="greaterThan">
      <formula>0</formula>
    </cfRule>
  </conditionalFormatting>
  <conditionalFormatting sqref="B214:M214">
    <cfRule type="cellIs" dxfId="84" priority="85" operator="lessThan">
      <formula>0</formula>
    </cfRule>
    <cfRule type="cellIs" dxfId="83" priority="86" operator="greaterThan">
      <formula>0</formula>
    </cfRule>
  </conditionalFormatting>
  <conditionalFormatting sqref="B214:M214">
    <cfRule type="cellIs" dxfId="82" priority="83" operator="lessThan">
      <formula>0</formula>
    </cfRule>
    <cfRule type="cellIs" dxfId="81" priority="84" operator="greaterThan">
      <formula>0</formula>
    </cfRule>
  </conditionalFormatting>
  <conditionalFormatting sqref="B214:M214">
    <cfRule type="cellIs" dxfId="80" priority="81" operator="lessThan">
      <formula>0</formula>
    </cfRule>
    <cfRule type="cellIs" dxfId="79" priority="82" operator="greaterThan">
      <formula>0</formula>
    </cfRule>
  </conditionalFormatting>
  <conditionalFormatting sqref="B214:M214">
    <cfRule type="cellIs" dxfId="78" priority="79" operator="lessThan">
      <formula>0</formula>
    </cfRule>
    <cfRule type="cellIs" dxfId="77" priority="80" operator="greaterThan">
      <formula>0</formula>
    </cfRule>
  </conditionalFormatting>
  <conditionalFormatting sqref="B214:M214">
    <cfRule type="cellIs" dxfId="76" priority="77" operator="lessThan">
      <formula>0</formula>
    </cfRule>
    <cfRule type="cellIs" dxfId="75" priority="78" operator="greaterThan">
      <formula>0</formula>
    </cfRule>
  </conditionalFormatting>
  <conditionalFormatting sqref="B214:M214">
    <cfRule type="cellIs" dxfId="74" priority="75" operator="lessThan">
      <formula>0</formula>
    </cfRule>
    <cfRule type="cellIs" dxfId="73" priority="76" operator="greaterThan">
      <formula>0</formula>
    </cfRule>
  </conditionalFormatting>
  <conditionalFormatting sqref="B214:M214">
    <cfRule type="cellIs" dxfId="72" priority="73" operator="lessThan">
      <formula>0</formula>
    </cfRule>
    <cfRule type="cellIs" dxfId="71" priority="74" operator="greaterThan">
      <formula>0</formula>
    </cfRule>
  </conditionalFormatting>
  <conditionalFormatting sqref="B214:M214">
    <cfRule type="cellIs" dxfId="70" priority="71" operator="lessThan">
      <formula>0</formula>
    </cfRule>
    <cfRule type="cellIs" dxfId="69" priority="72" operator="greaterThan">
      <formula>0</formula>
    </cfRule>
  </conditionalFormatting>
  <conditionalFormatting sqref="B229:M229">
    <cfRule type="cellIs" dxfId="68" priority="69" operator="lessThan">
      <formula>0</formula>
    </cfRule>
    <cfRule type="cellIs" dxfId="67" priority="70" operator="greaterThan">
      <formula>0</formula>
    </cfRule>
  </conditionalFormatting>
  <conditionalFormatting sqref="B229:M229">
    <cfRule type="expression" priority="68">
      <formula>FIND(pesquisa,B$3,C$3)</formula>
    </cfRule>
  </conditionalFormatting>
  <conditionalFormatting sqref="B229:M229">
    <cfRule type="cellIs" dxfId="66" priority="66" operator="lessThan">
      <formula>0</formula>
    </cfRule>
    <cfRule type="cellIs" dxfId="65" priority="67" operator="greaterThan">
      <formula>0</formula>
    </cfRule>
  </conditionalFormatting>
  <conditionalFormatting sqref="B229:M229">
    <cfRule type="cellIs" dxfId="64" priority="64" operator="lessThan">
      <formula>0</formula>
    </cfRule>
    <cfRule type="cellIs" dxfId="63" priority="65" operator="greaterThan">
      <formula>0</formula>
    </cfRule>
  </conditionalFormatting>
  <conditionalFormatting sqref="B229:M229">
    <cfRule type="cellIs" dxfId="62" priority="62" operator="lessThan">
      <formula>0</formula>
    </cfRule>
    <cfRule type="cellIs" dxfId="61" priority="63" operator="greaterThan">
      <formula>0</formula>
    </cfRule>
  </conditionalFormatting>
  <conditionalFormatting sqref="B229:M229">
    <cfRule type="cellIs" dxfId="60" priority="60" operator="lessThan">
      <formula>0</formula>
    </cfRule>
    <cfRule type="cellIs" dxfId="59" priority="61" operator="greaterThan">
      <formula>0</formula>
    </cfRule>
  </conditionalFormatting>
  <conditionalFormatting sqref="B229:M229">
    <cfRule type="cellIs" dxfId="58" priority="58" operator="lessThan">
      <formula>0</formula>
    </cfRule>
    <cfRule type="cellIs" dxfId="57" priority="59" operator="greaterThan">
      <formula>0</formula>
    </cfRule>
  </conditionalFormatting>
  <conditionalFormatting sqref="B229:M229">
    <cfRule type="cellIs" dxfId="56" priority="56" operator="lessThan">
      <formula>0</formula>
    </cfRule>
    <cfRule type="cellIs" dxfId="55" priority="57" operator="greaterThan">
      <formula>0</formula>
    </cfRule>
  </conditionalFormatting>
  <conditionalFormatting sqref="B229:M229">
    <cfRule type="cellIs" dxfId="54" priority="54" operator="lessThan">
      <formula>0</formula>
    </cfRule>
    <cfRule type="cellIs" dxfId="53" priority="55" operator="greaterThan">
      <formula>0</formula>
    </cfRule>
  </conditionalFormatting>
  <conditionalFormatting sqref="B229:M229">
    <cfRule type="cellIs" dxfId="52" priority="52" operator="lessThan">
      <formula>0</formula>
    </cfRule>
    <cfRule type="cellIs" dxfId="51" priority="53" operator="greaterThan">
      <formula>0</formula>
    </cfRule>
  </conditionalFormatting>
  <conditionalFormatting sqref="N26">
    <cfRule type="cellIs" dxfId="50" priority="50" operator="lessThan">
      <formula>0</formula>
    </cfRule>
    <cfRule type="cellIs" dxfId="49" priority="51" operator="greaterThan">
      <formula>0</formula>
    </cfRule>
  </conditionalFormatting>
  <conditionalFormatting sqref="N44">
    <cfRule type="cellIs" dxfId="48" priority="48" operator="lessThan">
      <formula>0</formula>
    </cfRule>
    <cfRule type="cellIs" dxfId="47" priority="49" operator="greaterThan">
      <formula>0</formula>
    </cfRule>
  </conditionalFormatting>
  <conditionalFormatting sqref="N57">
    <cfRule type="cellIs" dxfId="46" priority="46" operator="lessThan">
      <formula>0</formula>
    </cfRule>
    <cfRule type="cellIs" dxfId="45" priority="47" operator="greaterThan">
      <formula>0</formula>
    </cfRule>
  </conditionalFormatting>
  <conditionalFormatting sqref="N76">
    <cfRule type="cellIs" dxfId="44" priority="44" operator="lessThan">
      <formula>0</formula>
    </cfRule>
    <cfRule type="cellIs" dxfId="43" priority="45" operator="greaterThan">
      <formula>0</formula>
    </cfRule>
  </conditionalFormatting>
  <conditionalFormatting sqref="N88">
    <cfRule type="cellIs" dxfId="42" priority="42" operator="lessThan">
      <formula>0</formula>
    </cfRule>
    <cfRule type="cellIs" dxfId="41" priority="43" operator="greaterThan">
      <formula>0</formula>
    </cfRule>
  </conditionalFormatting>
  <conditionalFormatting sqref="N100">
    <cfRule type="cellIs" dxfId="40" priority="40" operator="lessThan">
      <formula>0</formula>
    </cfRule>
    <cfRule type="cellIs" dxfId="39" priority="41" operator="greaterThan">
      <formula>0</formula>
    </cfRule>
  </conditionalFormatting>
  <conditionalFormatting sqref="N114">
    <cfRule type="cellIs" dxfId="38" priority="36" operator="lessThan">
      <formula>0</formula>
    </cfRule>
    <cfRule type="cellIs" dxfId="37" priority="37" operator="greaterThan">
      <formula>0</formula>
    </cfRule>
  </conditionalFormatting>
  <conditionalFormatting sqref="N126">
    <cfRule type="cellIs" dxfId="36" priority="34" operator="lessThan">
      <formula>0</formula>
    </cfRule>
    <cfRule type="cellIs" dxfId="35" priority="35" operator="greaterThan">
      <formula>0</formula>
    </cfRule>
  </conditionalFormatting>
  <conditionalFormatting sqref="N138">
    <cfRule type="cellIs" dxfId="34" priority="32" operator="lessThan">
      <formula>0</formula>
    </cfRule>
    <cfRule type="cellIs" dxfId="33" priority="33" operator="greaterThan">
      <formula>0</formula>
    </cfRule>
  </conditionalFormatting>
  <conditionalFormatting sqref="N150">
    <cfRule type="cellIs" dxfId="32" priority="30" operator="lessThan">
      <formula>0</formula>
    </cfRule>
    <cfRule type="cellIs" dxfId="31" priority="31" operator="greaterThan">
      <formula>0</formula>
    </cfRule>
  </conditionalFormatting>
  <conditionalFormatting sqref="N162">
    <cfRule type="cellIs" dxfId="30" priority="28" operator="lessThan">
      <formula>0</formula>
    </cfRule>
    <cfRule type="cellIs" dxfId="29" priority="29" operator="greaterThan">
      <formula>0</formula>
    </cfRule>
  </conditionalFormatting>
  <conditionalFormatting sqref="N174">
    <cfRule type="cellIs" dxfId="28" priority="26" operator="lessThan">
      <formula>0</formula>
    </cfRule>
    <cfRule type="cellIs" dxfId="27" priority="27" operator="greaterThan">
      <formula>0</formula>
    </cfRule>
  </conditionalFormatting>
  <conditionalFormatting sqref="N186">
    <cfRule type="cellIs" dxfId="26" priority="24" operator="lessThan">
      <formula>0</formula>
    </cfRule>
    <cfRule type="cellIs" dxfId="25" priority="25" operator="greaterThan">
      <formula>0</formula>
    </cfRule>
  </conditionalFormatting>
  <conditionalFormatting sqref="N198">
    <cfRule type="cellIs" dxfId="24" priority="22" operator="lessThan">
      <formula>0</formula>
    </cfRule>
    <cfRule type="cellIs" dxfId="23" priority="23" operator="greaterThan">
      <formula>0</formula>
    </cfRule>
  </conditionalFormatting>
  <conditionalFormatting sqref="N200">
    <cfRule type="cellIs" dxfId="22" priority="20" operator="lessThan">
      <formula>0</formula>
    </cfRule>
    <cfRule type="cellIs" dxfId="21" priority="21" operator="greaterThan">
      <formula>0</formula>
    </cfRule>
  </conditionalFormatting>
  <conditionalFormatting sqref="N200">
    <cfRule type="expression" priority="19">
      <formula>FIND(pesquisa,N$3,O$3)</formula>
    </cfRule>
  </conditionalFormatting>
  <conditionalFormatting sqref="N214">
    <cfRule type="cellIs" dxfId="20" priority="17" operator="lessThan">
      <formula>0</formula>
    </cfRule>
    <cfRule type="cellIs" dxfId="19" priority="18" operator="greaterThan">
      <formula>0</formula>
    </cfRule>
  </conditionalFormatting>
  <conditionalFormatting sqref="N229">
    <cfRule type="cellIs" dxfId="18" priority="15" operator="lessThan">
      <formula>0</formula>
    </cfRule>
    <cfRule type="cellIs" dxfId="17" priority="16" operator="greaterThan">
      <formula>0</formula>
    </cfRule>
  </conditionalFormatting>
  <conditionalFormatting sqref="N229">
    <cfRule type="expression" priority="14">
      <formula>FIND(pesquisa,N$3,O$3)</formula>
    </cfRule>
  </conditionalFormatting>
  <conditionalFormatting sqref="N44">
    <cfRule type="cellIs" dxfId="16" priority="12" operator="lessThan">
      <formula>0</formula>
    </cfRule>
    <cfRule type="cellIs" dxfId="15" priority="13" operator="greaterThan">
      <formula>0</formula>
    </cfRule>
  </conditionalFormatting>
  <conditionalFormatting sqref="N44">
    <cfRule type="cellIs" dxfId="14" priority="10" operator="lessThan">
      <formula>0</formula>
    </cfRule>
    <cfRule type="cellIs" dxfId="13" priority="11" operator="greaterThan">
      <formula>0</formula>
    </cfRule>
  </conditionalFormatting>
  <conditionalFormatting sqref="B13:M13">
    <cfRule type="cellIs" dxfId="12" priority="8" operator="lessThan">
      <formula>0</formula>
    </cfRule>
    <cfRule type="cellIs" dxfId="11" priority="9" operator="greaterThan">
      <formula>0</formula>
    </cfRule>
  </conditionalFormatting>
  <conditionalFormatting sqref="B13:M13">
    <cfRule type="cellIs" dxfId="10" priority="6" operator="lessThan">
      <formula>0</formula>
    </cfRule>
    <cfRule type="cellIs" dxfId="9" priority="7" operator="greaterThan">
      <formula>0</formula>
    </cfRule>
  </conditionalFormatting>
  <conditionalFormatting sqref="A216">
    <cfRule type="expression" priority="3">
      <formula>FIND(pesquisa,A$3,B$3)</formula>
    </cfRule>
  </conditionalFormatting>
  <dataValidations xWindow="88" yWindow="860" count="2">
    <dataValidation allowBlank="1" showInputMessage="1" showErrorMessage="1" promptTitle="*** ATENÇÃO ***" prompt="CUIDADO! CONTÉM FÓRMULA! NÃO DIGITAR NADA!" sqref="A192:M196 B57:N57 B26:N26 B229:N229 A51:M55 A144:M148 A82:M86 A94:M98 A108:M112 A120:M124 A168:M172 A132:M136 A156:M160 B100:N100 A63:M74 A180:M184 B126:N126 B13:N13 A220:A229 B214:N214 A7:M11 B44:N44 A206:M212 B76:N76 B174:N174 B88:N88 B102:N102 B114:N114 A19:M24 F163:N163 B150:N150 B163 C163:E164 B138:N138 B162:N162 B186:N186 B198:N198 B200:N200 B220:M227 A32:M42" xr:uid="{00000000-0002-0000-0500-000000000000}"/>
    <dataValidation allowBlank="1" showInputMessage="1" showErrorMessage="1" promptTitle="*** ATENÇÃO ***" prompt="CUIDADO! CONTÉM FÓRMULA! CASO TENHA QUE FAZER ALGUMA ALTRAÇÃO VÁ EM VALIDAÇÕES E FAÇA POR LÁ!" sqref="F4:N4 F16:N16 F29:N29 F48:N48 F60:N60 F79:N79 F91:N91 F105:N105 F117:N117 F129:N129 F141:N141 F153:N153 F165:N165 F177:N177 F189:N189 F203:N203 F217:N217" xr:uid="{00000000-0002-0000-0500-000001000000}"/>
  </dataValidations>
  <pageMargins left="0.511811024" right="0.511811024" top="0.78740157499999996" bottom="0.78740157499999996" header="0.31496062000000002" footer="0.31496062000000002"/>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7">
    <pageSetUpPr fitToPage="1"/>
  </sheetPr>
  <dimension ref="A1:K41"/>
  <sheetViews>
    <sheetView showGridLines="0" zoomScaleNormal="100" workbookViewId="0">
      <selection activeCell="G8" sqref="G8"/>
    </sheetView>
  </sheetViews>
  <sheetFormatPr defaultRowHeight="15"/>
  <cols>
    <col min="1" max="1" width="23.42578125" customWidth="1"/>
    <col min="2" max="2" width="40.5703125" customWidth="1"/>
    <col min="3" max="3" width="15.42578125" customWidth="1"/>
    <col min="4" max="4" width="18" customWidth="1"/>
    <col min="5" max="5" width="26.140625" bestFit="1" customWidth="1"/>
    <col min="6" max="6" width="23" bestFit="1" customWidth="1"/>
    <col min="7" max="7" width="26.140625" customWidth="1"/>
    <col min="8" max="8" width="36.7109375" bestFit="1" customWidth="1"/>
    <col min="9" max="9" width="19.7109375" customWidth="1"/>
    <col min="10" max="10" width="26.28515625" customWidth="1"/>
    <col min="11" max="11" width="24.140625" bestFit="1" customWidth="1"/>
    <col min="12" max="12" width="15.42578125" bestFit="1" customWidth="1"/>
    <col min="13" max="13" width="26.140625" customWidth="1"/>
    <col min="14" max="14" width="23" bestFit="1" customWidth="1"/>
    <col min="15" max="15" width="26.140625" bestFit="1" customWidth="1"/>
    <col min="16" max="16" width="27.7109375" bestFit="1" customWidth="1"/>
    <col min="17" max="17" width="17.28515625" bestFit="1" customWidth="1"/>
  </cols>
  <sheetData>
    <row r="1" spans="1:10" ht="44.25" customHeight="1">
      <c r="A1" s="1082" t="s">
        <v>146</v>
      </c>
      <c r="B1" s="1082"/>
      <c r="C1" s="1082"/>
      <c r="D1" s="1082"/>
      <c r="E1" s="1082"/>
      <c r="F1" s="1082"/>
      <c r="G1" s="1082"/>
      <c r="H1" s="1082"/>
      <c r="I1" s="1082"/>
    </row>
    <row r="2" spans="1:10" ht="15.75" customHeight="1"/>
    <row r="3" spans="1:10" ht="9" customHeight="1">
      <c r="A3" s="1079"/>
      <c r="B3" s="1079"/>
      <c r="C3" s="1079"/>
      <c r="D3" s="1079"/>
      <c r="E3" s="1079"/>
      <c r="F3" s="1079"/>
      <c r="G3" s="1079"/>
      <c r="H3" s="1079"/>
    </row>
    <row r="4" spans="1:10" ht="19.5" thickBot="1">
      <c r="B4" s="1080" t="s">
        <v>135</v>
      </c>
      <c r="C4" s="1080"/>
      <c r="D4" s="1080"/>
      <c r="E4" s="1080"/>
      <c r="F4" s="1080"/>
      <c r="G4" s="1080"/>
    </row>
    <row r="5" spans="1:10" s="39" customFormat="1" ht="30.75" thickBot="1">
      <c r="A5" s="286" t="s">
        <v>70</v>
      </c>
      <c r="B5" s="287" t="s">
        <v>1</v>
      </c>
      <c r="C5" s="287" t="s">
        <v>19</v>
      </c>
      <c r="D5" s="287" t="s">
        <v>21</v>
      </c>
      <c r="E5" s="285" t="s">
        <v>100</v>
      </c>
      <c r="F5" s="285" t="s">
        <v>101</v>
      </c>
      <c r="G5" s="287" t="s">
        <v>71</v>
      </c>
      <c r="H5" s="287" t="s">
        <v>143</v>
      </c>
      <c r="I5" s="315" t="s">
        <v>165</v>
      </c>
    </row>
    <row r="6" spans="1:10">
      <c r="A6" s="12">
        <v>76116</v>
      </c>
      <c r="B6" t="s">
        <v>56</v>
      </c>
      <c r="C6" t="s">
        <v>24</v>
      </c>
      <c r="D6" t="s">
        <v>22</v>
      </c>
      <c r="E6" s="54">
        <v>45526</v>
      </c>
      <c r="F6" s="54">
        <v>45891</v>
      </c>
      <c r="G6" s="11">
        <v>5040000</v>
      </c>
      <c r="H6" s="11">
        <v>3248000</v>
      </c>
      <c r="I6" s="10"/>
    </row>
    <row r="7" spans="1:10">
      <c r="A7" s="12">
        <v>58778</v>
      </c>
      <c r="B7" t="s">
        <v>57</v>
      </c>
      <c r="C7" t="s">
        <v>23</v>
      </c>
      <c r="D7" t="s">
        <v>162</v>
      </c>
      <c r="E7" s="54">
        <v>45352</v>
      </c>
      <c r="F7" s="54">
        <v>46235</v>
      </c>
      <c r="G7" s="11">
        <v>12165000</v>
      </c>
      <c r="H7" s="11">
        <v>4055000</v>
      </c>
      <c r="I7" s="10">
        <v>4866000</v>
      </c>
    </row>
    <row r="8" spans="1:10">
      <c r="A8" s="12">
        <v>103747</v>
      </c>
      <c r="B8" t="s">
        <v>161</v>
      </c>
      <c r="C8" t="s">
        <v>25</v>
      </c>
      <c r="D8" t="s">
        <v>26</v>
      </c>
      <c r="E8" s="54">
        <v>45498</v>
      </c>
      <c r="F8" s="54">
        <v>46413</v>
      </c>
      <c r="G8" s="11">
        <v>25718840.030000001</v>
      </c>
      <c r="H8" s="11">
        <v>13115328.869999999</v>
      </c>
      <c r="I8" s="10"/>
    </row>
    <row r="9" spans="1:10">
      <c r="A9" s="12">
        <v>76457</v>
      </c>
      <c r="B9" t="s">
        <v>58</v>
      </c>
      <c r="C9" t="s">
        <v>27</v>
      </c>
      <c r="D9" t="s">
        <v>28</v>
      </c>
      <c r="E9" s="54">
        <v>45203</v>
      </c>
      <c r="F9" s="54">
        <v>45569</v>
      </c>
      <c r="G9" s="53">
        <v>16013761.859999999</v>
      </c>
      <c r="H9" s="11">
        <v>13330100.810000001</v>
      </c>
      <c r="I9" s="10"/>
    </row>
    <row r="10" spans="1:10">
      <c r="A10" s="12">
        <v>73115</v>
      </c>
      <c r="B10" t="s">
        <v>29</v>
      </c>
      <c r="C10" t="s">
        <v>30</v>
      </c>
      <c r="D10" t="s">
        <v>31</v>
      </c>
      <c r="E10" s="54">
        <v>45455</v>
      </c>
      <c r="F10" s="54">
        <v>45820</v>
      </c>
      <c r="G10" s="11">
        <v>97462201.640000001</v>
      </c>
      <c r="H10" s="53">
        <v>44172864.240000002</v>
      </c>
      <c r="I10" s="10"/>
    </row>
    <row r="11" spans="1:10">
      <c r="A11" s="12">
        <v>2808</v>
      </c>
      <c r="B11" t="s">
        <v>59</v>
      </c>
      <c r="C11" t="s">
        <v>34</v>
      </c>
      <c r="D11" t="s">
        <v>35</v>
      </c>
      <c r="E11" s="54">
        <v>45206</v>
      </c>
      <c r="F11" s="54">
        <v>45572</v>
      </c>
      <c r="G11" s="11">
        <v>48139.88</v>
      </c>
      <c r="H11" s="53">
        <v>37040.980000000003</v>
      </c>
      <c r="I11" s="10"/>
    </row>
    <row r="12" spans="1:10">
      <c r="A12" s="12">
        <v>60979</v>
      </c>
      <c r="B12" t="s">
        <v>61</v>
      </c>
      <c r="C12" t="s">
        <v>138</v>
      </c>
      <c r="D12" t="s">
        <v>139</v>
      </c>
      <c r="E12" s="54">
        <v>45271</v>
      </c>
      <c r="F12" s="54">
        <v>46153</v>
      </c>
      <c r="G12" s="11">
        <v>26365500</v>
      </c>
      <c r="H12" s="53">
        <v>10546200</v>
      </c>
      <c r="I12" s="10"/>
    </row>
    <row r="13" spans="1:10">
      <c r="A13" s="114">
        <v>68004</v>
      </c>
      <c r="B13" t="s">
        <v>62</v>
      </c>
      <c r="C13" t="s">
        <v>32</v>
      </c>
      <c r="D13" t="s">
        <v>33</v>
      </c>
      <c r="E13" s="54">
        <v>45444</v>
      </c>
      <c r="F13" s="54">
        <v>45809</v>
      </c>
      <c r="G13" s="11">
        <v>86882.66</v>
      </c>
      <c r="H13" s="53">
        <v>48871.51</v>
      </c>
      <c r="I13" s="10">
        <v>38011.15</v>
      </c>
    </row>
    <row r="14" spans="1:10" ht="12.75" customHeight="1">
      <c r="A14" s="12">
        <v>60979</v>
      </c>
      <c r="B14" t="s">
        <v>60</v>
      </c>
      <c r="C14" t="s">
        <v>37</v>
      </c>
      <c r="D14" t="s">
        <v>36</v>
      </c>
      <c r="E14" s="54">
        <v>45217</v>
      </c>
      <c r="F14" s="54">
        <v>45583</v>
      </c>
      <c r="G14" s="11">
        <v>292320</v>
      </c>
      <c r="H14" s="162">
        <v>292320</v>
      </c>
      <c r="I14" s="10"/>
    </row>
    <row r="15" spans="1:10">
      <c r="A15" s="12">
        <v>103698</v>
      </c>
      <c r="B15" t="s">
        <v>40</v>
      </c>
      <c r="C15" t="s">
        <v>39</v>
      </c>
      <c r="F15" s="54"/>
      <c r="G15" s="11"/>
      <c r="H15" s="162"/>
      <c r="I15" s="10"/>
    </row>
    <row r="16" spans="1:10" ht="15.75" customHeight="1">
      <c r="A16" s="12">
        <v>46674</v>
      </c>
      <c r="B16" t="s">
        <v>76</v>
      </c>
      <c r="C16" t="s">
        <v>102</v>
      </c>
      <c r="D16" t="s">
        <v>144</v>
      </c>
      <c r="E16" s="54">
        <v>45408</v>
      </c>
      <c r="F16" s="54">
        <v>45773</v>
      </c>
      <c r="G16" s="11">
        <v>2697252.48</v>
      </c>
      <c r="H16" s="53">
        <v>1336000</v>
      </c>
      <c r="I16" s="10">
        <v>1361252.48</v>
      </c>
      <c r="J16" s="50"/>
    </row>
    <row r="17" spans="1:11">
      <c r="A17" s="12">
        <v>43964</v>
      </c>
      <c r="B17" t="s">
        <v>145</v>
      </c>
      <c r="C17" t="s">
        <v>102</v>
      </c>
      <c r="D17" t="s">
        <v>144</v>
      </c>
      <c r="E17" s="54">
        <v>45408</v>
      </c>
      <c r="F17" s="54">
        <v>45773</v>
      </c>
      <c r="G17" s="53">
        <v>7847498.8799999999</v>
      </c>
      <c r="H17" s="53">
        <v>3858340.32</v>
      </c>
      <c r="I17" s="10">
        <v>3989158.56</v>
      </c>
      <c r="J17" s="50"/>
    </row>
    <row r="18" spans="1:11">
      <c r="A18" s="12">
        <v>114781</v>
      </c>
      <c r="B18" t="s">
        <v>110</v>
      </c>
      <c r="C18" t="s">
        <v>111</v>
      </c>
      <c r="E18" s="54">
        <v>45292</v>
      </c>
      <c r="F18" s="54">
        <v>45658</v>
      </c>
      <c r="G18" s="11">
        <v>5116523.41</v>
      </c>
      <c r="H18" s="53">
        <v>5116523.41</v>
      </c>
      <c r="I18" s="10"/>
      <c r="J18" s="50"/>
    </row>
    <row r="19" spans="1:11">
      <c r="A19" s="12">
        <v>111528</v>
      </c>
      <c r="B19" t="s">
        <v>108</v>
      </c>
      <c r="C19" t="s">
        <v>109</v>
      </c>
      <c r="D19" t="s">
        <v>153</v>
      </c>
      <c r="E19" s="54">
        <v>45208</v>
      </c>
      <c r="F19" s="54">
        <v>45452</v>
      </c>
      <c r="G19" s="11">
        <v>7241728.71</v>
      </c>
      <c r="H19" s="53">
        <v>5366137.37</v>
      </c>
      <c r="I19" s="10"/>
      <c r="J19" s="50"/>
    </row>
    <row r="20" spans="1:11">
      <c r="A20" s="12">
        <v>111528</v>
      </c>
      <c r="B20" t="s">
        <v>107</v>
      </c>
      <c r="C20" t="s">
        <v>106</v>
      </c>
      <c r="D20" t="s">
        <v>152</v>
      </c>
      <c r="E20" s="54">
        <v>45208</v>
      </c>
      <c r="F20" s="54">
        <v>45452</v>
      </c>
      <c r="G20" s="11">
        <v>4475649.0999999996</v>
      </c>
      <c r="H20" s="53">
        <v>3274172.68</v>
      </c>
      <c r="I20" s="10"/>
      <c r="J20" s="50"/>
    </row>
    <row r="21" spans="1:11">
      <c r="A21" s="12">
        <v>54615</v>
      </c>
      <c r="B21" s="217" t="s">
        <v>158</v>
      </c>
      <c r="C21" t="s">
        <v>133</v>
      </c>
      <c r="D21" t="s">
        <v>151</v>
      </c>
      <c r="E21" s="54">
        <v>45135</v>
      </c>
      <c r="F21" s="54">
        <v>45501</v>
      </c>
      <c r="G21" s="11">
        <v>62748</v>
      </c>
      <c r="H21" s="53">
        <v>41832</v>
      </c>
      <c r="I21" s="10">
        <v>0</v>
      </c>
      <c r="J21" s="50"/>
    </row>
    <row r="22" spans="1:11">
      <c r="A22" s="12">
        <v>117936</v>
      </c>
      <c r="B22" t="s">
        <v>156</v>
      </c>
      <c r="C22" t="s">
        <v>157</v>
      </c>
      <c r="D22" t="s">
        <v>160</v>
      </c>
      <c r="E22" s="582">
        <v>45426</v>
      </c>
      <c r="F22" s="54">
        <v>45426</v>
      </c>
      <c r="G22" s="11">
        <v>472500</v>
      </c>
      <c r="H22" s="53">
        <v>231500</v>
      </c>
      <c r="I22" s="10">
        <v>241000</v>
      </c>
      <c r="J22" s="50"/>
    </row>
    <row r="23" spans="1:11">
      <c r="A23" s="12"/>
      <c r="E23" s="54"/>
      <c r="F23" s="54"/>
      <c r="G23" s="11"/>
      <c r="H23" s="53"/>
      <c r="I23" s="53"/>
      <c r="J23" s="50"/>
      <c r="K23" s="50"/>
    </row>
    <row r="24" spans="1:11" ht="31.5">
      <c r="A24" s="282" t="s">
        <v>142</v>
      </c>
      <c r="B24" s="50"/>
      <c r="C24" s="279"/>
      <c r="D24" s="280" t="s">
        <v>131</v>
      </c>
      <c r="E24" s="280"/>
      <c r="F24" s="280"/>
      <c r="G24" s="280"/>
      <c r="H24" s="50"/>
      <c r="I24" s="50"/>
    </row>
    <row r="25" spans="1:11">
      <c r="A25" s="284" t="s">
        <v>20</v>
      </c>
      <c r="B25" s="50"/>
      <c r="C25" s="163">
        <v>999999999.99000001</v>
      </c>
      <c r="D25" s="22"/>
      <c r="E25" s="22"/>
      <c r="F25" s="22"/>
      <c r="G25" s="22"/>
    </row>
    <row r="26" spans="1:11" ht="18.75">
      <c r="A26" s="12" t="s">
        <v>44</v>
      </c>
      <c r="C26" s="22"/>
      <c r="D26" s="22"/>
      <c r="E26" s="281" t="s">
        <v>136</v>
      </c>
      <c r="F26" s="281" t="s">
        <v>137</v>
      </c>
      <c r="G26" s="22"/>
      <c r="I26" s="51"/>
    </row>
    <row r="27" spans="1:11" ht="23.25">
      <c r="A27" s="12" t="s">
        <v>43</v>
      </c>
      <c r="C27" s="22" t="s">
        <v>85</v>
      </c>
      <c r="D27" s="22"/>
      <c r="E27" s="221">
        <f>'MEDIÇÃO '!N13+'MEDIÇÃO '!N26+'MEDIÇÃO '!N44+'MEDIÇÃO '!N57+'MEDIÇÃO '!N76+'MEDIÇÃO '!N100+'MEDIÇÃO '!N102+'MEDIÇÃO '!N114+'MEDIÇÃO '!N126+'MEDIÇÃO '!N138+'MEDIÇÃO '!N150+'MEDIÇÃO '!N162+'MEDIÇÃO '!N174+'MEDIÇÃO '!N186+'MEDIÇÃO '!N198+'MEDIÇÃO '!N200+'MEDIÇÃO '!N214+'MEDIÇÃO '!N229</f>
        <v>19911745.510000002</v>
      </c>
      <c r="F27" s="221">
        <f>SUBTOTAL(9,'ALT. ORÇ. E PROJ.'!H6:H324)</f>
        <v>1514842.4</v>
      </c>
      <c r="G27" s="164"/>
      <c r="H27" s="220"/>
      <c r="I27" s="10"/>
    </row>
    <row r="28" spans="1:11" ht="15.75" customHeight="1">
      <c r="A28" s="12" t="s">
        <v>45</v>
      </c>
      <c r="C28" s="22" t="s">
        <v>86</v>
      </c>
      <c r="D28" s="22"/>
      <c r="E28" s="23"/>
      <c r="F28" s="22"/>
      <c r="G28" s="22"/>
    </row>
    <row r="29" spans="1:11" ht="15.75">
      <c r="A29" s="12" t="s">
        <v>46</v>
      </c>
      <c r="C29" s="22" t="s">
        <v>87</v>
      </c>
      <c r="D29" s="22"/>
      <c r="E29" s="23"/>
      <c r="F29" s="22"/>
      <c r="G29" s="22"/>
    </row>
    <row r="30" spans="1:11">
      <c r="A30" s="12" t="s">
        <v>47</v>
      </c>
      <c r="C30" s="22"/>
      <c r="D30" s="22"/>
      <c r="E30" s="22"/>
      <c r="F30" s="22"/>
      <c r="G30" s="22"/>
    </row>
    <row r="31" spans="1:11" ht="18.75">
      <c r="A31" s="283" t="s">
        <v>48</v>
      </c>
      <c r="C31" s="22"/>
      <c r="D31" s="22"/>
      <c r="E31" s="23"/>
      <c r="F31" s="22"/>
      <c r="G31" s="24"/>
    </row>
    <row r="32" spans="1:11" ht="17.25" customHeight="1">
      <c r="A32" s="283" t="s">
        <v>49</v>
      </c>
      <c r="C32" s="22"/>
      <c r="D32" s="1081" t="s">
        <v>55</v>
      </c>
      <c r="E32" s="1081"/>
      <c r="F32" s="1081"/>
      <c r="G32" s="22"/>
      <c r="H32" s="160"/>
      <c r="I32" s="160"/>
      <c r="J32" s="160"/>
    </row>
    <row r="33" spans="1:10" ht="15.75">
      <c r="A33" s="283" t="s">
        <v>50</v>
      </c>
      <c r="C33" s="22"/>
      <c r="D33" s="22"/>
      <c r="E33" s="23"/>
      <c r="F33" s="22"/>
      <c r="G33" s="22"/>
    </row>
    <row r="34" spans="1:10">
      <c r="A34" s="283" t="s">
        <v>51</v>
      </c>
      <c r="C34" s="22"/>
      <c r="D34" s="6">
        <f>SUBTOTAL(9,Tabela13[VALOR
 BRUTO ])</f>
        <v>175282169.93000001</v>
      </c>
      <c r="E34" s="6">
        <f>SUBTOTAL(9,Tabela13[VALOR DA
RETENÇÃO])</f>
        <v>27669080.75</v>
      </c>
      <c r="F34" s="6">
        <f>SUBTOTAL(9,'LIQUIDAÇÃO 2025'!M6:M636)</f>
        <v>146517372.59999999</v>
      </c>
      <c r="G34" s="22"/>
      <c r="H34" s="39"/>
      <c r="I34" s="39"/>
      <c r="J34" s="39"/>
    </row>
    <row r="35" spans="1:10">
      <c r="A35" s="283" t="s">
        <v>52</v>
      </c>
      <c r="C35" s="22"/>
      <c r="D35" s="6" t="s">
        <v>13</v>
      </c>
      <c r="E35" s="7" t="s">
        <v>6</v>
      </c>
      <c r="F35" s="7" t="s">
        <v>8</v>
      </c>
      <c r="G35" s="22"/>
      <c r="H35" s="39"/>
      <c r="I35" s="39"/>
      <c r="J35" s="161"/>
    </row>
    <row r="36" spans="1:10">
      <c r="A36" s="283" t="s">
        <v>53</v>
      </c>
      <c r="C36" s="22"/>
      <c r="D36" s="8"/>
      <c r="E36" s="9"/>
      <c r="F36" s="9"/>
      <c r="G36" s="22"/>
    </row>
    <row r="37" spans="1:10">
      <c r="A37" s="283" t="s">
        <v>54</v>
      </c>
      <c r="C37" s="22"/>
      <c r="D37" s="6" t="s">
        <v>86</v>
      </c>
      <c r="E37" s="7" t="s">
        <v>85</v>
      </c>
      <c r="F37" s="9" t="s">
        <v>87</v>
      </c>
      <c r="G37" s="22"/>
      <c r="H37" s="40"/>
      <c r="I37" s="40"/>
    </row>
    <row r="38" spans="1:10">
      <c r="C38" s="22"/>
      <c r="D38" s="25">
        <f ca="1">SUMIFS(Tabela13[VALORES PAGOS 
(FORMA PAGTO)],Tabela13[STATUS],VALIDAÇÕES!C28,Tabela13[Coluna1],1)</f>
        <v>9225116.8499999996</v>
      </c>
      <c r="E38" s="25">
        <f ca="1">SUMIFS(Tabela13[VALORES PAGOS 
(FORMA PAGTO)],Tabela13[STATUS],VALIDAÇÕES!C27,Tabela13[Coluna1],1)</f>
        <v>135703496.13999999</v>
      </c>
      <c r="F38" s="25">
        <f ca="1">SUMIFS(Tabela13[VALORES PAGOS 
(FORMA PAGTO)],Tabela13[STATUS],VALIDAÇÕES!C29,Tabela13[Coluna1],1)</f>
        <v>1219499.3</v>
      </c>
      <c r="G38" s="22"/>
      <c r="H38" s="162"/>
      <c r="I38" s="162"/>
    </row>
    <row r="39" spans="1:10">
      <c r="C39" s="22"/>
      <c r="D39" s="7" t="s">
        <v>9</v>
      </c>
      <c r="E39" s="7" t="s">
        <v>10</v>
      </c>
      <c r="F39" s="9"/>
      <c r="G39" s="22"/>
    </row>
    <row r="40" spans="1:10" ht="15.75">
      <c r="C40" s="22"/>
      <c r="D40" s="22"/>
      <c r="E40" s="23"/>
      <c r="F40" s="22"/>
      <c r="G40" s="22"/>
    </row>
    <row r="41" spans="1:10" ht="15.75">
      <c r="C41" s="22"/>
      <c r="D41" s="22"/>
      <c r="E41" s="23"/>
      <c r="F41" s="22"/>
      <c r="G41" s="22"/>
    </row>
  </sheetData>
  <mergeCells count="4">
    <mergeCell ref="A3:H3"/>
    <mergeCell ref="B4:G4"/>
    <mergeCell ref="D32:F32"/>
    <mergeCell ref="A1:I1"/>
  </mergeCells>
  <phoneticPr fontId="9" type="noConversion"/>
  <dataValidations disablePrompts="1" count="1">
    <dataValidation allowBlank="1" showInputMessage="1" showErrorMessage="1" promptTitle="ATENÇÃO" prompt="LETRA MAÍUSCULA" sqref="E33 E40:E41 E29:E31" xr:uid="{00000000-0002-0000-0600-000000000000}"/>
  </dataValidations>
  <pageMargins left="0.511811024" right="0.511811024" top="0.78740157499999996" bottom="0.78740157499999996" header="0.31496062000000002" footer="0.31496062000000002"/>
  <pageSetup paperSize="9" scale="52" orientation="landscape"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97EC454-64D2-41A3-8F58-0FFB9B5E1AB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10</vt:i4>
      </vt:variant>
    </vt:vector>
  </HeadingPairs>
  <TitlesOfParts>
    <vt:vector size="17" baseType="lpstr">
      <vt:lpstr>PROJETO</vt:lpstr>
      <vt:lpstr>RESERVA</vt:lpstr>
      <vt:lpstr>EMPENHO </vt:lpstr>
      <vt:lpstr>LIQUIDAÇÃO 2025</vt:lpstr>
      <vt:lpstr>ALT. ORÇ. E PROJ.</vt:lpstr>
      <vt:lpstr>MEDIÇÃO </vt:lpstr>
      <vt:lpstr>VALIDAÇÕES</vt:lpstr>
      <vt:lpstr>'LIQUIDAÇÃO 2025'!Area_de_impressao</vt:lpstr>
      <vt:lpstr>'LIQUIDAÇÃO 2025'!controle_pagto</vt:lpstr>
      <vt:lpstr>'ALT. ORÇ. E PROJ.'!LIQUIDAÇÃO</vt:lpstr>
      <vt:lpstr>'MEDIÇÃO '!LIQUIDAÇÃO</vt:lpstr>
      <vt:lpstr>RESERVA!LIQUIDAÇÃO</vt:lpstr>
      <vt:lpstr>LIQUIDAÇÃO</vt:lpstr>
      <vt:lpstr>pesquisa</vt:lpstr>
      <vt:lpstr>'LIQUIDAÇÃO 2025'!Titulos_de_impressao</vt:lpstr>
      <vt:lpstr>PROJETO!Titulos_de_impressao</vt:lpstr>
      <vt:lpstr>validações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juliasouza</dc:creator>
  <cp:lastModifiedBy>Daniel Santana Coelho</cp:lastModifiedBy>
  <cp:lastPrinted>2025-05-29T13:08:13Z</cp:lastPrinted>
  <dcterms:created xsi:type="dcterms:W3CDTF">2022-04-11T11:50:53Z</dcterms:created>
  <dcterms:modified xsi:type="dcterms:W3CDTF">2026-02-10T11:23:57Z</dcterms:modified>
</cp:coreProperties>
</file>